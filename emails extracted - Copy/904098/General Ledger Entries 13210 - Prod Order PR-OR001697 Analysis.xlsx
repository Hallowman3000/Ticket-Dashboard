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ph Kyengo\Documents\"/>
    </mc:Choice>
  </mc:AlternateContent>
  <xr:revisionPtr revIDLastSave="0" documentId="13_ncr:1_{2E09FF96-87B8-4BB5-93FF-D69FDE55A67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General Ledger Entries" sheetId="1" r:id="rId1"/>
    <sheet name="Entries to check" sheetId="2" r:id="rId2"/>
  </sheets>
  <definedNames>
    <definedName name="_xlnm._FilterDatabase" localSheetId="1" hidden="1">'Entries to check'!$A$1:$W$21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2" i="2" l="1"/>
  <c r="M2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" i="2"/>
</calcChain>
</file>

<file path=xl/sharedStrings.xml><?xml version="1.0" encoding="utf-8"?>
<sst xmlns="http://schemas.openxmlformats.org/spreadsheetml/2006/main" count="1064" uniqueCount="45">
  <si>
    <t>Posting Date</t>
  </si>
  <si>
    <t>Document Type</t>
  </si>
  <si>
    <t>Document No.</t>
  </si>
  <si>
    <t>G/L Account No.</t>
  </si>
  <si>
    <t>Description</t>
  </si>
  <si>
    <t>Department Code</t>
  </si>
  <si>
    <t>Product Line Code</t>
  </si>
  <si>
    <t>Gen. Posting Type</t>
  </si>
  <si>
    <t>Gen. Bus. Posting Group</t>
  </si>
  <si>
    <t>Gen. Prod. Posting Group</t>
  </si>
  <si>
    <t>Amount (LCY)</t>
  </si>
  <si>
    <t>Bal. Account Type</t>
  </si>
  <si>
    <t>Bal. Account No.</t>
  </si>
  <si>
    <t>VAT Date</t>
  </si>
  <si>
    <t>Entry No.</t>
  </si>
  <si>
    <t>External Document No.</t>
  </si>
  <si>
    <t>Subscription Contract No.</t>
  </si>
  <si>
    <t>O/H Code</t>
  </si>
  <si>
    <t>Country Code</t>
  </si>
  <si>
    <t>Sales Code</t>
  </si>
  <si>
    <t>Industry Code</t>
  </si>
  <si>
    <t xml:space="preserve"> </t>
  </si>
  <si>
    <t>PR-OR001697</t>
  </si>
  <si>
    <t>75000</t>
  </si>
  <si>
    <t>Indirect Cost FG00268 on 08/14/25</t>
  </si>
  <si>
    <t>10</t>
  </si>
  <si>
    <t>10 - PSL</t>
  </si>
  <si>
    <t/>
  </si>
  <si>
    <t>G/L Account</t>
  </si>
  <si>
    <t>73000</t>
  </si>
  <si>
    <t>Direct Cost FG00268 on 08/14/25</t>
  </si>
  <si>
    <t>72000</t>
  </si>
  <si>
    <t>62100</t>
  </si>
  <si>
    <t>Direct Cost FG00268 on 07/31/25</t>
  </si>
  <si>
    <t>53240</t>
  </si>
  <si>
    <t>Variance FG00268 on 08/14/25</t>
  </si>
  <si>
    <t>53220</t>
  </si>
  <si>
    <t>53210</t>
  </si>
  <si>
    <t>13210</t>
  </si>
  <si>
    <t>13170</t>
  </si>
  <si>
    <t>13140</t>
  </si>
  <si>
    <t>13120</t>
  </si>
  <si>
    <t>13110</t>
  </si>
  <si>
    <t>Debit</t>
  </si>
  <si>
    <t>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</si>
</sst>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9">
    <xf numFmtId="0" fontId="0" fillId="0" borderId="0" xfId="0"/>
    <xf numFmtId="49" fontId="1" fillId="2" borderId="0" xfId="0" applyNumberFormat="1" applyFont="1" applyFill="1"/>
    <xf numFmtId="14" fontId="0" fillId="0" borderId="0" xfId="0" applyNumberFormat="1"/>
    <xf numFmtId="49" fontId="0" fillId="0" borderId="0" xfId="0" applyNumberFormat="1"/>
    <xf numFmtId="4" fontId="0" fillId="0" borderId="0" xfId="0" applyNumberFormat="1"/>
    <xf numFmtId="1" fontId="0" fillId="0" borderId="0" xfId="0" applyNumberFormat="1"/>
    <xf numFmtId="43" fontId="0" fillId="0" borderId="0" xfId="1" applyFont="1"/>
    <xf numFmtId="43" fontId="0" fillId="3" borderId="0" xfId="1" applyFont="1" applyFill="1"/>
    <xf numFmtId="43" fontId="1" fillId="0" borderId="0" xfId="1" applyFont="1"/>
  </cellXfs>
  <cellStyles count="2">
    <cellStyle name="Comma" xfId="1" builtinId="3"/>
    <cellStyle name="Normal" xfId="0" builtinId="0"/>
  </cellStyles>
  <dxfs count="1">
    <dxf>
      <fill>
        <patternFill patternType="solid">
          <fgColor rgb="FFFFD966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U41" totalsRowShown="0">
  <autoFilter ref="A1:U41" xr:uid="{00000000-0009-0000-0100-000001000000}"/>
  <tableColumns count="21">
    <tableColumn id="1" xr3:uid="{00000000-0010-0000-0000-000001000000}" name="Posting Date"/>
    <tableColumn id="2" xr3:uid="{00000000-0010-0000-0000-000002000000}" name="Document Type"/>
    <tableColumn id="3" xr3:uid="{00000000-0010-0000-0000-000003000000}" name="Document No."/>
    <tableColumn id="4" xr3:uid="{00000000-0010-0000-0000-000004000000}" name="G/L Account No."/>
    <tableColumn id="5" xr3:uid="{00000000-0010-0000-0000-000005000000}" name="Description"/>
    <tableColumn id="6" xr3:uid="{00000000-0010-0000-0000-000006000000}" name="Department Code"/>
    <tableColumn id="7" xr3:uid="{00000000-0010-0000-0000-000007000000}" name="Product Line Code"/>
    <tableColumn id="8" xr3:uid="{00000000-0010-0000-0000-000008000000}" name="Gen. Posting Type"/>
    <tableColumn id="9" xr3:uid="{00000000-0010-0000-0000-000009000000}" name="Gen. Bus. Posting Group"/>
    <tableColumn id="10" xr3:uid="{00000000-0010-0000-0000-00000A000000}" name="Gen. Prod. Posting Group"/>
    <tableColumn id="11" xr3:uid="{00000000-0010-0000-0000-00000B000000}" name="Amount (LCY)"/>
    <tableColumn id="12" xr3:uid="{00000000-0010-0000-0000-00000C000000}" name="Bal. Account Type"/>
    <tableColumn id="13" xr3:uid="{00000000-0010-0000-0000-00000D000000}" name="Bal. Account No."/>
    <tableColumn id="14" xr3:uid="{00000000-0010-0000-0000-00000E000000}" name="VAT Date"/>
    <tableColumn id="15" xr3:uid="{00000000-0010-0000-0000-00000F000000}" name="Entry No."/>
    <tableColumn id="16" xr3:uid="{00000000-0010-0000-0000-000010000000}" name="External Document No."/>
    <tableColumn id="17" xr3:uid="{00000000-0010-0000-0000-000011000000}" name="Subscription Contract No."/>
    <tableColumn id="18" xr3:uid="{00000000-0010-0000-0000-000012000000}" name="O/H Code"/>
    <tableColumn id="19" xr3:uid="{00000000-0010-0000-0000-000013000000}" name="Country Code"/>
    <tableColumn id="20" xr3:uid="{00000000-0010-0000-0000-000014000000}" name="Sales Code"/>
    <tableColumn id="21" xr3:uid="{00000000-0010-0000-0000-000015000000}" name="Industry 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bestFit="1" customWidth="1"/>
    <col min="2" max="2" width="16.77734375" bestFit="1" customWidth="1"/>
    <col min="3" max="3" width="15.6640625" bestFit="1" customWidth="1"/>
    <col min="4" max="4" width="17.21875" bestFit="1" customWidth="1"/>
    <col min="5" max="5" width="30.5546875" bestFit="1" customWidth="1"/>
    <col min="6" max="6" width="18.5546875" bestFit="1" customWidth="1"/>
    <col min="7" max="8" width="19" bestFit="1" customWidth="1"/>
    <col min="9" max="9" width="24.44140625" bestFit="1" customWidth="1"/>
    <col min="10" max="10" width="25.44140625" bestFit="1" customWidth="1"/>
    <col min="11" max="11" width="15.109375" bestFit="1" customWidth="1"/>
    <col min="12" max="12" width="18.44140625" bestFit="1" customWidth="1"/>
    <col min="13" max="13" width="17.33203125" bestFit="1" customWidth="1"/>
    <col min="14" max="15" width="11.109375" bestFit="1" customWidth="1"/>
    <col min="16" max="16" width="23.44140625" bestFit="1" customWidth="1"/>
    <col min="17" max="17" width="25.44140625" bestFit="1" customWidth="1"/>
    <col min="18" max="18" width="11.5546875" bestFit="1" customWidth="1"/>
    <col min="19" max="19" width="15" bestFit="1" customWidth="1"/>
    <col min="20" max="20" width="12.44140625" bestFit="1" customWidth="1"/>
    <col min="21" max="21" width="15.2187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2">
        <v>45883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3" t="s">
        <v>21</v>
      </c>
      <c r="I2" s="3" t="s">
        <v>27</v>
      </c>
      <c r="J2" s="3" t="s">
        <v>27</v>
      </c>
      <c r="K2" s="4">
        <v>-96.52</v>
      </c>
      <c r="L2" s="3" t="s">
        <v>28</v>
      </c>
      <c r="M2" s="3" t="s">
        <v>27</v>
      </c>
      <c r="N2" s="2">
        <v>45883</v>
      </c>
      <c r="O2" s="5">
        <v>217448</v>
      </c>
      <c r="P2" s="3" t="s">
        <v>27</v>
      </c>
      <c r="Q2" s="3" t="s">
        <v>27</v>
      </c>
      <c r="R2" s="3" t="s">
        <v>27</v>
      </c>
      <c r="S2" s="3" t="s">
        <v>27</v>
      </c>
      <c r="T2" s="3" t="s">
        <v>27</v>
      </c>
      <c r="U2" s="3" t="s">
        <v>27</v>
      </c>
    </row>
    <row r="3" spans="1:21" x14ac:dyDescent="0.3">
      <c r="A3" s="2">
        <v>45883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21</v>
      </c>
      <c r="I3" s="3" t="s">
        <v>27</v>
      </c>
      <c r="J3" s="3" t="s">
        <v>27</v>
      </c>
      <c r="K3" s="4">
        <v>-62.74</v>
      </c>
      <c r="L3" s="3" t="s">
        <v>28</v>
      </c>
      <c r="M3" s="3" t="s">
        <v>27</v>
      </c>
      <c r="N3" s="2">
        <v>45883</v>
      </c>
      <c r="O3" s="5">
        <v>217444</v>
      </c>
      <c r="P3" s="3" t="s">
        <v>27</v>
      </c>
      <c r="Q3" s="3" t="s">
        <v>27</v>
      </c>
      <c r="R3" s="3" t="s">
        <v>27</v>
      </c>
      <c r="S3" s="3" t="s">
        <v>27</v>
      </c>
      <c r="T3" s="3" t="s">
        <v>27</v>
      </c>
      <c r="U3" s="3" t="s">
        <v>27</v>
      </c>
    </row>
    <row r="4" spans="1:21" x14ac:dyDescent="0.3">
      <c r="A4" s="2">
        <v>45883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26</v>
      </c>
      <c r="H4" s="3" t="s">
        <v>21</v>
      </c>
      <c r="I4" s="3" t="s">
        <v>27</v>
      </c>
      <c r="J4" s="3" t="s">
        <v>27</v>
      </c>
      <c r="K4" s="4">
        <v>-137.81</v>
      </c>
      <c r="L4" s="3" t="s">
        <v>28</v>
      </c>
      <c r="M4" s="3" t="s">
        <v>27</v>
      </c>
      <c r="N4" s="2">
        <v>45883</v>
      </c>
      <c r="O4" s="5">
        <v>217440</v>
      </c>
      <c r="P4" s="3" t="s">
        <v>27</v>
      </c>
      <c r="Q4" s="3" t="s">
        <v>27</v>
      </c>
      <c r="R4" s="3" t="s">
        <v>27</v>
      </c>
      <c r="S4" s="3" t="s">
        <v>27</v>
      </c>
      <c r="T4" s="3" t="s">
        <v>27</v>
      </c>
      <c r="U4" s="3" t="s">
        <v>27</v>
      </c>
    </row>
    <row r="5" spans="1:21" x14ac:dyDescent="0.3">
      <c r="A5" s="2">
        <v>45883</v>
      </c>
      <c r="B5" s="3" t="s">
        <v>21</v>
      </c>
      <c r="C5" s="3" t="s">
        <v>22</v>
      </c>
      <c r="D5" s="3" t="s">
        <v>23</v>
      </c>
      <c r="E5" s="3" t="s">
        <v>24</v>
      </c>
      <c r="F5" s="3" t="s">
        <v>25</v>
      </c>
      <c r="G5" s="3" t="s">
        <v>26</v>
      </c>
      <c r="H5" s="3" t="s">
        <v>21</v>
      </c>
      <c r="I5" s="3" t="s">
        <v>27</v>
      </c>
      <c r="J5" s="3" t="s">
        <v>27</v>
      </c>
      <c r="K5" s="4">
        <v>-135.68</v>
      </c>
      <c r="L5" s="3" t="s">
        <v>28</v>
      </c>
      <c r="M5" s="3" t="s">
        <v>27</v>
      </c>
      <c r="N5" s="2">
        <v>45883</v>
      </c>
      <c r="O5" s="5">
        <v>217436</v>
      </c>
      <c r="P5" s="3" t="s">
        <v>27</v>
      </c>
      <c r="Q5" s="3" t="s">
        <v>27</v>
      </c>
      <c r="R5" s="3" t="s">
        <v>27</v>
      </c>
      <c r="S5" s="3" t="s">
        <v>27</v>
      </c>
      <c r="T5" s="3" t="s">
        <v>27</v>
      </c>
      <c r="U5" s="3" t="s">
        <v>27</v>
      </c>
    </row>
    <row r="6" spans="1:21" x14ac:dyDescent="0.3">
      <c r="A6" s="2">
        <v>45883</v>
      </c>
      <c r="B6" s="3" t="s">
        <v>21</v>
      </c>
      <c r="C6" s="3" t="s">
        <v>22</v>
      </c>
      <c r="D6" s="3" t="s">
        <v>23</v>
      </c>
      <c r="E6" s="3" t="s">
        <v>24</v>
      </c>
      <c r="F6" s="3" t="s">
        <v>25</v>
      </c>
      <c r="G6" s="3" t="s">
        <v>26</v>
      </c>
      <c r="H6" s="3" t="s">
        <v>21</v>
      </c>
      <c r="I6" s="3" t="s">
        <v>27</v>
      </c>
      <c r="J6" s="3" t="s">
        <v>27</v>
      </c>
      <c r="K6" s="4">
        <v>-144.51</v>
      </c>
      <c r="L6" s="3" t="s">
        <v>28</v>
      </c>
      <c r="M6" s="3" t="s">
        <v>27</v>
      </c>
      <c r="N6" s="2">
        <v>45883</v>
      </c>
      <c r="O6" s="5">
        <v>217430</v>
      </c>
      <c r="P6" s="3" t="s">
        <v>27</v>
      </c>
      <c r="Q6" s="3" t="s">
        <v>27</v>
      </c>
      <c r="R6" s="3" t="s">
        <v>27</v>
      </c>
      <c r="S6" s="3" t="s">
        <v>27</v>
      </c>
      <c r="T6" s="3" t="s">
        <v>27</v>
      </c>
      <c r="U6" s="3" t="s">
        <v>27</v>
      </c>
    </row>
    <row r="7" spans="1:21" x14ac:dyDescent="0.3">
      <c r="A7" s="2">
        <v>45883</v>
      </c>
      <c r="B7" s="3" t="s">
        <v>21</v>
      </c>
      <c r="C7" s="3" t="s">
        <v>22</v>
      </c>
      <c r="D7" s="3" t="s">
        <v>29</v>
      </c>
      <c r="E7" s="3" t="s">
        <v>30</v>
      </c>
      <c r="F7" s="3" t="s">
        <v>25</v>
      </c>
      <c r="G7" s="3" t="s">
        <v>26</v>
      </c>
      <c r="H7" s="3" t="s">
        <v>21</v>
      </c>
      <c r="I7" s="3" t="s">
        <v>27</v>
      </c>
      <c r="J7" s="3" t="s">
        <v>27</v>
      </c>
      <c r="K7" s="4">
        <v>-290.67</v>
      </c>
      <c r="L7" s="3" t="s">
        <v>28</v>
      </c>
      <c r="M7" s="3" t="s">
        <v>27</v>
      </c>
      <c r="N7" s="2">
        <v>45883</v>
      </c>
      <c r="O7" s="5">
        <v>217434</v>
      </c>
      <c r="P7" s="3" t="s">
        <v>27</v>
      </c>
      <c r="Q7" s="3" t="s">
        <v>27</v>
      </c>
      <c r="R7" s="3" t="s">
        <v>27</v>
      </c>
      <c r="S7" s="3" t="s">
        <v>27</v>
      </c>
      <c r="T7" s="3" t="s">
        <v>27</v>
      </c>
      <c r="U7" s="3" t="s">
        <v>27</v>
      </c>
    </row>
    <row r="8" spans="1:21" x14ac:dyDescent="0.3">
      <c r="A8" s="2">
        <v>45883</v>
      </c>
      <c r="B8" s="3" t="s">
        <v>21</v>
      </c>
      <c r="C8" s="3" t="s">
        <v>22</v>
      </c>
      <c r="D8" s="3" t="s">
        <v>29</v>
      </c>
      <c r="E8" s="3" t="s">
        <v>30</v>
      </c>
      <c r="F8" s="3" t="s">
        <v>25</v>
      </c>
      <c r="G8" s="3" t="s">
        <v>26</v>
      </c>
      <c r="H8" s="3" t="s">
        <v>21</v>
      </c>
      <c r="I8" s="3" t="s">
        <v>27</v>
      </c>
      <c r="J8" s="3" t="s">
        <v>27</v>
      </c>
      <c r="K8" s="4">
        <v>-638.53</v>
      </c>
      <c r="L8" s="3" t="s">
        <v>28</v>
      </c>
      <c r="M8" s="3" t="s">
        <v>27</v>
      </c>
      <c r="N8" s="2">
        <v>45883</v>
      </c>
      <c r="O8" s="5">
        <v>217428</v>
      </c>
      <c r="P8" s="3" t="s">
        <v>27</v>
      </c>
      <c r="Q8" s="3" t="s">
        <v>27</v>
      </c>
      <c r="R8" s="3" t="s">
        <v>27</v>
      </c>
      <c r="S8" s="3" t="s">
        <v>27</v>
      </c>
      <c r="T8" s="3" t="s">
        <v>27</v>
      </c>
      <c r="U8" s="3" t="s">
        <v>27</v>
      </c>
    </row>
    <row r="9" spans="1:21" x14ac:dyDescent="0.3">
      <c r="A9" s="2">
        <v>45883</v>
      </c>
      <c r="B9" s="3" t="s">
        <v>21</v>
      </c>
      <c r="C9" s="3" t="s">
        <v>22</v>
      </c>
      <c r="D9" s="3" t="s">
        <v>31</v>
      </c>
      <c r="E9" s="3" t="s">
        <v>30</v>
      </c>
      <c r="F9" s="3" t="s">
        <v>25</v>
      </c>
      <c r="G9" s="3" t="s">
        <v>26</v>
      </c>
      <c r="H9" s="3" t="s">
        <v>21</v>
      </c>
      <c r="I9" s="3" t="s">
        <v>27</v>
      </c>
      <c r="J9" s="3" t="s">
        <v>27</v>
      </c>
      <c r="K9" s="4">
        <v>-224.07</v>
      </c>
      <c r="L9" s="3" t="s">
        <v>28</v>
      </c>
      <c r="M9" s="3" t="s">
        <v>27</v>
      </c>
      <c r="N9" s="2">
        <v>45883</v>
      </c>
      <c r="O9" s="5">
        <v>217446</v>
      </c>
      <c r="P9" s="3" t="s">
        <v>27</v>
      </c>
      <c r="Q9" s="3" t="s">
        <v>27</v>
      </c>
      <c r="R9" s="3" t="s">
        <v>27</v>
      </c>
      <c r="S9" s="3" t="s">
        <v>27</v>
      </c>
      <c r="T9" s="3" t="s">
        <v>27</v>
      </c>
      <c r="U9" s="3" t="s">
        <v>27</v>
      </c>
    </row>
    <row r="10" spans="1:21" x14ac:dyDescent="0.3">
      <c r="A10" s="2">
        <v>45883</v>
      </c>
      <c r="B10" s="3" t="s">
        <v>21</v>
      </c>
      <c r="C10" s="3" t="s">
        <v>22</v>
      </c>
      <c r="D10" s="3" t="s">
        <v>31</v>
      </c>
      <c r="E10" s="3" t="s">
        <v>30</v>
      </c>
      <c r="F10" s="3" t="s">
        <v>25</v>
      </c>
      <c r="G10" s="3" t="s">
        <v>26</v>
      </c>
      <c r="H10" s="3" t="s">
        <v>21</v>
      </c>
      <c r="I10" s="3" t="s">
        <v>27</v>
      </c>
      <c r="J10" s="3" t="s">
        <v>27</v>
      </c>
      <c r="K10" s="4">
        <v>-171.44</v>
      </c>
      <c r="L10" s="3" t="s">
        <v>28</v>
      </c>
      <c r="M10" s="3" t="s">
        <v>27</v>
      </c>
      <c r="N10" s="2">
        <v>45883</v>
      </c>
      <c r="O10" s="5">
        <v>217442</v>
      </c>
      <c r="P10" s="3" t="s">
        <v>27</v>
      </c>
      <c r="Q10" s="3" t="s">
        <v>27</v>
      </c>
      <c r="R10" s="3" t="s">
        <v>27</v>
      </c>
      <c r="S10" s="3" t="s">
        <v>27</v>
      </c>
      <c r="T10" s="3" t="s">
        <v>27</v>
      </c>
      <c r="U10" s="3" t="s">
        <v>27</v>
      </c>
    </row>
    <row r="11" spans="1:21" x14ac:dyDescent="0.3">
      <c r="A11" s="2">
        <v>45883</v>
      </c>
      <c r="B11" s="3" t="s">
        <v>21</v>
      </c>
      <c r="C11" s="3" t="s">
        <v>22</v>
      </c>
      <c r="D11" s="3" t="s">
        <v>31</v>
      </c>
      <c r="E11" s="3" t="s">
        <v>30</v>
      </c>
      <c r="F11" s="3" t="s">
        <v>25</v>
      </c>
      <c r="G11" s="3" t="s">
        <v>26</v>
      </c>
      <c r="H11" s="3" t="s">
        <v>21</v>
      </c>
      <c r="I11" s="3" t="s">
        <v>27</v>
      </c>
      <c r="J11" s="3" t="s">
        <v>27</v>
      </c>
      <c r="K11" s="4">
        <v>-376.62</v>
      </c>
      <c r="L11" s="3" t="s">
        <v>28</v>
      </c>
      <c r="M11" s="3" t="s">
        <v>27</v>
      </c>
      <c r="N11" s="2">
        <v>45883</v>
      </c>
      <c r="O11" s="5">
        <v>217438</v>
      </c>
      <c r="P11" s="3" t="s">
        <v>27</v>
      </c>
      <c r="Q11" s="3" t="s">
        <v>27</v>
      </c>
      <c r="R11" s="3" t="s">
        <v>27</v>
      </c>
      <c r="S11" s="3" t="s">
        <v>27</v>
      </c>
      <c r="T11" s="3" t="s">
        <v>27</v>
      </c>
      <c r="U11" s="3" t="s">
        <v>27</v>
      </c>
    </row>
    <row r="12" spans="1:21" x14ac:dyDescent="0.3">
      <c r="A12" s="2">
        <v>45883</v>
      </c>
      <c r="B12" s="3" t="s">
        <v>21</v>
      </c>
      <c r="C12" s="3" t="s">
        <v>22</v>
      </c>
      <c r="D12" s="3" t="s">
        <v>32</v>
      </c>
      <c r="E12" s="3" t="s">
        <v>30</v>
      </c>
      <c r="F12" s="3" t="s">
        <v>25</v>
      </c>
      <c r="G12" s="3" t="s">
        <v>26</v>
      </c>
      <c r="H12" s="3" t="s">
        <v>21</v>
      </c>
      <c r="I12" s="3" t="s">
        <v>27</v>
      </c>
      <c r="J12" s="3" t="s">
        <v>27</v>
      </c>
      <c r="K12" s="4">
        <v>-11537.89</v>
      </c>
      <c r="L12" s="3" t="s">
        <v>28</v>
      </c>
      <c r="M12" s="3" t="s">
        <v>27</v>
      </c>
      <c r="N12" s="2">
        <v>45883</v>
      </c>
      <c r="O12" s="5">
        <v>217452</v>
      </c>
      <c r="P12" s="3" t="s">
        <v>27</v>
      </c>
      <c r="Q12" s="3" t="s">
        <v>27</v>
      </c>
      <c r="R12" s="3" t="s">
        <v>27</v>
      </c>
      <c r="S12" s="3" t="s">
        <v>27</v>
      </c>
      <c r="T12" s="3" t="s">
        <v>27</v>
      </c>
      <c r="U12" s="3" t="s">
        <v>27</v>
      </c>
    </row>
    <row r="13" spans="1:21" x14ac:dyDescent="0.3">
      <c r="A13" s="2">
        <v>45883</v>
      </c>
      <c r="B13" s="3" t="s">
        <v>21</v>
      </c>
      <c r="C13" s="3" t="s">
        <v>22</v>
      </c>
      <c r="D13" s="3" t="s">
        <v>32</v>
      </c>
      <c r="E13" s="3" t="s">
        <v>30</v>
      </c>
      <c r="F13" s="3" t="s">
        <v>25</v>
      </c>
      <c r="G13" s="3" t="s">
        <v>26</v>
      </c>
      <c r="H13" s="3" t="s">
        <v>21</v>
      </c>
      <c r="I13" s="3" t="s">
        <v>27</v>
      </c>
      <c r="J13" s="3" t="s">
        <v>27</v>
      </c>
      <c r="K13" s="4">
        <v>8237.9699999999993</v>
      </c>
      <c r="L13" s="3" t="s">
        <v>28</v>
      </c>
      <c r="M13" s="3" t="s">
        <v>27</v>
      </c>
      <c r="N13" s="2">
        <v>45883</v>
      </c>
      <c r="O13" s="5">
        <v>217451</v>
      </c>
      <c r="P13" s="3" t="s">
        <v>27</v>
      </c>
      <c r="Q13" s="3" t="s">
        <v>27</v>
      </c>
      <c r="R13" s="3" t="s">
        <v>27</v>
      </c>
      <c r="S13" s="3" t="s">
        <v>27</v>
      </c>
      <c r="T13" s="3" t="s">
        <v>27</v>
      </c>
      <c r="U13" s="3" t="s">
        <v>27</v>
      </c>
    </row>
    <row r="14" spans="1:21" x14ac:dyDescent="0.3">
      <c r="A14" s="2">
        <v>45883</v>
      </c>
      <c r="B14" s="3" t="s">
        <v>21</v>
      </c>
      <c r="C14" s="3" t="s">
        <v>22</v>
      </c>
      <c r="D14" s="3" t="s">
        <v>32</v>
      </c>
      <c r="E14" s="3" t="s">
        <v>30</v>
      </c>
      <c r="F14" s="3" t="s">
        <v>25</v>
      </c>
      <c r="G14" s="3" t="s">
        <v>26</v>
      </c>
      <c r="H14" s="3" t="s">
        <v>21</v>
      </c>
      <c r="I14" s="3" t="s">
        <v>27</v>
      </c>
      <c r="J14" s="3" t="s">
        <v>27</v>
      </c>
      <c r="K14" s="4">
        <v>-8237.9699999999993</v>
      </c>
      <c r="L14" s="3" t="s">
        <v>28</v>
      </c>
      <c r="M14" s="3" t="s">
        <v>27</v>
      </c>
      <c r="N14" s="2">
        <v>45883</v>
      </c>
      <c r="O14" s="5">
        <v>217432</v>
      </c>
      <c r="P14" s="3" t="s">
        <v>27</v>
      </c>
      <c r="Q14" s="3" t="s">
        <v>27</v>
      </c>
      <c r="R14" s="3" t="s">
        <v>27</v>
      </c>
      <c r="S14" s="3" t="s">
        <v>27</v>
      </c>
      <c r="T14" s="3" t="s">
        <v>27</v>
      </c>
      <c r="U14" s="3" t="s">
        <v>27</v>
      </c>
    </row>
    <row r="15" spans="1:21" x14ac:dyDescent="0.3">
      <c r="A15" s="2">
        <v>45869</v>
      </c>
      <c r="B15" s="3" t="s">
        <v>21</v>
      </c>
      <c r="C15" s="3" t="s">
        <v>22</v>
      </c>
      <c r="D15" s="3" t="s">
        <v>32</v>
      </c>
      <c r="E15" s="3" t="s">
        <v>33</v>
      </c>
      <c r="F15" s="3" t="s">
        <v>25</v>
      </c>
      <c r="G15" s="3" t="s">
        <v>26</v>
      </c>
      <c r="H15" s="3" t="s">
        <v>21</v>
      </c>
      <c r="I15" s="3" t="s">
        <v>27</v>
      </c>
      <c r="J15" s="3" t="s">
        <v>27</v>
      </c>
      <c r="K15" s="4">
        <v>26</v>
      </c>
      <c r="L15" s="3" t="s">
        <v>28</v>
      </c>
      <c r="M15" s="3" t="s">
        <v>27</v>
      </c>
      <c r="N15" s="2">
        <v>45869</v>
      </c>
      <c r="O15" s="5">
        <v>215011</v>
      </c>
      <c r="P15" s="3" t="s">
        <v>27</v>
      </c>
      <c r="Q15" s="3" t="s">
        <v>27</v>
      </c>
      <c r="R15" s="3" t="s">
        <v>27</v>
      </c>
      <c r="S15" s="3" t="s">
        <v>27</v>
      </c>
      <c r="T15" s="3" t="s">
        <v>27</v>
      </c>
      <c r="U15" s="3" t="s">
        <v>27</v>
      </c>
    </row>
    <row r="16" spans="1:21" x14ac:dyDescent="0.3">
      <c r="A16" s="2">
        <v>45869</v>
      </c>
      <c r="B16" s="3" t="s">
        <v>21</v>
      </c>
      <c r="C16" s="3" t="s">
        <v>22</v>
      </c>
      <c r="D16" s="3" t="s">
        <v>32</v>
      </c>
      <c r="E16" s="3" t="s">
        <v>33</v>
      </c>
      <c r="F16" s="3" t="s">
        <v>25</v>
      </c>
      <c r="G16" s="3" t="s">
        <v>26</v>
      </c>
      <c r="H16" s="3" t="s">
        <v>21</v>
      </c>
      <c r="I16" s="3" t="s">
        <v>27</v>
      </c>
      <c r="J16" s="3" t="s">
        <v>27</v>
      </c>
      <c r="K16" s="4">
        <v>96.2</v>
      </c>
      <c r="L16" s="3" t="s">
        <v>28</v>
      </c>
      <c r="M16" s="3" t="s">
        <v>27</v>
      </c>
      <c r="N16" s="2">
        <v>45869</v>
      </c>
      <c r="O16" s="5">
        <v>215009</v>
      </c>
      <c r="P16" s="3" t="s">
        <v>27</v>
      </c>
      <c r="Q16" s="3" t="s">
        <v>27</v>
      </c>
      <c r="R16" s="3" t="s">
        <v>27</v>
      </c>
      <c r="S16" s="3" t="s">
        <v>27</v>
      </c>
      <c r="T16" s="3" t="s">
        <v>27</v>
      </c>
      <c r="U16" s="3" t="s">
        <v>27</v>
      </c>
    </row>
    <row r="17" spans="1:21" x14ac:dyDescent="0.3">
      <c r="A17" s="2">
        <v>45869</v>
      </c>
      <c r="B17" s="3" t="s">
        <v>21</v>
      </c>
      <c r="C17" s="3" t="s">
        <v>22</v>
      </c>
      <c r="D17" s="3" t="s">
        <v>32</v>
      </c>
      <c r="E17" s="3" t="s">
        <v>33</v>
      </c>
      <c r="F17" s="3" t="s">
        <v>25</v>
      </c>
      <c r="G17" s="3" t="s">
        <v>26</v>
      </c>
      <c r="H17" s="3" t="s">
        <v>21</v>
      </c>
      <c r="I17" s="3" t="s">
        <v>27</v>
      </c>
      <c r="J17" s="3" t="s">
        <v>27</v>
      </c>
      <c r="K17" s="4">
        <v>3342.1</v>
      </c>
      <c r="L17" s="3" t="s">
        <v>28</v>
      </c>
      <c r="M17" s="3" t="s">
        <v>27</v>
      </c>
      <c r="N17" s="2">
        <v>45869</v>
      </c>
      <c r="O17" s="5">
        <v>215007</v>
      </c>
      <c r="P17" s="3" t="s">
        <v>27</v>
      </c>
      <c r="Q17" s="3" t="s">
        <v>27</v>
      </c>
      <c r="R17" s="3" t="s">
        <v>27</v>
      </c>
      <c r="S17" s="3" t="s">
        <v>27</v>
      </c>
      <c r="T17" s="3" t="s">
        <v>27</v>
      </c>
      <c r="U17" s="3" t="s">
        <v>27</v>
      </c>
    </row>
    <row r="18" spans="1:21" x14ac:dyDescent="0.3">
      <c r="A18" s="2">
        <v>45869</v>
      </c>
      <c r="B18" s="3" t="s">
        <v>21</v>
      </c>
      <c r="C18" s="3" t="s">
        <v>22</v>
      </c>
      <c r="D18" s="3" t="s">
        <v>32</v>
      </c>
      <c r="E18" s="3" t="s">
        <v>33</v>
      </c>
      <c r="F18" s="3" t="s">
        <v>25</v>
      </c>
      <c r="G18" s="3" t="s">
        <v>26</v>
      </c>
      <c r="H18" s="3" t="s">
        <v>21</v>
      </c>
      <c r="I18" s="3" t="s">
        <v>27</v>
      </c>
      <c r="J18" s="3" t="s">
        <v>27</v>
      </c>
      <c r="K18" s="4">
        <v>5795</v>
      </c>
      <c r="L18" s="3" t="s">
        <v>28</v>
      </c>
      <c r="M18" s="3" t="s">
        <v>27</v>
      </c>
      <c r="N18" s="2">
        <v>45869</v>
      </c>
      <c r="O18" s="5">
        <v>215005</v>
      </c>
      <c r="P18" s="3" t="s">
        <v>27</v>
      </c>
      <c r="Q18" s="3" t="s">
        <v>27</v>
      </c>
      <c r="R18" s="3" t="s">
        <v>27</v>
      </c>
      <c r="S18" s="3" t="s">
        <v>27</v>
      </c>
      <c r="T18" s="3" t="s">
        <v>27</v>
      </c>
      <c r="U18" s="3" t="s">
        <v>27</v>
      </c>
    </row>
    <row r="19" spans="1:21" x14ac:dyDescent="0.3">
      <c r="A19" s="2">
        <v>45883</v>
      </c>
      <c r="B19" s="3" t="s">
        <v>21</v>
      </c>
      <c r="C19" s="3" t="s">
        <v>22</v>
      </c>
      <c r="D19" s="3" t="s">
        <v>34</v>
      </c>
      <c r="E19" s="3" t="s">
        <v>35</v>
      </c>
      <c r="F19" s="3" t="s">
        <v>25</v>
      </c>
      <c r="G19" s="3" t="s">
        <v>26</v>
      </c>
      <c r="H19" s="3" t="s">
        <v>21</v>
      </c>
      <c r="I19" s="3" t="s">
        <v>27</v>
      </c>
      <c r="J19" s="3" t="s">
        <v>27</v>
      </c>
      <c r="K19" s="4">
        <v>151.29</v>
      </c>
      <c r="L19" s="3" t="s">
        <v>28</v>
      </c>
      <c r="M19" s="3" t="s">
        <v>27</v>
      </c>
      <c r="N19" s="2">
        <v>45883</v>
      </c>
      <c r="O19" s="5">
        <v>217458</v>
      </c>
      <c r="P19" s="3" t="s">
        <v>27</v>
      </c>
      <c r="Q19" s="3" t="s">
        <v>27</v>
      </c>
      <c r="R19" s="3" t="s">
        <v>27</v>
      </c>
      <c r="S19" s="3" t="s">
        <v>27</v>
      </c>
      <c r="T19" s="3" t="s">
        <v>27</v>
      </c>
      <c r="U19" s="3" t="s">
        <v>27</v>
      </c>
    </row>
    <row r="20" spans="1:21" x14ac:dyDescent="0.3">
      <c r="A20" s="2">
        <v>45883</v>
      </c>
      <c r="B20" s="3" t="s">
        <v>21</v>
      </c>
      <c r="C20" s="3" t="s">
        <v>22</v>
      </c>
      <c r="D20" s="3" t="s">
        <v>36</v>
      </c>
      <c r="E20" s="3" t="s">
        <v>35</v>
      </c>
      <c r="F20" s="3" t="s">
        <v>25</v>
      </c>
      <c r="G20" s="3" t="s">
        <v>26</v>
      </c>
      <c r="H20" s="3" t="s">
        <v>21</v>
      </c>
      <c r="I20" s="3" t="s">
        <v>27</v>
      </c>
      <c r="J20" s="3" t="s">
        <v>27</v>
      </c>
      <c r="K20" s="4">
        <v>-0.18</v>
      </c>
      <c r="L20" s="3" t="s">
        <v>28</v>
      </c>
      <c r="M20" s="3" t="s">
        <v>27</v>
      </c>
      <c r="N20" s="2">
        <v>45883</v>
      </c>
      <c r="O20" s="5">
        <v>217456</v>
      </c>
      <c r="P20" s="3" t="s">
        <v>27</v>
      </c>
      <c r="Q20" s="3" t="s">
        <v>27</v>
      </c>
      <c r="R20" s="3" t="s">
        <v>27</v>
      </c>
      <c r="S20" s="3" t="s">
        <v>27</v>
      </c>
      <c r="T20" s="3" t="s">
        <v>27</v>
      </c>
      <c r="U20" s="3" t="s">
        <v>27</v>
      </c>
    </row>
    <row r="21" spans="1:21" x14ac:dyDescent="0.3">
      <c r="A21" s="2">
        <v>45883</v>
      </c>
      <c r="B21" s="3" t="s">
        <v>21</v>
      </c>
      <c r="C21" s="3" t="s">
        <v>22</v>
      </c>
      <c r="D21" s="3" t="s">
        <v>37</v>
      </c>
      <c r="E21" s="3" t="s">
        <v>35</v>
      </c>
      <c r="F21" s="3" t="s">
        <v>25</v>
      </c>
      <c r="G21" s="3" t="s">
        <v>26</v>
      </c>
      <c r="H21" s="3" t="s">
        <v>21</v>
      </c>
      <c r="I21" s="3" t="s">
        <v>27</v>
      </c>
      <c r="J21" s="3" t="s">
        <v>27</v>
      </c>
      <c r="K21" s="4">
        <v>3148.82</v>
      </c>
      <c r="L21" s="3" t="s">
        <v>28</v>
      </c>
      <c r="M21" s="3" t="s">
        <v>27</v>
      </c>
      <c r="N21" s="2">
        <v>45883</v>
      </c>
      <c r="O21" s="5">
        <v>217454</v>
      </c>
      <c r="P21" s="3" t="s">
        <v>27</v>
      </c>
      <c r="Q21" s="3" t="s">
        <v>27</v>
      </c>
      <c r="R21" s="3" t="s">
        <v>27</v>
      </c>
      <c r="S21" s="3" t="s">
        <v>27</v>
      </c>
      <c r="T21" s="3" t="s">
        <v>27</v>
      </c>
      <c r="U21" s="3" t="s">
        <v>27</v>
      </c>
    </row>
    <row r="22" spans="1:21" x14ac:dyDescent="0.3">
      <c r="A22" s="2">
        <v>45883</v>
      </c>
      <c r="B22" s="3" t="s">
        <v>21</v>
      </c>
      <c r="C22" s="3" t="s">
        <v>22</v>
      </c>
      <c r="D22" s="3" t="s">
        <v>38</v>
      </c>
      <c r="E22" s="3" t="s">
        <v>24</v>
      </c>
      <c r="F22" s="3" t="s">
        <v>25</v>
      </c>
      <c r="G22" s="3" t="s">
        <v>26</v>
      </c>
      <c r="H22" s="3" t="s">
        <v>21</v>
      </c>
      <c r="I22" s="3" t="s">
        <v>27</v>
      </c>
      <c r="J22" s="3" t="s">
        <v>27</v>
      </c>
      <c r="K22" s="4">
        <v>96.52</v>
      </c>
      <c r="L22" s="3" t="s">
        <v>28</v>
      </c>
      <c r="M22" s="3" t="s">
        <v>27</v>
      </c>
      <c r="N22" s="2">
        <v>45883</v>
      </c>
      <c r="O22" s="5">
        <v>217447</v>
      </c>
      <c r="P22" s="3" t="s">
        <v>27</v>
      </c>
      <c r="Q22" s="3" t="s">
        <v>27</v>
      </c>
      <c r="R22" s="3" t="s">
        <v>27</v>
      </c>
      <c r="S22" s="3" t="s">
        <v>27</v>
      </c>
      <c r="T22" s="3" t="s">
        <v>27</v>
      </c>
      <c r="U22" s="3" t="s">
        <v>27</v>
      </c>
    </row>
    <row r="23" spans="1:21" x14ac:dyDescent="0.3">
      <c r="A23" s="2">
        <v>45883</v>
      </c>
      <c r="B23" s="3" t="s">
        <v>21</v>
      </c>
      <c r="C23" s="3" t="s">
        <v>22</v>
      </c>
      <c r="D23" s="3" t="s">
        <v>38</v>
      </c>
      <c r="E23" s="3" t="s">
        <v>30</v>
      </c>
      <c r="F23" s="3" t="s">
        <v>25</v>
      </c>
      <c r="G23" s="3" t="s">
        <v>26</v>
      </c>
      <c r="H23" s="3" t="s">
        <v>21</v>
      </c>
      <c r="I23" s="3" t="s">
        <v>27</v>
      </c>
      <c r="J23" s="3" t="s">
        <v>27</v>
      </c>
      <c r="K23" s="4">
        <v>224.07</v>
      </c>
      <c r="L23" s="3" t="s">
        <v>28</v>
      </c>
      <c r="M23" s="3" t="s">
        <v>27</v>
      </c>
      <c r="N23" s="2">
        <v>45883</v>
      </c>
      <c r="O23" s="5">
        <v>217445</v>
      </c>
      <c r="P23" s="3" t="s">
        <v>27</v>
      </c>
      <c r="Q23" s="3" t="s">
        <v>27</v>
      </c>
      <c r="R23" s="3" t="s">
        <v>27</v>
      </c>
      <c r="S23" s="3" t="s">
        <v>27</v>
      </c>
      <c r="T23" s="3" t="s">
        <v>27</v>
      </c>
      <c r="U23" s="3" t="s">
        <v>27</v>
      </c>
    </row>
    <row r="24" spans="1:21" x14ac:dyDescent="0.3">
      <c r="A24" s="2">
        <v>45883</v>
      </c>
      <c r="B24" s="3" t="s">
        <v>21</v>
      </c>
      <c r="C24" s="3" t="s">
        <v>22</v>
      </c>
      <c r="D24" s="3" t="s">
        <v>38</v>
      </c>
      <c r="E24" s="3" t="s">
        <v>24</v>
      </c>
      <c r="F24" s="3" t="s">
        <v>25</v>
      </c>
      <c r="G24" s="3" t="s">
        <v>26</v>
      </c>
      <c r="H24" s="3" t="s">
        <v>21</v>
      </c>
      <c r="I24" s="3" t="s">
        <v>27</v>
      </c>
      <c r="J24" s="3" t="s">
        <v>27</v>
      </c>
      <c r="K24" s="4">
        <v>62.74</v>
      </c>
      <c r="L24" s="3" t="s">
        <v>28</v>
      </c>
      <c r="M24" s="3" t="s">
        <v>27</v>
      </c>
      <c r="N24" s="2">
        <v>45883</v>
      </c>
      <c r="O24" s="5">
        <v>217443</v>
      </c>
      <c r="P24" s="3" t="s">
        <v>27</v>
      </c>
      <c r="Q24" s="3" t="s">
        <v>27</v>
      </c>
      <c r="R24" s="3" t="s">
        <v>27</v>
      </c>
      <c r="S24" s="3" t="s">
        <v>27</v>
      </c>
      <c r="T24" s="3" t="s">
        <v>27</v>
      </c>
      <c r="U24" s="3" t="s">
        <v>27</v>
      </c>
    </row>
    <row r="25" spans="1:21" x14ac:dyDescent="0.3">
      <c r="A25" s="2">
        <v>45883</v>
      </c>
      <c r="B25" s="3" t="s">
        <v>21</v>
      </c>
      <c r="C25" s="3" t="s">
        <v>22</v>
      </c>
      <c r="D25" s="3" t="s">
        <v>38</v>
      </c>
      <c r="E25" s="3" t="s">
        <v>30</v>
      </c>
      <c r="F25" s="3" t="s">
        <v>25</v>
      </c>
      <c r="G25" s="3" t="s">
        <v>26</v>
      </c>
      <c r="H25" s="3" t="s">
        <v>21</v>
      </c>
      <c r="I25" s="3" t="s">
        <v>27</v>
      </c>
      <c r="J25" s="3" t="s">
        <v>27</v>
      </c>
      <c r="K25" s="4">
        <v>171.44</v>
      </c>
      <c r="L25" s="3" t="s">
        <v>28</v>
      </c>
      <c r="M25" s="3" t="s">
        <v>27</v>
      </c>
      <c r="N25" s="2">
        <v>45883</v>
      </c>
      <c r="O25" s="5">
        <v>217441</v>
      </c>
      <c r="P25" s="3" t="s">
        <v>27</v>
      </c>
      <c r="Q25" s="3" t="s">
        <v>27</v>
      </c>
      <c r="R25" s="3" t="s">
        <v>27</v>
      </c>
      <c r="S25" s="3" t="s">
        <v>27</v>
      </c>
      <c r="T25" s="3" t="s">
        <v>27</v>
      </c>
      <c r="U25" s="3" t="s">
        <v>27</v>
      </c>
    </row>
    <row r="26" spans="1:21" x14ac:dyDescent="0.3">
      <c r="A26" s="2">
        <v>45883</v>
      </c>
      <c r="B26" s="3" t="s">
        <v>21</v>
      </c>
      <c r="C26" s="3" t="s">
        <v>22</v>
      </c>
      <c r="D26" s="3" t="s">
        <v>38</v>
      </c>
      <c r="E26" s="3" t="s">
        <v>24</v>
      </c>
      <c r="F26" s="3" t="s">
        <v>25</v>
      </c>
      <c r="G26" s="3" t="s">
        <v>26</v>
      </c>
      <c r="H26" s="3" t="s">
        <v>21</v>
      </c>
      <c r="I26" s="3" t="s">
        <v>27</v>
      </c>
      <c r="J26" s="3" t="s">
        <v>27</v>
      </c>
      <c r="K26" s="4">
        <v>137.81</v>
      </c>
      <c r="L26" s="3" t="s">
        <v>28</v>
      </c>
      <c r="M26" s="3" t="s">
        <v>27</v>
      </c>
      <c r="N26" s="2">
        <v>45883</v>
      </c>
      <c r="O26" s="5">
        <v>217439</v>
      </c>
      <c r="P26" s="3" t="s">
        <v>27</v>
      </c>
      <c r="Q26" s="3" t="s">
        <v>27</v>
      </c>
      <c r="R26" s="3" t="s">
        <v>27</v>
      </c>
      <c r="S26" s="3" t="s">
        <v>27</v>
      </c>
      <c r="T26" s="3" t="s">
        <v>27</v>
      </c>
      <c r="U26" s="3" t="s">
        <v>27</v>
      </c>
    </row>
    <row r="27" spans="1:21" x14ac:dyDescent="0.3">
      <c r="A27" s="2">
        <v>45883</v>
      </c>
      <c r="B27" s="3" t="s">
        <v>21</v>
      </c>
      <c r="C27" s="3" t="s">
        <v>22</v>
      </c>
      <c r="D27" s="3" t="s">
        <v>38</v>
      </c>
      <c r="E27" s="3" t="s">
        <v>30</v>
      </c>
      <c r="F27" s="3" t="s">
        <v>25</v>
      </c>
      <c r="G27" s="3" t="s">
        <v>26</v>
      </c>
      <c r="H27" s="3" t="s">
        <v>21</v>
      </c>
      <c r="I27" s="3" t="s">
        <v>27</v>
      </c>
      <c r="J27" s="3" t="s">
        <v>27</v>
      </c>
      <c r="K27" s="4">
        <v>376.62</v>
      </c>
      <c r="L27" s="3" t="s">
        <v>28</v>
      </c>
      <c r="M27" s="3" t="s">
        <v>27</v>
      </c>
      <c r="N27" s="2">
        <v>45883</v>
      </c>
      <c r="O27" s="5">
        <v>217437</v>
      </c>
      <c r="P27" s="3" t="s">
        <v>27</v>
      </c>
      <c r="Q27" s="3" t="s">
        <v>27</v>
      </c>
      <c r="R27" s="3" t="s">
        <v>27</v>
      </c>
      <c r="S27" s="3" t="s">
        <v>27</v>
      </c>
      <c r="T27" s="3" t="s">
        <v>27</v>
      </c>
      <c r="U27" s="3" t="s">
        <v>27</v>
      </c>
    </row>
    <row r="28" spans="1:21" x14ac:dyDescent="0.3">
      <c r="A28" s="2">
        <v>45883</v>
      </c>
      <c r="B28" s="3" t="s">
        <v>21</v>
      </c>
      <c r="C28" s="3" t="s">
        <v>22</v>
      </c>
      <c r="D28" s="3" t="s">
        <v>38</v>
      </c>
      <c r="E28" s="3" t="s">
        <v>24</v>
      </c>
      <c r="F28" s="3" t="s">
        <v>25</v>
      </c>
      <c r="G28" s="3" t="s">
        <v>26</v>
      </c>
      <c r="H28" s="3" t="s">
        <v>21</v>
      </c>
      <c r="I28" s="3" t="s">
        <v>27</v>
      </c>
      <c r="J28" s="3" t="s">
        <v>27</v>
      </c>
      <c r="K28" s="4">
        <v>135.68</v>
      </c>
      <c r="L28" s="3" t="s">
        <v>28</v>
      </c>
      <c r="M28" s="3" t="s">
        <v>27</v>
      </c>
      <c r="N28" s="2">
        <v>45883</v>
      </c>
      <c r="O28" s="5">
        <v>217435</v>
      </c>
      <c r="P28" s="3" t="s">
        <v>27</v>
      </c>
      <c r="Q28" s="3" t="s">
        <v>27</v>
      </c>
      <c r="R28" s="3" t="s">
        <v>27</v>
      </c>
      <c r="S28" s="3" t="s">
        <v>27</v>
      </c>
      <c r="T28" s="3" t="s">
        <v>27</v>
      </c>
      <c r="U28" s="3" t="s">
        <v>27</v>
      </c>
    </row>
    <row r="29" spans="1:21" x14ac:dyDescent="0.3">
      <c r="A29" s="2">
        <v>45883</v>
      </c>
      <c r="B29" s="3" t="s">
        <v>21</v>
      </c>
      <c r="C29" s="3" t="s">
        <v>22</v>
      </c>
      <c r="D29" s="3" t="s">
        <v>38</v>
      </c>
      <c r="E29" s="3" t="s">
        <v>30</v>
      </c>
      <c r="F29" s="3" t="s">
        <v>25</v>
      </c>
      <c r="G29" s="3" t="s">
        <v>26</v>
      </c>
      <c r="H29" s="3" t="s">
        <v>21</v>
      </c>
      <c r="I29" s="3" t="s">
        <v>27</v>
      </c>
      <c r="J29" s="3" t="s">
        <v>27</v>
      </c>
      <c r="K29" s="4">
        <v>290.67</v>
      </c>
      <c r="L29" s="3" t="s">
        <v>28</v>
      </c>
      <c r="M29" s="3" t="s">
        <v>27</v>
      </c>
      <c r="N29" s="2">
        <v>45883</v>
      </c>
      <c r="O29" s="5">
        <v>217433</v>
      </c>
      <c r="P29" s="3" t="s">
        <v>27</v>
      </c>
      <c r="Q29" s="3" t="s">
        <v>27</v>
      </c>
      <c r="R29" s="3" t="s">
        <v>27</v>
      </c>
      <c r="S29" s="3" t="s">
        <v>27</v>
      </c>
      <c r="T29" s="3" t="s">
        <v>27</v>
      </c>
      <c r="U29" s="3" t="s">
        <v>27</v>
      </c>
    </row>
    <row r="30" spans="1:21" x14ac:dyDescent="0.3">
      <c r="A30" s="2">
        <v>45883</v>
      </c>
      <c r="B30" s="3" t="s">
        <v>21</v>
      </c>
      <c r="C30" s="3" t="s">
        <v>22</v>
      </c>
      <c r="D30" s="3" t="s">
        <v>38</v>
      </c>
      <c r="E30" s="3" t="s">
        <v>24</v>
      </c>
      <c r="F30" s="3" t="s">
        <v>25</v>
      </c>
      <c r="G30" s="3" t="s">
        <v>26</v>
      </c>
      <c r="H30" s="3" t="s">
        <v>21</v>
      </c>
      <c r="I30" s="3" t="s">
        <v>27</v>
      </c>
      <c r="J30" s="3" t="s">
        <v>27</v>
      </c>
      <c r="K30" s="4">
        <v>144.51</v>
      </c>
      <c r="L30" s="3" t="s">
        <v>28</v>
      </c>
      <c r="M30" s="3" t="s">
        <v>27</v>
      </c>
      <c r="N30" s="2">
        <v>45883</v>
      </c>
      <c r="O30" s="5">
        <v>217429</v>
      </c>
      <c r="P30" s="3" t="s">
        <v>27</v>
      </c>
      <c r="Q30" s="3" t="s">
        <v>27</v>
      </c>
      <c r="R30" s="3" t="s">
        <v>27</v>
      </c>
      <c r="S30" s="3" t="s">
        <v>27</v>
      </c>
      <c r="T30" s="3" t="s">
        <v>27</v>
      </c>
      <c r="U30" s="3" t="s">
        <v>27</v>
      </c>
    </row>
    <row r="31" spans="1:21" x14ac:dyDescent="0.3">
      <c r="A31" s="2">
        <v>45883</v>
      </c>
      <c r="B31" s="3" t="s">
        <v>21</v>
      </c>
      <c r="C31" s="3" t="s">
        <v>22</v>
      </c>
      <c r="D31" s="3" t="s">
        <v>38</v>
      </c>
      <c r="E31" s="3" t="s">
        <v>30</v>
      </c>
      <c r="F31" s="3" t="s">
        <v>25</v>
      </c>
      <c r="G31" s="3" t="s">
        <v>26</v>
      </c>
      <c r="H31" s="3" t="s">
        <v>21</v>
      </c>
      <c r="I31" s="3" t="s">
        <v>27</v>
      </c>
      <c r="J31" s="3" t="s">
        <v>27</v>
      </c>
      <c r="K31" s="4">
        <v>638.53</v>
      </c>
      <c r="L31" s="3" t="s">
        <v>28</v>
      </c>
      <c r="M31" s="3" t="s">
        <v>27</v>
      </c>
      <c r="N31" s="2">
        <v>45883</v>
      </c>
      <c r="O31" s="5">
        <v>217427</v>
      </c>
      <c r="P31" s="3" t="s">
        <v>27</v>
      </c>
      <c r="Q31" s="3" t="s">
        <v>27</v>
      </c>
      <c r="R31" s="3" t="s">
        <v>27</v>
      </c>
      <c r="S31" s="3" t="s">
        <v>27</v>
      </c>
      <c r="T31" s="3" t="s">
        <v>27</v>
      </c>
      <c r="U31" s="3" t="s">
        <v>27</v>
      </c>
    </row>
    <row r="32" spans="1:21" x14ac:dyDescent="0.3">
      <c r="A32" s="2">
        <v>45883</v>
      </c>
      <c r="B32" s="3" t="s">
        <v>21</v>
      </c>
      <c r="C32" s="3" t="s">
        <v>22</v>
      </c>
      <c r="D32" s="3" t="s">
        <v>39</v>
      </c>
      <c r="E32" s="3" t="s">
        <v>30</v>
      </c>
      <c r="F32" s="3" t="s">
        <v>25</v>
      </c>
      <c r="G32" s="3" t="s">
        <v>26</v>
      </c>
      <c r="H32" s="3" t="s">
        <v>21</v>
      </c>
      <c r="I32" s="3" t="s">
        <v>27</v>
      </c>
      <c r="J32" s="3" t="s">
        <v>27</v>
      </c>
      <c r="K32" s="4">
        <v>-8237.9699999999993</v>
      </c>
      <c r="L32" s="3" t="s">
        <v>28</v>
      </c>
      <c r="M32" s="3" t="s">
        <v>27</v>
      </c>
      <c r="N32" s="2">
        <v>45883</v>
      </c>
      <c r="O32" s="5">
        <v>217449</v>
      </c>
      <c r="P32" s="3" t="s">
        <v>27</v>
      </c>
      <c r="Q32" s="3" t="s">
        <v>27</v>
      </c>
      <c r="R32" s="3" t="s">
        <v>27</v>
      </c>
      <c r="S32" s="3" t="s">
        <v>27</v>
      </c>
      <c r="T32" s="3" t="s">
        <v>27</v>
      </c>
      <c r="U32" s="3" t="s">
        <v>27</v>
      </c>
    </row>
    <row r="33" spans="1:21" x14ac:dyDescent="0.3">
      <c r="A33" s="2">
        <v>45883</v>
      </c>
      <c r="B33" s="3" t="s">
        <v>21</v>
      </c>
      <c r="C33" s="3" t="s">
        <v>22</v>
      </c>
      <c r="D33" s="3" t="s">
        <v>39</v>
      </c>
      <c r="E33" s="3" t="s">
        <v>30</v>
      </c>
      <c r="F33" s="3" t="s">
        <v>25</v>
      </c>
      <c r="G33" s="3" t="s">
        <v>26</v>
      </c>
      <c r="H33" s="3" t="s">
        <v>21</v>
      </c>
      <c r="I33" s="3" t="s">
        <v>27</v>
      </c>
      <c r="J33" s="3" t="s">
        <v>27</v>
      </c>
      <c r="K33" s="4">
        <v>8237.9699999999993</v>
      </c>
      <c r="L33" s="3" t="s">
        <v>28</v>
      </c>
      <c r="M33" s="3" t="s">
        <v>27</v>
      </c>
      <c r="N33" s="2">
        <v>45883</v>
      </c>
      <c r="O33" s="5">
        <v>217431</v>
      </c>
      <c r="P33" s="3" t="s">
        <v>27</v>
      </c>
      <c r="Q33" s="3" t="s">
        <v>27</v>
      </c>
      <c r="R33" s="3" t="s">
        <v>27</v>
      </c>
      <c r="S33" s="3" t="s">
        <v>27</v>
      </c>
      <c r="T33" s="3" t="s">
        <v>27</v>
      </c>
      <c r="U33" s="3" t="s">
        <v>27</v>
      </c>
    </row>
    <row r="34" spans="1:21" x14ac:dyDescent="0.3">
      <c r="A34" s="2">
        <v>45883</v>
      </c>
      <c r="B34" s="3" t="s">
        <v>21</v>
      </c>
      <c r="C34" s="3" t="s">
        <v>22</v>
      </c>
      <c r="D34" s="3" t="s">
        <v>40</v>
      </c>
      <c r="E34" s="3" t="s">
        <v>35</v>
      </c>
      <c r="F34" s="3" t="s">
        <v>25</v>
      </c>
      <c r="G34" s="3" t="s">
        <v>26</v>
      </c>
      <c r="H34" s="3" t="s">
        <v>21</v>
      </c>
      <c r="I34" s="3" t="s">
        <v>27</v>
      </c>
      <c r="J34" s="3" t="s">
        <v>27</v>
      </c>
      <c r="K34" s="4">
        <v>-151.29</v>
      </c>
      <c r="L34" s="3" t="s">
        <v>28</v>
      </c>
      <c r="M34" s="3" t="s">
        <v>27</v>
      </c>
      <c r="N34" s="2">
        <v>45883</v>
      </c>
      <c r="O34" s="5">
        <v>217457</v>
      </c>
      <c r="P34" s="3" t="s">
        <v>27</v>
      </c>
      <c r="Q34" s="3" t="s">
        <v>27</v>
      </c>
      <c r="R34" s="3" t="s">
        <v>27</v>
      </c>
      <c r="S34" s="3" t="s">
        <v>27</v>
      </c>
      <c r="T34" s="3" t="s">
        <v>27</v>
      </c>
      <c r="U34" s="3" t="s">
        <v>27</v>
      </c>
    </row>
    <row r="35" spans="1:21" x14ac:dyDescent="0.3">
      <c r="A35" s="2">
        <v>45883</v>
      </c>
      <c r="B35" s="3" t="s">
        <v>21</v>
      </c>
      <c r="C35" s="3" t="s">
        <v>22</v>
      </c>
      <c r="D35" s="3" t="s">
        <v>40</v>
      </c>
      <c r="E35" s="3" t="s">
        <v>35</v>
      </c>
      <c r="F35" s="3" t="s">
        <v>25</v>
      </c>
      <c r="G35" s="3" t="s">
        <v>26</v>
      </c>
      <c r="H35" s="3" t="s">
        <v>21</v>
      </c>
      <c r="I35" s="3" t="s">
        <v>27</v>
      </c>
      <c r="J35" s="3" t="s">
        <v>27</v>
      </c>
      <c r="K35" s="4">
        <v>0.18</v>
      </c>
      <c r="L35" s="3" t="s">
        <v>28</v>
      </c>
      <c r="M35" s="3" t="s">
        <v>27</v>
      </c>
      <c r="N35" s="2">
        <v>45883</v>
      </c>
      <c r="O35" s="5">
        <v>217455</v>
      </c>
      <c r="P35" s="3" t="s">
        <v>27</v>
      </c>
      <c r="Q35" s="3" t="s">
        <v>27</v>
      </c>
      <c r="R35" s="3" t="s">
        <v>27</v>
      </c>
      <c r="S35" s="3" t="s">
        <v>27</v>
      </c>
      <c r="T35" s="3" t="s">
        <v>27</v>
      </c>
      <c r="U35" s="3" t="s">
        <v>27</v>
      </c>
    </row>
    <row r="36" spans="1:21" x14ac:dyDescent="0.3">
      <c r="A36" s="2">
        <v>45883</v>
      </c>
      <c r="B36" s="3" t="s">
        <v>21</v>
      </c>
      <c r="C36" s="3" t="s">
        <v>22</v>
      </c>
      <c r="D36" s="3" t="s">
        <v>40</v>
      </c>
      <c r="E36" s="3" t="s">
        <v>35</v>
      </c>
      <c r="F36" s="3" t="s">
        <v>25</v>
      </c>
      <c r="G36" s="3" t="s">
        <v>26</v>
      </c>
      <c r="H36" s="3" t="s">
        <v>21</v>
      </c>
      <c r="I36" s="3" t="s">
        <v>27</v>
      </c>
      <c r="J36" s="3" t="s">
        <v>27</v>
      </c>
      <c r="K36" s="4">
        <v>-3148.82</v>
      </c>
      <c r="L36" s="3" t="s">
        <v>28</v>
      </c>
      <c r="M36" s="3" t="s">
        <v>27</v>
      </c>
      <c r="N36" s="2">
        <v>45883</v>
      </c>
      <c r="O36" s="5">
        <v>217453</v>
      </c>
      <c r="P36" s="3" t="s">
        <v>27</v>
      </c>
      <c r="Q36" s="3" t="s">
        <v>27</v>
      </c>
      <c r="R36" s="3" t="s">
        <v>27</v>
      </c>
      <c r="S36" s="3" t="s">
        <v>27</v>
      </c>
      <c r="T36" s="3" t="s">
        <v>27</v>
      </c>
      <c r="U36" s="3" t="s">
        <v>27</v>
      </c>
    </row>
    <row r="37" spans="1:21" x14ac:dyDescent="0.3">
      <c r="A37" s="2">
        <v>45883</v>
      </c>
      <c r="B37" s="3" t="s">
        <v>21</v>
      </c>
      <c r="C37" s="3" t="s">
        <v>22</v>
      </c>
      <c r="D37" s="3" t="s">
        <v>40</v>
      </c>
      <c r="E37" s="3" t="s">
        <v>30</v>
      </c>
      <c r="F37" s="3" t="s">
        <v>25</v>
      </c>
      <c r="G37" s="3" t="s">
        <v>26</v>
      </c>
      <c r="H37" s="3" t="s">
        <v>21</v>
      </c>
      <c r="I37" s="3" t="s">
        <v>27</v>
      </c>
      <c r="J37" s="3" t="s">
        <v>27</v>
      </c>
      <c r="K37" s="4">
        <v>11537.89</v>
      </c>
      <c r="L37" s="3" t="s">
        <v>28</v>
      </c>
      <c r="M37" s="3" t="s">
        <v>27</v>
      </c>
      <c r="N37" s="2">
        <v>45883</v>
      </c>
      <c r="O37" s="5">
        <v>217450</v>
      </c>
      <c r="P37" s="3" t="s">
        <v>27</v>
      </c>
      <c r="Q37" s="3" t="s">
        <v>27</v>
      </c>
      <c r="R37" s="3" t="s">
        <v>27</v>
      </c>
      <c r="S37" s="3" t="s">
        <v>27</v>
      </c>
      <c r="T37" s="3" t="s">
        <v>27</v>
      </c>
      <c r="U37" s="3" t="s">
        <v>27</v>
      </c>
    </row>
    <row r="38" spans="1:21" x14ac:dyDescent="0.3">
      <c r="A38" s="2">
        <v>45869</v>
      </c>
      <c r="B38" s="3" t="s">
        <v>21</v>
      </c>
      <c r="C38" s="3" t="s">
        <v>22</v>
      </c>
      <c r="D38" s="3" t="s">
        <v>41</v>
      </c>
      <c r="E38" s="3" t="s">
        <v>33</v>
      </c>
      <c r="F38" s="3" t="s">
        <v>25</v>
      </c>
      <c r="G38" s="3" t="s">
        <v>26</v>
      </c>
      <c r="H38" s="3" t="s">
        <v>21</v>
      </c>
      <c r="I38" s="3" t="s">
        <v>27</v>
      </c>
      <c r="J38" s="3" t="s">
        <v>27</v>
      </c>
      <c r="K38" s="4">
        <v>-26</v>
      </c>
      <c r="L38" s="3" t="s">
        <v>28</v>
      </c>
      <c r="M38" s="3" t="s">
        <v>27</v>
      </c>
      <c r="N38" s="2">
        <v>45869</v>
      </c>
      <c r="O38" s="5">
        <v>215010</v>
      </c>
      <c r="P38" s="3" t="s">
        <v>27</v>
      </c>
      <c r="Q38" s="3" t="s">
        <v>27</v>
      </c>
      <c r="R38" s="3" t="s">
        <v>27</v>
      </c>
      <c r="S38" s="3" t="s">
        <v>27</v>
      </c>
      <c r="T38" s="3" t="s">
        <v>27</v>
      </c>
      <c r="U38" s="3" t="s">
        <v>27</v>
      </c>
    </row>
    <row r="39" spans="1:21" x14ac:dyDescent="0.3">
      <c r="A39" s="2">
        <v>45869</v>
      </c>
      <c r="B39" s="3" t="s">
        <v>21</v>
      </c>
      <c r="C39" s="3" t="s">
        <v>22</v>
      </c>
      <c r="D39" s="3" t="s">
        <v>41</v>
      </c>
      <c r="E39" s="3" t="s">
        <v>33</v>
      </c>
      <c r="F39" s="3" t="s">
        <v>25</v>
      </c>
      <c r="G39" s="3" t="s">
        <v>26</v>
      </c>
      <c r="H39" s="3" t="s">
        <v>21</v>
      </c>
      <c r="I39" s="3" t="s">
        <v>27</v>
      </c>
      <c r="J39" s="3" t="s">
        <v>27</v>
      </c>
      <c r="K39" s="4">
        <v>-96.2</v>
      </c>
      <c r="L39" s="3" t="s">
        <v>28</v>
      </c>
      <c r="M39" s="3" t="s">
        <v>27</v>
      </c>
      <c r="N39" s="2">
        <v>45869</v>
      </c>
      <c r="O39" s="5">
        <v>215008</v>
      </c>
      <c r="P39" s="3" t="s">
        <v>27</v>
      </c>
      <c r="Q39" s="3" t="s">
        <v>27</v>
      </c>
      <c r="R39" s="3" t="s">
        <v>27</v>
      </c>
      <c r="S39" s="3" t="s">
        <v>27</v>
      </c>
      <c r="T39" s="3" t="s">
        <v>27</v>
      </c>
      <c r="U39" s="3" t="s">
        <v>27</v>
      </c>
    </row>
    <row r="40" spans="1:21" x14ac:dyDescent="0.3">
      <c r="A40" s="2">
        <v>45869</v>
      </c>
      <c r="B40" s="3" t="s">
        <v>21</v>
      </c>
      <c r="C40" s="3" t="s">
        <v>22</v>
      </c>
      <c r="D40" s="3" t="s">
        <v>42</v>
      </c>
      <c r="E40" s="3" t="s">
        <v>33</v>
      </c>
      <c r="F40" s="3" t="s">
        <v>25</v>
      </c>
      <c r="G40" s="3" t="s">
        <v>26</v>
      </c>
      <c r="H40" s="3" t="s">
        <v>21</v>
      </c>
      <c r="I40" s="3" t="s">
        <v>27</v>
      </c>
      <c r="J40" s="3" t="s">
        <v>27</v>
      </c>
      <c r="K40" s="4">
        <v>-3342.1</v>
      </c>
      <c r="L40" s="3" t="s">
        <v>28</v>
      </c>
      <c r="M40" s="3" t="s">
        <v>27</v>
      </c>
      <c r="N40" s="2">
        <v>45869</v>
      </c>
      <c r="O40" s="5">
        <v>215006</v>
      </c>
      <c r="P40" s="3" t="s">
        <v>27</v>
      </c>
      <c r="Q40" s="3" t="s">
        <v>27</v>
      </c>
      <c r="R40" s="3" t="s">
        <v>27</v>
      </c>
      <c r="S40" s="3" t="s">
        <v>27</v>
      </c>
      <c r="T40" s="3" t="s">
        <v>27</v>
      </c>
      <c r="U40" s="3" t="s">
        <v>27</v>
      </c>
    </row>
    <row r="41" spans="1:21" x14ac:dyDescent="0.3">
      <c r="A41" s="2">
        <v>45869</v>
      </c>
      <c r="B41" s="3" t="s">
        <v>21</v>
      </c>
      <c r="C41" s="3" t="s">
        <v>22</v>
      </c>
      <c r="D41" s="3" t="s">
        <v>42</v>
      </c>
      <c r="E41" s="3" t="s">
        <v>33</v>
      </c>
      <c r="F41" s="3" t="s">
        <v>25</v>
      </c>
      <c r="G41" s="3" t="s">
        <v>26</v>
      </c>
      <c r="H41" s="3" t="s">
        <v>21</v>
      </c>
      <c r="I41" s="3" t="s">
        <v>27</v>
      </c>
      <c r="J41" s="3" t="s">
        <v>27</v>
      </c>
      <c r="K41" s="4">
        <v>-5795</v>
      </c>
      <c r="L41" s="3" t="s">
        <v>28</v>
      </c>
      <c r="M41" s="3" t="s">
        <v>27</v>
      </c>
      <c r="N41" s="2">
        <v>45869</v>
      </c>
      <c r="O41" s="5">
        <v>215004</v>
      </c>
      <c r="P41" s="3" t="s">
        <v>27</v>
      </c>
      <c r="Q41" s="3" t="s">
        <v>27</v>
      </c>
      <c r="R41" s="3" t="s">
        <v>27</v>
      </c>
      <c r="S41" s="3" t="s">
        <v>27</v>
      </c>
      <c r="T41" s="3" t="s">
        <v>27</v>
      </c>
      <c r="U41" s="3" t="s">
        <v>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C8088-E969-4F56-987C-10EA903B91A2}">
  <sheetPr>
    <tabColor rgb="FFFFC000"/>
  </sheetPr>
  <dimension ref="A1:W22"/>
  <sheetViews>
    <sheetView tabSelected="1" workbookViewId="0">
      <pane ySplit="1" topLeftCell="A2" activePane="bottomLeft" state="frozen"/>
      <selection activeCell="F1" sqref="F1"/>
      <selection pane="bottomLeft"/>
    </sheetView>
  </sheetViews>
  <sheetFormatPr defaultRowHeight="14.4" x14ac:dyDescent="0.3"/>
  <cols>
    <col min="1" max="1" width="11.77734375" style="2" bestFit="1" customWidth="1"/>
    <col min="2" max="2" width="14.5546875" bestFit="1" customWidth="1"/>
    <col min="3" max="3" width="13.44140625" bestFit="1" customWidth="1"/>
    <col min="4" max="4" width="14.88671875" bestFit="1" customWidth="1"/>
    <col min="5" max="5" width="30.5546875" bestFit="1" customWidth="1"/>
    <col min="6" max="6" width="16.33203125" bestFit="1" customWidth="1"/>
    <col min="7" max="7" width="16.77734375" bestFit="1" customWidth="1"/>
    <col min="8" max="8" width="16.5546875" hidden="1" customWidth="1"/>
    <col min="9" max="9" width="21.88671875" hidden="1" customWidth="1"/>
    <col min="10" max="10" width="22.88671875" hidden="1" customWidth="1"/>
    <col min="11" max="11" width="12.77734375" bestFit="1" customWidth="1"/>
    <col min="12" max="13" width="12.77734375" style="6" customWidth="1"/>
    <col min="14" max="14" width="16.21875" bestFit="1" customWidth="1"/>
    <col min="15" max="15" width="15.109375" bestFit="1" customWidth="1"/>
    <col min="16" max="16" width="8.88671875" style="2"/>
    <col min="18" max="18" width="21.21875" bestFit="1" customWidth="1"/>
    <col min="19" max="19" width="23.21875" bestFit="1" customWidth="1"/>
    <col min="20" max="20" width="9.33203125" bestFit="1" customWidth="1"/>
    <col min="21" max="21" width="12.77734375" bestFit="1" customWidth="1"/>
    <col min="22" max="22" width="10.21875" bestFit="1" customWidth="1"/>
    <col min="23" max="23" width="13" bestFit="1" customWidth="1"/>
  </cols>
  <sheetData>
    <row r="1" spans="1:23" x14ac:dyDescent="0.3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6" t="s">
        <v>43</v>
      </c>
      <c r="M1" s="6" t="s">
        <v>44</v>
      </c>
      <c r="N1" t="s">
        <v>11</v>
      </c>
      <c r="O1" t="s">
        <v>12</v>
      </c>
      <c r="P1" s="2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</row>
    <row r="2" spans="1:23" x14ac:dyDescent="0.3">
      <c r="A2" s="2">
        <v>45883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21</v>
      </c>
      <c r="I2" t="s">
        <v>27</v>
      </c>
      <c r="J2" t="s">
        <v>27</v>
      </c>
      <c r="K2">
        <v>-96.52</v>
      </c>
      <c r="L2" s="6">
        <f>IF(K2&gt;0,K2,0)</f>
        <v>0</v>
      </c>
      <c r="M2" s="7">
        <f>IF(K2&lt;0,K2,0)</f>
        <v>-96.52</v>
      </c>
      <c r="N2" t="s">
        <v>28</v>
      </c>
      <c r="O2" t="s">
        <v>27</v>
      </c>
      <c r="P2" s="2">
        <v>45883</v>
      </c>
      <c r="Q2">
        <v>217448</v>
      </c>
      <c r="R2" t="s">
        <v>27</v>
      </c>
      <c r="S2" t="s">
        <v>27</v>
      </c>
      <c r="T2" t="s">
        <v>27</v>
      </c>
      <c r="U2" t="s">
        <v>27</v>
      </c>
      <c r="V2" t="s">
        <v>27</v>
      </c>
      <c r="W2" t="s">
        <v>27</v>
      </c>
    </row>
    <row r="3" spans="1:23" x14ac:dyDescent="0.3">
      <c r="A3" s="2">
        <v>45883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21</v>
      </c>
      <c r="I3" t="s">
        <v>27</v>
      </c>
      <c r="J3" t="s">
        <v>27</v>
      </c>
      <c r="K3">
        <v>-62.74</v>
      </c>
      <c r="L3" s="6">
        <f t="shared" ref="L3:L21" si="0">IF(K3&gt;0,K3,0)</f>
        <v>0</v>
      </c>
      <c r="M3" s="7">
        <f t="shared" ref="M3:M21" si="1">IF(K3&lt;0,K3,0)</f>
        <v>-62.74</v>
      </c>
      <c r="N3" t="s">
        <v>28</v>
      </c>
      <c r="O3" t="s">
        <v>27</v>
      </c>
      <c r="P3" s="2">
        <v>45883</v>
      </c>
      <c r="Q3">
        <v>217444</v>
      </c>
      <c r="R3" t="s">
        <v>27</v>
      </c>
      <c r="S3" t="s">
        <v>27</v>
      </c>
      <c r="T3" t="s">
        <v>27</v>
      </c>
      <c r="U3" t="s">
        <v>27</v>
      </c>
      <c r="V3" t="s">
        <v>27</v>
      </c>
      <c r="W3" t="s">
        <v>27</v>
      </c>
    </row>
    <row r="4" spans="1:23" x14ac:dyDescent="0.3">
      <c r="A4" s="2">
        <v>45883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21</v>
      </c>
      <c r="I4" t="s">
        <v>27</v>
      </c>
      <c r="J4" t="s">
        <v>27</v>
      </c>
      <c r="K4">
        <v>-137.81</v>
      </c>
      <c r="L4" s="6">
        <f t="shared" si="0"/>
        <v>0</v>
      </c>
      <c r="M4" s="7">
        <f t="shared" si="1"/>
        <v>-137.81</v>
      </c>
      <c r="N4" t="s">
        <v>28</v>
      </c>
      <c r="O4" t="s">
        <v>27</v>
      </c>
      <c r="P4" s="2">
        <v>45883</v>
      </c>
      <c r="Q4">
        <v>217440</v>
      </c>
      <c r="R4" t="s">
        <v>27</v>
      </c>
      <c r="S4" t="s">
        <v>27</v>
      </c>
      <c r="T4" t="s">
        <v>27</v>
      </c>
      <c r="U4" t="s">
        <v>27</v>
      </c>
      <c r="V4" t="s">
        <v>27</v>
      </c>
      <c r="W4" t="s">
        <v>27</v>
      </c>
    </row>
    <row r="5" spans="1:23" x14ac:dyDescent="0.3">
      <c r="A5" s="2">
        <v>45883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 t="s">
        <v>21</v>
      </c>
      <c r="I5" t="s">
        <v>27</v>
      </c>
      <c r="J5" t="s">
        <v>27</v>
      </c>
      <c r="K5">
        <v>-135.68</v>
      </c>
      <c r="L5" s="6">
        <f t="shared" si="0"/>
        <v>0</v>
      </c>
      <c r="M5" s="7">
        <f t="shared" si="1"/>
        <v>-135.68</v>
      </c>
      <c r="N5" t="s">
        <v>28</v>
      </c>
      <c r="O5" t="s">
        <v>27</v>
      </c>
      <c r="P5" s="2">
        <v>45883</v>
      </c>
      <c r="Q5">
        <v>217436</v>
      </c>
      <c r="R5" t="s">
        <v>27</v>
      </c>
      <c r="S5" t="s">
        <v>27</v>
      </c>
      <c r="T5" t="s">
        <v>27</v>
      </c>
      <c r="U5" t="s">
        <v>27</v>
      </c>
      <c r="V5" t="s">
        <v>27</v>
      </c>
      <c r="W5" t="s">
        <v>27</v>
      </c>
    </row>
    <row r="6" spans="1:23" x14ac:dyDescent="0.3">
      <c r="A6" s="2">
        <v>45883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 t="s">
        <v>21</v>
      </c>
      <c r="I6" t="s">
        <v>27</v>
      </c>
      <c r="J6" t="s">
        <v>27</v>
      </c>
      <c r="K6">
        <v>-144.51</v>
      </c>
      <c r="L6" s="6">
        <f t="shared" si="0"/>
        <v>0</v>
      </c>
      <c r="M6" s="7">
        <f t="shared" si="1"/>
        <v>-144.51</v>
      </c>
      <c r="N6" t="s">
        <v>28</v>
      </c>
      <c r="O6" t="s">
        <v>27</v>
      </c>
      <c r="P6" s="2">
        <v>45883</v>
      </c>
      <c r="Q6">
        <v>217430</v>
      </c>
      <c r="R6" t="s">
        <v>27</v>
      </c>
      <c r="S6" t="s">
        <v>27</v>
      </c>
      <c r="T6" t="s">
        <v>27</v>
      </c>
      <c r="U6" t="s">
        <v>27</v>
      </c>
      <c r="V6" t="s">
        <v>27</v>
      </c>
      <c r="W6" t="s">
        <v>27</v>
      </c>
    </row>
    <row r="7" spans="1:23" x14ac:dyDescent="0.3">
      <c r="A7" s="2">
        <v>45883</v>
      </c>
      <c r="B7" t="s">
        <v>21</v>
      </c>
      <c r="C7" t="s">
        <v>22</v>
      </c>
      <c r="D7" t="s">
        <v>29</v>
      </c>
      <c r="E7" t="s">
        <v>30</v>
      </c>
      <c r="F7" t="s">
        <v>25</v>
      </c>
      <c r="G7" t="s">
        <v>26</v>
      </c>
      <c r="H7" t="s">
        <v>21</v>
      </c>
      <c r="I7" t="s">
        <v>27</v>
      </c>
      <c r="J7" t="s">
        <v>27</v>
      </c>
      <c r="K7">
        <v>-290.67</v>
      </c>
      <c r="L7" s="6">
        <f t="shared" si="0"/>
        <v>0</v>
      </c>
      <c r="M7" s="7">
        <f t="shared" si="1"/>
        <v>-290.67</v>
      </c>
      <c r="N7" t="s">
        <v>28</v>
      </c>
      <c r="O7" t="s">
        <v>27</v>
      </c>
      <c r="P7" s="2">
        <v>45883</v>
      </c>
      <c r="Q7">
        <v>217434</v>
      </c>
      <c r="R7" t="s">
        <v>27</v>
      </c>
      <c r="S7" t="s">
        <v>27</v>
      </c>
      <c r="T7" t="s">
        <v>27</v>
      </c>
      <c r="U7" t="s">
        <v>27</v>
      </c>
      <c r="V7" t="s">
        <v>27</v>
      </c>
      <c r="W7" t="s">
        <v>27</v>
      </c>
    </row>
    <row r="8" spans="1:23" x14ac:dyDescent="0.3">
      <c r="A8" s="2">
        <v>45883</v>
      </c>
      <c r="B8" t="s">
        <v>21</v>
      </c>
      <c r="C8" t="s">
        <v>22</v>
      </c>
      <c r="D8" t="s">
        <v>29</v>
      </c>
      <c r="E8" t="s">
        <v>30</v>
      </c>
      <c r="F8" t="s">
        <v>25</v>
      </c>
      <c r="G8" t="s">
        <v>26</v>
      </c>
      <c r="H8" t="s">
        <v>21</v>
      </c>
      <c r="I8" t="s">
        <v>27</v>
      </c>
      <c r="J8" t="s">
        <v>27</v>
      </c>
      <c r="K8">
        <v>-638.53</v>
      </c>
      <c r="L8" s="6">
        <f t="shared" si="0"/>
        <v>0</v>
      </c>
      <c r="M8" s="7">
        <f t="shared" si="1"/>
        <v>-638.53</v>
      </c>
      <c r="N8" t="s">
        <v>28</v>
      </c>
      <c r="O8" t="s">
        <v>27</v>
      </c>
      <c r="P8" s="2">
        <v>45883</v>
      </c>
      <c r="Q8">
        <v>217428</v>
      </c>
      <c r="R8" t="s">
        <v>27</v>
      </c>
      <c r="S8" t="s">
        <v>27</v>
      </c>
      <c r="T8" t="s">
        <v>27</v>
      </c>
      <c r="U8" t="s">
        <v>27</v>
      </c>
      <c r="V8" t="s">
        <v>27</v>
      </c>
      <c r="W8" t="s">
        <v>27</v>
      </c>
    </row>
    <row r="9" spans="1:23" x14ac:dyDescent="0.3">
      <c r="A9" s="2">
        <v>45883</v>
      </c>
      <c r="B9" t="s">
        <v>21</v>
      </c>
      <c r="C9" t="s">
        <v>22</v>
      </c>
      <c r="D9" t="s">
        <v>31</v>
      </c>
      <c r="E9" t="s">
        <v>30</v>
      </c>
      <c r="F9" t="s">
        <v>25</v>
      </c>
      <c r="G9" t="s">
        <v>26</v>
      </c>
      <c r="H9" t="s">
        <v>21</v>
      </c>
      <c r="I9" t="s">
        <v>27</v>
      </c>
      <c r="J9" t="s">
        <v>27</v>
      </c>
      <c r="K9">
        <v>-224.07</v>
      </c>
      <c r="L9" s="6">
        <f t="shared" si="0"/>
        <v>0</v>
      </c>
      <c r="M9" s="7">
        <f t="shared" si="1"/>
        <v>-224.07</v>
      </c>
      <c r="N9" t="s">
        <v>28</v>
      </c>
      <c r="O9" t="s">
        <v>27</v>
      </c>
      <c r="P9" s="2">
        <v>45883</v>
      </c>
      <c r="Q9">
        <v>217446</v>
      </c>
      <c r="R9" t="s">
        <v>27</v>
      </c>
      <c r="S9" t="s">
        <v>27</v>
      </c>
      <c r="T9" t="s">
        <v>27</v>
      </c>
      <c r="U9" t="s">
        <v>27</v>
      </c>
      <c r="V9" t="s">
        <v>27</v>
      </c>
      <c r="W9" t="s">
        <v>27</v>
      </c>
    </row>
    <row r="10" spans="1:23" x14ac:dyDescent="0.3">
      <c r="A10" s="2">
        <v>45883</v>
      </c>
      <c r="B10" t="s">
        <v>21</v>
      </c>
      <c r="C10" t="s">
        <v>22</v>
      </c>
      <c r="D10" t="s">
        <v>31</v>
      </c>
      <c r="E10" t="s">
        <v>30</v>
      </c>
      <c r="F10" t="s">
        <v>25</v>
      </c>
      <c r="G10" t="s">
        <v>26</v>
      </c>
      <c r="H10" t="s">
        <v>21</v>
      </c>
      <c r="I10" t="s">
        <v>27</v>
      </c>
      <c r="J10" t="s">
        <v>27</v>
      </c>
      <c r="K10">
        <v>-171.44</v>
      </c>
      <c r="L10" s="6">
        <f t="shared" si="0"/>
        <v>0</v>
      </c>
      <c r="M10" s="7">
        <f t="shared" si="1"/>
        <v>-171.44</v>
      </c>
      <c r="N10" t="s">
        <v>28</v>
      </c>
      <c r="O10" t="s">
        <v>27</v>
      </c>
      <c r="P10" s="2">
        <v>45883</v>
      </c>
      <c r="Q10">
        <v>217442</v>
      </c>
      <c r="R10" t="s">
        <v>27</v>
      </c>
      <c r="S10" t="s">
        <v>27</v>
      </c>
      <c r="T10" t="s">
        <v>27</v>
      </c>
      <c r="U10" t="s">
        <v>27</v>
      </c>
      <c r="V10" t="s">
        <v>27</v>
      </c>
      <c r="W10" t="s">
        <v>27</v>
      </c>
    </row>
    <row r="11" spans="1:23" x14ac:dyDescent="0.3">
      <c r="A11" s="2">
        <v>45883</v>
      </c>
      <c r="B11" t="s">
        <v>21</v>
      </c>
      <c r="C11" t="s">
        <v>22</v>
      </c>
      <c r="D11" t="s">
        <v>31</v>
      </c>
      <c r="E11" t="s">
        <v>30</v>
      </c>
      <c r="F11" t="s">
        <v>25</v>
      </c>
      <c r="G11" t="s">
        <v>26</v>
      </c>
      <c r="H11" t="s">
        <v>21</v>
      </c>
      <c r="I11" t="s">
        <v>27</v>
      </c>
      <c r="J11" t="s">
        <v>27</v>
      </c>
      <c r="K11">
        <v>-376.62</v>
      </c>
      <c r="L11" s="6">
        <f t="shared" si="0"/>
        <v>0</v>
      </c>
      <c r="M11" s="7">
        <f t="shared" si="1"/>
        <v>-376.62</v>
      </c>
      <c r="N11" t="s">
        <v>28</v>
      </c>
      <c r="O11" t="s">
        <v>27</v>
      </c>
      <c r="P11" s="2">
        <v>45883</v>
      </c>
      <c r="Q11">
        <v>217438</v>
      </c>
      <c r="R11" t="s">
        <v>27</v>
      </c>
      <c r="S11" t="s">
        <v>27</v>
      </c>
      <c r="T11" t="s">
        <v>27</v>
      </c>
      <c r="U11" t="s">
        <v>27</v>
      </c>
      <c r="V11" t="s">
        <v>27</v>
      </c>
      <c r="W11" t="s">
        <v>27</v>
      </c>
    </row>
    <row r="12" spans="1:23" x14ac:dyDescent="0.3">
      <c r="A12" s="2">
        <v>45883</v>
      </c>
      <c r="B12" t="s">
        <v>21</v>
      </c>
      <c r="C12" t="s">
        <v>22</v>
      </c>
      <c r="D12" t="s">
        <v>38</v>
      </c>
      <c r="E12" t="s">
        <v>24</v>
      </c>
      <c r="F12" t="s">
        <v>25</v>
      </c>
      <c r="G12" t="s">
        <v>26</v>
      </c>
      <c r="H12" t="s">
        <v>21</v>
      </c>
      <c r="I12" t="s">
        <v>27</v>
      </c>
      <c r="J12" t="s">
        <v>27</v>
      </c>
      <c r="K12">
        <v>96.52</v>
      </c>
      <c r="L12" s="7">
        <f t="shared" si="0"/>
        <v>96.52</v>
      </c>
      <c r="M12" s="6">
        <f t="shared" si="1"/>
        <v>0</v>
      </c>
      <c r="N12" t="s">
        <v>28</v>
      </c>
      <c r="O12" t="s">
        <v>27</v>
      </c>
      <c r="P12" s="2">
        <v>45883</v>
      </c>
      <c r="Q12">
        <v>217447</v>
      </c>
      <c r="R12" t="s">
        <v>27</v>
      </c>
      <c r="S12" t="s">
        <v>27</v>
      </c>
      <c r="T12" t="s">
        <v>27</v>
      </c>
      <c r="U12" t="s">
        <v>27</v>
      </c>
      <c r="V12" t="s">
        <v>27</v>
      </c>
      <c r="W12" t="s">
        <v>27</v>
      </c>
    </row>
    <row r="13" spans="1:23" x14ac:dyDescent="0.3">
      <c r="A13" s="2">
        <v>45883</v>
      </c>
      <c r="B13" t="s">
        <v>21</v>
      </c>
      <c r="C13" t="s">
        <v>22</v>
      </c>
      <c r="D13" t="s">
        <v>38</v>
      </c>
      <c r="E13" t="s">
        <v>30</v>
      </c>
      <c r="F13" t="s">
        <v>25</v>
      </c>
      <c r="G13" t="s">
        <v>26</v>
      </c>
      <c r="H13" t="s">
        <v>21</v>
      </c>
      <c r="I13" t="s">
        <v>27</v>
      </c>
      <c r="J13" t="s">
        <v>27</v>
      </c>
      <c r="K13">
        <v>224.07</v>
      </c>
      <c r="L13" s="7">
        <f t="shared" si="0"/>
        <v>224.07</v>
      </c>
      <c r="M13" s="6">
        <f t="shared" si="1"/>
        <v>0</v>
      </c>
      <c r="N13" t="s">
        <v>28</v>
      </c>
      <c r="O13" t="s">
        <v>27</v>
      </c>
      <c r="P13" s="2">
        <v>45883</v>
      </c>
      <c r="Q13">
        <v>217445</v>
      </c>
      <c r="R13" t="s">
        <v>27</v>
      </c>
      <c r="S13" t="s">
        <v>27</v>
      </c>
      <c r="T13" t="s">
        <v>27</v>
      </c>
      <c r="U13" t="s">
        <v>27</v>
      </c>
      <c r="V13" t="s">
        <v>27</v>
      </c>
      <c r="W13" t="s">
        <v>27</v>
      </c>
    </row>
    <row r="14" spans="1:23" x14ac:dyDescent="0.3">
      <c r="A14" s="2">
        <v>45883</v>
      </c>
      <c r="B14" t="s">
        <v>21</v>
      </c>
      <c r="C14" t="s">
        <v>22</v>
      </c>
      <c r="D14" t="s">
        <v>38</v>
      </c>
      <c r="E14" t="s">
        <v>24</v>
      </c>
      <c r="F14" t="s">
        <v>25</v>
      </c>
      <c r="G14" t="s">
        <v>26</v>
      </c>
      <c r="H14" t="s">
        <v>21</v>
      </c>
      <c r="I14" t="s">
        <v>27</v>
      </c>
      <c r="J14" t="s">
        <v>27</v>
      </c>
      <c r="K14">
        <v>62.74</v>
      </c>
      <c r="L14" s="7">
        <f t="shared" si="0"/>
        <v>62.74</v>
      </c>
      <c r="M14" s="6">
        <f t="shared" si="1"/>
        <v>0</v>
      </c>
      <c r="N14" t="s">
        <v>28</v>
      </c>
      <c r="O14" t="s">
        <v>27</v>
      </c>
      <c r="P14" s="2">
        <v>45883</v>
      </c>
      <c r="Q14">
        <v>217443</v>
      </c>
      <c r="R14" t="s">
        <v>27</v>
      </c>
      <c r="S14" t="s">
        <v>27</v>
      </c>
      <c r="T14" t="s">
        <v>27</v>
      </c>
      <c r="U14" t="s">
        <v>27</v>
      </c>
      <c r="V14" t="s">
        <v>27</v>
      </c>
      <c r="W14" t="s">
        <v>27</v>
      </c>
    </row>
    <row r="15" spans="1:23" x14ac:dyDescent="0.3">
      <c r="A15" s="2">
        <v>45883</v>
      </c>
      <c r="B15" t="s">
        <v>21</v>
      </c>
      <c r="C15" t="s">
        <v>22</v>
      </c>
      <c r="D15" t="s">
        <v>38</v>
      </c>
      <c r="E15" t="s">
        <v>30</v>
      </c>
      <c r="F15" t="s">
        <v>25</v>
      </c>
      <c r="G15" t="s">
        <v>26</v>
      </c>
      <c r="H15" t="s">
        <v>21</v>
      </c>
      <c r="I15" t="s">
        <v>27</v>
      </c>
      <c r="J15" t="s">
        <v>27</v>
      </c>
      <c r="K15">
        <v>171.44</v>
      </c>
      <c r="L15" s="7">
        <f t="shared" si="0"/>
        <v>171.44</v>
      </c>
      <c r="M15" s="6">
        <f t="shared" si="1"/>
        <v>0</v>
      </c>
      <c r="N15" t="s">
        <v>28</v>
      </c>
      <c r="O15" t="s">
        <v>27</v>
      </c>
      <c r="P15" s="2">
        <v>45883</v>
      </c>
      <c r="Q15">
        <v>217441</v>
      </c>
      <c r="R15" t="s">
        <v>27</v>
      </c>
      <c r="S15" t="s">
        <v>27</v>
      </c>
      <c r="T15" t="s">
        <v>27</v>
      </c>
      <c r="U15" t="s">
        <v>27</v>
      </c>
      <c r="V15" t="s">
        <v>27</v>
      </c>
      <c r="W15" t="s">
        <v>27</v>
      </c>
    </row>
    <row r="16" spans="1:23" x14ac:dyDescent="0.3">
      <c r="A16" s="2">
        <v>45883</v>
      </c>
      <c r="B16" t="s">
        <v>21</v>
      </c>
      <c r="C16" t="s">
        <v>22</v>
      </c>
      <c r="D16" t="s">
        <v>38</v>
      </c>
      <c r="E16" t="s">
        <v>24</v>
      </c>
      <c r="F16" t="s">
        <v>25</v>
      </c>
      <c r="G16" t="s">
        <v>26</v>
      </c>
      <c r="H16" t="s">
        <v>21</v>
      </c>
      <c r="I16" t="s">
        <v>27</v>
      </c>
      <c r="J16" t="s">
        <v>27</v>
      </c>
      <c r="K16">
        <v>137.81</v>
      </c>
      <c r="L16" s="7">
        <f t="shared" si="0"/>
        <v>137.81</v>
      </c>
      <c r="M16" s="6">
        <f t="shared" si="1"/>
        <v>0</v>
      </c>
      <c r="N16" t="s">
        <v>28</v>
      </c>
      <c r="O16" t="s">
        <v>27</v>
      </c>
      <c r="P16" s="2">
        <v>45883</v>
      </c>
      <c r="Q16">
        <v>217439</v>
      </c>
      <c r="R16" t="s">
        <v>27</v>
      </c>
      <c r="S16" t="s">
        <v>27</v>
      </c>
      <c r="T16" t="s">
        <v>27</v>
      </c>
      <c r="U16" t="s">
        <v>27</v>
      </c>
      <c r="V16" t="s">
        <v>27</v>
      </c>
      <c r="W16" t="s">
        <v>27</v>
      </c>
    </row>
    <row r="17" spans="1:23" x14ac:dyDescent="0.3">
      <c r="A17" s="2">
        <v>45883</v>
      </c>
      <c r="B17" t="s">
        <v>21</v>
      </c>
      <c r="C17" t="s">
        <v>22</v>
      </c>
      <c r="D17" t="s">
        <v>38</v>
      </c>
      <c r="E17" t="s">
        <v>30</v>
      </c>
      <c r="F17" t="s">
        <v>25</v>
      </c>
      <c r="G17" t="s">
        <v>26</v>
      </c>
      <c r="H17" t="s">
        <v>21</v>
      </c>
      <c r="I17" t="s">
        <v>27</v>
      </c>
      <c r="J17" t="s">
        <v>27</v>
      </c>
      <c r="K17">
        <v>376.62</v>
      </c>
      <c r="L17" s="7">
        <f t="shared" si="0"/>
        <v>376.62</v>
      </c>
      <c r="M17" s="6">
        <f t="shared" si="1"/>
        <v>0</v>
      </c>
      <c r="N17" t="s">
        <v>28</v>
      </c>
      <c r="O17" t="s">
        <v>27</v>
      </c>
      <c r="P17" s="2">
        <v>45883</v>
      </c>
      <c r="Q17">
        <v>217437</v>
      </c>
      <c r="R17" t="s">
        <v>27</v>
      </c>
      <c r="S17" t="s">
        <v>27</v>
      </c>
      <c r="T17" t="s">
        <v>27</v>
      </c>
      <c r="U17" t="s">
        <v>27</v>
      </c>
      <c r="V17" t="s">
        <v>27</v>
      </c>
      <c r="W17" t="s">
        <v>27</v>
      </c>
    </row>
    <row r="18" spans="1:23" x14ac:dyDescent="0.3">
      <c r="A18" s="2">
        <v>45883</v>
      </c>
      <c r="B18" t="s">
        <v>21</v>
      </c>
      <c r="C18" t="s">
        <v>22</v>
      </c>
      <c r="D18" t="s">
        <v>38</v>
      </c>
      <c r="E18" t="s">
        <v>24</v>
      </c>
      <c r="F18" t="s">
        <v>25</v>
      </c>
      <c r="G18" t="s">
        <v>26</v>
      </c>
      <c r="H18" t="s">
        <v>21</v>
      </c>
      <c r="I18" t="s">
        <v>27</v>
      </c>
      <c r="J18" t="s">
        <v>27</v>
      </c>
      <c r="K18">
        <v>135.68</v>
      </c>
      <c r="L18" s="7">
        <f t="shared" si="0"/>
        <v>135.68</v>
      </c>
      <c r="M18" s="6">
        <f t="shared" si="1"/>
        <v>0</v>
      </c>
      <c r="N18" t="s">
        <v>28</v>
      </c>
      <c r="O18" t="s">
        <v>27</v>
      </c>
      <c r="P18" s="2">
        <v>45883</v>
      </c>
      <c r="Q18">
        <v>217435</v>
      </c>
      <c r="R18" t="s">
        <v>27</v>
      </c>
      <c r="S18" t="s">
        <v>27</v>
      </c>
      <c r="T18" t="s">
        <v>27</v>
      </c>
      <c r="U18" t="s">
        <v>27</v>
      </c>
      <c r="V18" t="s">
        <v>27</v>
      </c>
      <c r="W18" t="s">
        <v>27</v>
      </c>
    </row>
    <row r="19" spans="1:23" x14ac:dyDescent="0.3">
      <c r="A19" s="2">
        <v>45883</v>
      </c>
      <c r="B19" t="s">
        <v>21</v>
      </c>
      <c r="C19" t="s">
        <v>22</v>
      </c>
      <c r="D19" t="s">
        <v>38</v>
      </c>
      <c r="E19" t="s">
        <v>30</v>
      </c>
      <c r="F19" t="s">
        <v>25</v>
      </c>
      <c r="G19" t="s">
        <v>26</v>
      </c>
      <c r="H19" t="s">
        <v>21</v>
      </c>
      <c r="I19" t="s">
        <v>27</v>
      </c>
      <c r="J19" t="s">
        <v>27</v>
      </c>
      <c r="K19">
        <v>290.67</v>
      </c>
      <c r="L19" s="7">
        <f t="shared" si="0"/>
        <v>290.67</v>
      </c>
      <c r="M19" s="6">
        <f t="shared" si="1"/>
        <v>0</v>
      </c>
      <c r="N19" t="s">
        <v>28</v>
      </c>
      <c r="O19" t="s">
        <v>27</v>
      </c>
      <c r="P19" s="2">
        <v>45883</v>
      </c>
      <c r="Q19">
        <v>217433</v>
      </c>
      <c r="R19" t="s">
        <v>27</v>
      </c>
      <c r="S19" t="s">
        <v>27</v>
      </c>
      <c r="T19" t="s">
        <v>27</v>
      </c>
      <c r="U19" t="s">
        <v>27</v>
      </c>
      <c r="V19" t="s">
        <v>27</v>
      </c>
      <c r="W19" t="s">
        <v>27</v>
      </c>
    </row>
    <row r="20" spans="1:23" x14ac:dyDescent="0.3">
      <c r="A20" s="2">
        <v>45883</v>
      </c>
      <c r="B20" t="s">
        <v>21</v>
      </c>
      <c r="C20" t="s">
        <v>22</v>
      </c>
      <c r="D20" t="s">
        <v>38</v>
      </c>
      <c r="E20" t="s">
        <v>24</v>
      </c>
      <c r="F20" t="s">
        <v>25</v>
      </c>
      <c r="G20" t="s">
        <v>26</v>
      </c>
      <c r="H20" t="s">
        <v>21</v>
      </c>
      <c r="I20" t="s">
        <v>27</v>
      </c>
      <c r="J20" t="s">
        <v>27</v>
      </c>
      <c r="K20">
        <v>144.51</v>
      </c>
      <c r="L20" s="7">
        <f t="shared" si="0"/>
        <v>144.51</v>
      </c>
      <c r="M20" s="6">
        <f t="shared" si="1"/>
        <v>0</v>
      </c>
      <c r="N20" t="s">
        <v>28</v>
      </c>
      <c r="O20" t="s">
        <v>27</v>
      </c>
      <c r="P20" s="2">
        <v>45883</v>
      </c>
      <c r="Q20">
        <v>217429</v>
      </c>
      <c r="R20" t="s">
        <v>27</v>
      </c>
      <c r="S20" t="s">
        <v>27</v>
      </c>
      <c r="T20" t="s">
        <v>27</v>
      </c>
      <c r="U20" t="s">
        <v>27</v>
      </c>
      <c r="V20" t="s">
        <v>27</v>
      </c>
      <c r="W20" t="s">
        <v>27</v>
      </c>
    </row>
    <row r="21" spans="1:23" x14ac:dyDescent="0.3">
      <c r="A21" s="2">
        <v>45883</v>
      </c>
      <c r="B21" t="s">
        <v>21</v>
      </c>
      <c r="C21" t="s">
        <v>22</v>
      </c>
      <c r="D21" t="s">
        <v>38</v>
      </c>
      <c r="E21" t="s">
        <v>30</v>
      </c>
      <c r="F21" t="s">
        <v>25</v>
      </c>
      <c r="G21" t="s">
        <v>26</v>
      </c>
      <c r="H21" t="s">
        <v>21</v>
      </c>
      <c r="I21" t="s">
        <v>27</v>
      </c>
      <c r="J21" t="s">
        <v>27</v>
      </c>
      <c r="K21">
        <v>638.53</v>
      </c>
      <c r="L21" s="7">
        <f t="shared" si="0"/>
        <v>638.53</v>
      </c>
      <c r="M21" s="6">
        <f t="shared" si="1"/>
        <v>0</v>
      </c>
      <c r="N21" t="s">
        <v>28</v>
      </c>
      <c r="O21" t="s">
        <v>27</v>
      </c>
      <c r="P21" s="2">
        <v>45883</v>
      </c>
      <c r="Q21">
        <v>217427</v>
      </c>
      <c r="R21" t="s">
        <v>27</v>
      </c>
      <c r="S21" t="s">
        <v>27</v>
      </c>
      <c r="T21" t="s">
        <v>27</v>
      </c>
      <c r="U21" t="s">
        <v>27</v>
      </c>
      <c r="V21" t="s">
        <v>27</v>
      </c>
      <c r="W21" t="s">
        <v>27</v>
      </c>
    </row>
    <row r="22" spans="1:23" x14ac:dyDescent="0.3">
      <c r="L22" s="8">
        <f t="shared" ref="L22:M22" si="2">SUM(L2:L21)</f>
        <v>2278.59</v>
      </c>
      <c r="M22" s="8">
        <f t="shared" si="2"/>
        <v>-2278.59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 Ledger Entries</vt:lpstr>
      <vt:lpstr>Entries to 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Kyengo</dc:creator>
  <cp:lastModifiedBy>Joseph Kyengo</cp:lastModifiedBy>
  <dcterms:created xsi:type="dcterms:W3CDTF">2026-01-26T13:37:06Z</dcterms:created>
  <dcterms:modified xsi:type="dcterms:W3CDTF">2026-01-26T13:37:35Z</dcterms:modified>
</cp:coreProperties>
</file>