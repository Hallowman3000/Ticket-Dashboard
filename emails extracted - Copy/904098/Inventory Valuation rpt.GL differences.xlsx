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Chart of Accounts" sheetId="2" r:id="rId1"/>
    <sheet name="Value Entries" sheetId="4" r:id="rId2"/>
    <sheet name="Report" sheetId="1" state="hidden" r:id="rId3"/>
    <sheet name="Substrates" sheetId="5" state="hidden" r:id="rId4"/>
  </sheets>
  <definedNames>
    <definedName name="_xlnm.Print_Titles" localSheetId="2">Report!$1:$12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<sst xmlns="http://schemas.openxmlformats.org/spreadsheetml/2006/main" count="6191" uniqueCount="1145">
  <si>
    <t>No.</t>
  </si>
  <si>
    <t>Name</t>
  </si>
  <si>
    <t>GL</t>
  </si>
  <si>
    <t>Valuation Report</t>
  </si>
  <si>
    <t>Difference</t>
  </si>
  <si>
    <t>13110</t>
  </si>
  <si>
    <t>RM - Substrates</t>
  </si>
  <si>
    <t>13140</t>
  </si>
  <si>
    <t>RM - Production Consumeables</t>
  </si>
  <si>
    <t>13210</t>
  </si>
  <si>
    <t>Work In Progress</t>
  </si>
  <si>
    <t>GL amount not in the valuation report</t>
  </si>
  <si>
    <t>13310</t>
  </si>
  <si>
    <t>Finished Goods</t>
  </si>
  <si>
    <t>13330</t>
  </si>
  <si>
    <t>Finished Goods, Returns</t>
  </si>
  <si>
    <t>Posting Date</t>
  </si>
  <si>
    <t>Item Ledger Entry Type</t>
  </si>
  <si>
    <t>Entry Type</t>
  </si>
  <si>
    <t>Adjustment</t>
  </si>
  <si>
    <t>Document Type</t>
  </si>
  <si>
    <t>Document No.</t>
  </si>
  <si>
    <t>Item Charge No.</t>
  </si>
  <si>
    <t>Description</t>
  </si>
  <si>
    <t>Sales Amount (Actual)</t>
  </si>
  <si>
    <t>Cost Amount (Expected)</t>
  </si>
  <si>
    <t>Cost Amount (Actual)</t>
  </si>
  <si>
    <t>Cost Amount (Non-Invtbl.)</t>
  </si>
  <si>
    <t>Cost Posted to G/L</t>
  </si>
  <si>
    <t>Column1</t>
  </si>
  <si>
    <t>Item Ledger Entry Quantity</t>
  </si>
  <si>
    <t>Valued Quantity</t>
  </si>
  <si>
    <t>Invoiced Quantity</t>
  </si>
  <si>
    <t>Cost per Unit</t>
  </si>
  <si>
    <t>Cost per Unit (ACY)</t>
  </si>
  <si>
    <t>Item No.</t>
  </si>
  <si>
    <t>Gen. Bus. Posting Group</t>
  </si>
  <si>
    <t>Gen. Prod. Posting Group</t>
  </si>
  <si>
    <t>Department Code</t>
  </si>
  <si>
    <t>Product Line Code</t>
  </si>
  <si>
    <t>Source Type</t>
  </si>
  <si>
    <t>Source No.</t>
  </si>
  <si>
    <t>External Document No.</t>
  </si>
  <si>
    <t>Order Type</t>
  </si>
  <si>
    <t>Valued By Average Cost</t>
  </si>
  <si>
    <t>Item Ledger Entry No.</t>
  </si>
  <si>
    <t>Capacity Ledger Entry No.</t>
  </si>
  <si>
    <t>Entry No.</t>
  </si>
  <si>
    <t>Output</t>
  </si>
  <si>
    <t>Variance</t>
  </si>
  <si>
    <t xml:space="preserve"> </t>
  </si>
  <si>
    <t>PR-OR001697</t>
  </si>
  <si>
    <t/>
  </si>
  <si>
    <t>FG00268</t>
  </si>
  <si>
    <t>LOCAL</t>
  </si>
  <si>
    <t>FG</t>
  </si>
  <si>
    <t>10</t>
  </si>
  <si>
    <t>10 - PSL</t>
  </si>
  <si>
    <t>Item</t>
  </si>
  <si>
    <t>Production</t>
  </si>
  <si>
    <t>Direct Cost</t>
  </si>
  <si>
    <t>Indirect Cost</t>
  </si>
  <si>
    <t>Senior Printer</t>
  </si>
  <si>
    <t>LBR</t>
  </si>
  <si>
    <t>Helper</t>
  </si>
  <si>
    <t>Slitter Operator</t>
  </si>
  <si>
    <t>8 Color Flexo Press (P7)</t>
  </si>
  <si>
    <t>CAP</t>
  </si>
  <si>
    <t>Slitter Rewinder</t>
  </si>
  <si>
    <t>Consumption</t>
  </si>
  <si>
    <t>RM00021</t>
  </si>
  <si>
    <t>INV-ADJ</t>
  </si>
  <si>
    <t>INK</t>
  </si>
  <si>
    <t>RM00018</t>
  </si>
  <si>
    <t>RM00139</t>
  </si>
  <si>
    <t>SUB</t>
  </si>
  <si>
    <t>Inventory Valuation</t>
  </si>
  <si>
    <t>Saturday, January 10, 2026</t>
  </si>
  <si>
    <t>Page 1 / 1</t>
  </si>
  <si>
    <t>FINANCE_HOD</t>
  </si>
  <si>
    <t>Unique Packaging(KE) Limited</t>
  </si>
  <si>
    <t>Inventory Posting Group Name</t>
  </si>
  <si>
    <t>As of 12/31/24</t>
  </si>
  <si>
    <t>Increases (LCY)</t>
  </si>
  <si>
    <t>Decreases (LCY)</t>
  </si>
  <si>
    <t>As of 12/31/25</t>
  </si>
  <si>
    <t>Base UoM</t>
  </si>
  <si>
    <t>Quantity</t>
  </si>
  <si>
    <t>Value</t>
  </si>
  <si>
    <t>FG00001</t>
  </si>
  <si>
    <t>Brookside Delamere, 95.50 mm</t>
  </si>
  <si>
    <t>LID</t>
  </si>
  <si>
    <t>FG00002</t>
  </si>
  <si>
    <t>Brookside Ilara , 95.50 mm</t>
  </si>
  <si>
    <t>FG00003</t>
  </si>
  <si>
    <t>BrooksideTuzo Lid 95.50 mm</t>
  </si>
  <si>
    <t>FG00004</t>
  </si>
  <si>
    <t>Brookside Dairy Fresh 95.50 mm</t>
  </si>
  <si>
    <t>FG00005</t>
  </si>
  <si>
    <t>Brookside Natural 95.50 mm</t>
  </si>
  <si>
    <t>FG00006</t>
  </si>
  <si>
    <t>Brookside Molo 95.50 mm</t>
  </si>
  <si>
    <t>FG00007</t>
  </si>
  <si>
    <t>Brookside Delamere 73.07 mm</t>
  </si>
  <si>
    <t>FG00008</t>
  </si>
  <si>
    <t>Brookside Ilara 73.07 mm</t>
  </si>
  <si>
    <t>FG00009</t>
  </si>
  <si>
    <t>Brookside Tuzo 73.07 mm</t>
  </si>
  <si>
    <t>FG00010</t>
  </si>
  <si>
    <t>Brookside DairyFresh 73.07 mm</t>
  </si>
  <si>
    <t>FG00011</t>
  </si>
  <si>
    <t>Brookside Natural 73.07 mm</t>
  </si>
  <si>
    <t>FG00012</t>
  </si>
  <si>
    <t>Brookside Molo 73.07 mm</t>
  </si>
  <si>
    <t>FG00013</t>
  </si>
  <si>
    <t>Plain 95.50 mm</t>
  </si>
  <si>
    <t>FG00014</t>
  </si>
  <si>
    <t>Githunguri Zito 95.50 mm</t>
  </si>
  <si>
    <t>FG00015</t>
  </si>
  <si>
    <t>Githunguri Fresha 73.07  mm</t>
  </si>
  <si>
    <t>FG00016</t>
  </si>
  <si>
    <t>Githunguri Zito 73.07 mm</t>
  </si>
  <si>
    <t>FG00017</t>
  </si>
  <si>
    <t xml:space="preserve">Mukurweini Royalfresh95.50 mm </t>
  </si>
  <si>
    <t>FG00018</t>
  </si>
  <si>
    <t xml:space="preserve">Mukurweini Royalfresh 73.07 mm </t>
  </si>
  <si>
    <t>FG00019</t>
  </si>
  <si>
    <t>Kinangop Vanilla 95.50 mm</t>
  </si>
  <si>
    <t>FG00020</t>
  </si>
  <si>
    <t>Kinangop Strawberry 95.50 mm</t>
  </si>
  <si>
    <t>FG00023</t>
  </si>
  <si>
    <t>Kinangop Vanilla 73.07 mm</t>
  </si>
  <si>
    <t>FG00024</t>
  </si>
  <si>
    <t>Kinangop Strawberry 73.07 mm</t>
  </si>
  <si>
    <t>FG00025</t>
  </si>
  <si>
    <t>Kinangop Vanila 4Us 73.07 mm</t>
  </si>
  <si>
    <t>FG00026</t>
  </si>
  <si>
    <t>Kinangop Strawberry 4Us 73.07 mm</t>
  </si>
  <si>
    <t>FG00027</t>
  </si>
  <si>
    <t>Uplands Pascha 95.50 mm</t>
  </si>
  <si>
    <t>FG00028</t>
  </si>
  <si>
    <t>Uplands Pascha  73.07 mm</t>
  </si>
  <si>
    <t>FG00029</t>
  </si>
  <si>
    <t>Superior Dairies  95.50 mm</t>
  </si>
  <si>
    <t>FG00030</t>
  </si>
  <si>
    <t>Superior Dairies 73.07 mm</t>
  </si>
  <si>
    <t>FG00031</t>
  </si>
  <si>
    <t xml:space="preserve">Demka Gracies 95.50 mm </t>
  </si>
  <si>
    <t>FG00032</t>
  </si>
  <si>
    <t xml:space="preserve">Demka Magunas 95.50 mm </t>
  </si>
  <si>
    <t>FG00033</t>
  </si>
  <si>
    <t xml:space="preserve">Demka Gracies 73.07 mm </t>
  </si>
  <si>
    <t>FG00034</t>
  </si>
  <si>
    <t>Demka Magunas 73.07 mm</t>
  </si>
  <si>
    <t>FG00035</t>
  </si>
  <si>
    <t>Eden Uzima 73.07 mm</t>
  </si>
  <si>
    <t>FG00036</t>
  </si>
  <si>
    <t>Green's &amp; Dairy 95.50 mm</t>
  </si>
  <si>
    <t>FG00037</t>
  </si>
  <si>
    <t>Green's &amp; Dairy 73.07 mm</t>
  </si>
  <si>
    <t>FG00038</t>
  </si>
  <si>
    <t>Ziara Lilly's 73.07 mm</t>
  </si>
  <si>
    <t>FG00039</t>
  </si>
  <si>
    <t>Bahati Dairy 95.50 mm</t>
  </si>
  <si>
    <t>FG00040</t>
  </si>
  <si>
    <t>Bahati Dairy 73.07 mm</t>
  </si>
  <si>
    <t>FG00041</t>
  </si>
  <si>
    <t xml:space="preserve">Brookside UG Fresh Dairy 95.50 mm </t>
  </si>
  <si>
    <t>FG00042</t>
  </si>
  <si>
    <t xml:space="preserve">Brookside UG Fresh Dairy 73.07 mm </t>
  </si>
  <si>
    <t>FG00044</t>
  </si>
  <si>
    <t>Fresha Milk 2L</t>
  </si>
  <si>
    <t>LABEL</t>
  </si>
  <si>
    <t>FG00045</t>
  </si>
  <si>
    <t>Fresha Vanilla Yoghurt 1L</t>
  </si>
  <si>
    <t>FG00046</t>
  </si>
  <si>
    <t>Fresha Strawberry Yoghurt 1L</t>
  </si>
  <si>
    <t>FG00052</t>
  </si>
  <si>
    <t xml:space="preserve">Razco Vanilla Icecream 500 ml </t>
  </si>
  <si>
    <t>FG00053</t>
  </si>
  <si>
    <t xml:space="preserve">Razco Van/ Straw Icecream 500 ml </t>
  </si>
  <si>
    <t>FG00054</t>
  </si>
  <si>
    <t xml:space="preserve">Razco Van/ Choc Icecream 500 ml </t>
  </si>
  <si>
    <t>FG00055</t>
  </si>
  <si>
    <t xml:space="preserve">Razco Vanilla Icecream 250 ml </t>
  </si>
  <si>
    <t>FG00056</t>
  </si>
  <si>
    <t xml:space="preserve">Razco Van/ Straw Icecream 250 ml </t>
  </si>
  <si>
    <t>FG00057</t>
  </si>
  <si>
    <t xml:space="preserve">Razco Van/ Choc Icecream 250 ml </t>
  </si>
  <si>
    <t>FG00058</t>
  </si>
  <si>
    <t xml:space="preserve">Razco White Vinegar 700 ml </t>
  </si>
  <si>
    <t>FG00059</t>
  </si>
  <si>
    <t>Razco White Vinegar 5L</t>
  </si>
  <si>
    <t>FG00060</t>
  </si>
  <si>
    <t>Razco Mayonnaise 380 ml</t>
  </si>
  <si>
    <t>FG00061</t>
  </si>
  <si>
    <t>Razco Mayonnaise 725 ml</t>
  </si>
  <si>
    <t>FG00062</t>
  </si>
  <si>
    <t>Razco Lyons Chilli Sauce 250 g</t>
  </si>
  <si>
    <t>FG00063</t>
  </si>
  <si>
    <t>Razco Lyons Chilli Sauce 375 g</t>
  </si>
  <si>
    <t>FG00064</t>
  </si>
  <si>
    <t>Razco Presto Chilli Sauce 250g</t>
  </si>
  <si>
    <t>FG00065</t>
  </si>
  <si>
    <t>Razco Presto Chilli Sauce 375g</t>
  </si>
  <si>
    <t>FG00066</t>
  </si>
  <si>
    <t xml:space="preserve">Razco Lyons Universal Neck </t>
  </si>
  <si>
    <t>FG00067</t>
  </si>
  <si>
    <t xml:space="preserve">Razco Presto Universal Neck </t>
  </si>
  <si>
    <t>FG00069</t>
  </si>
  <si>
    <t xml:space="preserve">Razco Not For Individual Sale </t>
  </si>
  <si>
    <t>FG00070</t>
  </si>
  <si>
    <t>Razco Vanilla Softy 5L</t>
  </si>
  <si>
    <t>FG00071</t>
  </si>
  <si>
    <t>Razco Strawberry Softy 5L</t>
  </si>
  <si>
    <t>FG00074</t>
  </si>
  <si>
    <t>Muroha Water 500 ml</t>
  </si>
  <si>
    <t>FG00075</t>
  </si>
  <si>
    <t>Muroha Water 1L</t>
  </si>
  <si>
    <t>FG00076</t>
  </si>
  <si>
    <t xml:space="preserve">Monsanto Malawi Plain/ Yellow Patch </t>
  </si>
  <si>
    <t>FG00077</t>
  </si>
  <si>
    <t>Monsanto Tz Dekalb</t>
  </si>
  <si>
    <t>FG00078</t>
  </si>
  <si>
    <t xml:space="preserve">Cyperdip 55EC 20ml </t>
  </si>
  <si>
    <t>FG00079</t>
  </si>
  <si>
    <t>Cyperdip 55EC 40 ml</t>
  </si>
  <si>
    <t>FG00080</t>
  </si>
  <si>
    <t>Cyperdip 55EC 100 ml</t>
  </si>
  <si>
    <t>FG00084</t>
  </si>
  <si>
    <t xml:space="preserve">Adrikos Flavoured  Gin 200 ml </t>
  </si>
  <si>
    <t>FG00085</t>
  </si>
  <si>
    <t>KCC Butter Mini Portions 8g</t>
  </si>
  <si>
    <t>FG00086</t>
  </si>
  <si>
    <t xml:space="preserve">Razco Uiversal Necks Old </t>
  </si>
  <si>
    <t>FG00093</t>
  </si>
  <si>
    <t>Palmhouse,73.07mm</t>
  </si>
  <si>
    <t>FG00097</t>
  </si>
  <si>
    <t xml:space="preserve">Kenchic Chicken Sausages 26 Pcs </t>
  </si>
  <si>
    <t>FG00098</t>
  </si>
  <si>
    <t xml:space="preserve">Kenchic Chicken Sausages10pcs </t>
  </si>
  <si>
    <t>FG00099</t>
  </si>
  <si>
    <t xml:space="preserve">Kenchic Beef Sausages 26pcs </t>
  </si>
  <si>
    <t>FG00100</t>
  </si>
  <si>
    <t xml:space="preserve">Kenchic Beef  Sausages10pcs </t>
  </si>
  <si>
    <t>FG00101</t>
  </si>
  <si>
    <t>Kenchic Smoked  Beef  Sausages</t>
  </si>
  <si>
    <t>FG00102</t>
  </si>
  <si>
    <t xml:space="preserve">Kenchic Naivas Full Kuku </t>
  </si>
  <si>
    <t>FG00103</t>
  </si>
  <si>
    <t xml:space="preserve">Kenchic Naivas Fresh Cuts </t>
  </si>
  <si>
    <t>FG00104</t>
  </si>
  <si>
    <t xml:space="preserve">Kenchic Barcode Stickers </t>
  </si>
  <si>
    <t>FG00105</t>
  </si>
  <si>
    <t>Maisha Drinking Water VAR001</t>
  </si>
  <si>
    <t>FG00106</t>
  </si>
  <si>
    <t>Maisha Drinking Water VAR002</t>
  </si>
  <si>
    <t>FG00107</t>
  </si>
  <si>
    <t xml:space="preserve">Tosha Water 500 ml </t>
  </si>
  <si>
    <t>FG00108</t>
  </si>
  <si>
    <t>Bahati Vegetable oil</t>
  </si>
  <si>
    <t>FG00110</t>
  </si>
  <si>
    <t xml:space="preserve">Sedoso Moulding Wax Top </t>
  </si>
  <si>
    <t>FG00111</t>
  </si>
  <si>
    <t xml:space="preserve">Mt Kenya Sparkler Vodka Back </t>
  </si>
  <si>
    <t>FG00112</t>
  </si>
  <si>
    <t>PP Clear</t>
  </si>
  <si>
    <t>FG00113</t>
  </si>
  <si>
    <t>Uplands  Dairies 73.07 mm</t>
  </si>
  <si>
    <t>FG00114</t>
  </si>
  <si>
    <t xml:space="preserve">Brookside UG Fruit 95.50 mm </t>
  </si>
  <si>
    <t>FG00115</t>
  </si>
  <si>
    <t xml:space="preserve">Fresha  5 L Yoghurt </t>
  </si>
  <si>
    <t>FG00116</t>
  </si>
  <si>
    <t>Rubis's Lubricants 250 ml</t>
  </si>
  <si>
    <t>FG00117</t>
  </si>
  <si>
    <t>Rubis's Lubricants 500 ml</t>
  </si>
  <si>
    <t>FG00118</t>
  </si>
  <si>
    <t>FG00119</t>
  </si>
  <si>
    <t>FG00121</t>
  </si>
  <si>
    <t xml:space="preserve">Rubis's Lubricants 1L </t>
  </si>
  <si>
    <t>FG00122</t>
  </si>
  <si>
    <t>FG00123</t>
  </si>
  <si>
    <t>FG00124</t>
  </si>
  <si>
    <t>FG00125</t>
  </si>
  <si>
    <t xml:space="preserve">Rubis's Lubricants 4L </t>
  </si>
  <si>
    <t>FG00126</t>
  </si>
  <si>
    <t xml:space="preserve">Rubis's Lubricants 5L </t>
  </si>
  <si>
    <t>FG00127</t>
  </si>
  <si>
    <t>FG00128</t>
  </si>
  <si>
    <t>FG00129</t>
  </si>
  <si>
    <t>FG00130</t>
  </si>
  <si>
    <t>FG00131</t>
  </si>
  <si>
    <t xml:space="preserve">Adrikos 200 ml </t>
  </si>
  <si>
    <t>FG00132</t>
  </si>
  <si>
    <t>Abony Plain 54*75mm Label</t>
  </si>
  <si>
    <t>FG00133</t>
  </si>
  <si>
    <t xml:space="preserve">Lucky Dairy Yum Tum Yoghurt </t>
  </si>
  <si>
    <t>FG00134</t>
  </si>
  <si>
    <t xml:space="preserve">Countryside 95.50 mm </t>
  </si>
  <si>
    <t>FG00135</t>
  </si>
  <si>
    <t xml:space="preserve">Countryside 73.07 mm </t>
  </si>
  <si>
    <t>FG00136</t>
  </si>
  <si>
    <t>Plain Yoghurt Lid 73.07 mm</t>
  </si>
  <si>
    <t>FG00137</t>
  </si>
  <si>
    <t xml:space="preserve">Daiichi Pork Label </t>
  </si>
  <si>
    <t>FG00138</t>
  </si>
  <si>
    <t>FG00139</t>
  </si>
  <si>
    <t xml:space="preserve">Daiichi  Pork Labels </t>
  </si>
  <si>
    <t>FG00140</t>
  </si>
  <si>
    <t>Daiichi Choma Sausage</t>
  </si>
  <si>
    <t>FG00141</t>
  </si>
  <si>
    <t>FG00142</t>
  </si>
  <si>
    <t>FG00143</t>
  </si>
  <si>
    <t>FG00144</t>
  </si>
  <si>
    <t xml:space="preserve">Plain Label 25*20 mm </t>
  </si>
  <si>
    <t>FG00145</t>
  </si>
  <si>
    <t xml:space="preserve">Bio Kivu 73.07 mm Yoghurt Lid </t>
  </si>
  <si>
    <t>FG00146</t>
  </si>
  <si>
    <t xml:space="preserve">Jufred 95.50 mm Yoghurt Lid </t>
  </si>
  <si>
    <t>FG00147</t>
  </si>
  <si>
    <t>Tropikal Handwash 5L</t>
  </si>
  <si>
    <t>FG00148</t>
  </si>
  <si>
    <t>FG00149</t>
  </si>
  <si>
    <t>FG00150</t>
  </si>
  <si>
    <t>Sample 73.07mm</t>
  </si>
  <si>
    <t>FG00151</t>
  </si>
  <si>
    <t>Sample 95.5MM</t>
  </si>
  <si>
    <t>FG00157</t>
  </si>
  <si>
    <t>Razco Presto Vinegar 700ml</t>
  </si>
  <si>
    <t>FG00158</t>
  </si>
  <si>
    <t>Vim Twin Pack Stickers</t>
  </si>
  <si>
    <t>FG00162</t>
  </si>
  <si>
    <t>Alba Whole Milk 20L</t>
  </si>
  <si>
    <t>FG00163</t>
  </si>
  <si>
    <t>Mc Dave Release Stickers</t>
  </si>
  <si>
    <t>FG00164</t>
  </si>
  <si>
    <t>Brookside Unsalted Butter 500g</t>
  </si>
  <si>
    <t>FG00166</t>
  </si>
  <si>
    <t>Alba Vanilla Yoghurt 73.07</t>
  </si>
  <si>
    <t>FG00168</t>
  </si>
  <si>
    <t>Alba Berries Yoghurt  73.07mm</t>
  </si>
  <si>
    <t>FG00170</t>
  </si>
  <si>
    <t>Alba Strawberry Yoghurt 73.07mm</t>
  </si>
  <si>
    <t>FG00171</t>
  </si>
  <si>
    <t>Alba Yoghurt Srawberry 95.5mm</t>
  </si>
  <si>
    <t>FG00172</t>
  </si>
  <si>
    <t>Alba Mango Yoghurt 73.07mm</t>
  </si>
  <si>
    <t>FG00173</t>
  </si>
  <si>
    <t>Alba Mango Yoghurt 95.5mm</t>
  </si>
  <si>
    <t>FG00174</t>
  </si>
  <si>
    <t>Alba Natural Yoghurt 73.07mm</t>
  </si>
  <si>
    <t>FG00175</t>
  </si>
  <si>
    <t>Alba Natural Yoghurt 95.5mm</t>
  </si>
  <si>
    <t>FG00176</t>
  </si>
  <si>
    <t>Alba Tropikal Yoghurt 73.07mm</t>
  </si>
  <si>
    <t>FG00177</t>
  </si>
  <si>
    <t>Alba Tropikal Yoghurt 95.5mm</t>
  </si>
  <si>
    <t>FG00179</t>
  </si>
  <si>
    <t>Mc Dave Vim Holographic Lids</t>
  </si>
  <si>
    <t>FG00181</t>
  </si>
  <si>
    <t xml:space="preserve">MC Dave New Domestos Lids </t>
  </si>
  <si>
    <t>FG00182</t>
  </si>
  <si>
    <t>MC Dave Sunlight New Lid Stickers</t>
  </si>
  <si>
    <t>FG00183</t>
  </si>
  <si>
    <t>Brookside Probiotic Strawberry Yoghurt 95.5mm</t>
  </si>
  <si>
    <t>FG00184</t>
  </si>
  <si>
    <t>Brookside Probiotic Vanilla Yoghurt 95.5mm</t>
  </si>
  <si>
    <t>FG00185</t>
  </si>
  <si>
    <t>Brookside (UG) Fruity Yoghurt 73.07mm</t>
  </si>
  <si>
    <t>FG00186</t>
  </si>
  <si>
    <t>Enkare Purified Drinking Water 1Litre</t>
  </si>
  <si>
    <t>FG00190</t>
  </si>
  <si>
    <t>Razco Light Mayo 380 G</t>
  </si>
  <si>
    <t>FG00192</t>
  </si>
  <si>
    <t>Lato Butter Unsalted 500g</t>
  </si>
  <si>
    <t>FG00194</t>
  </si>
  <si>
    <t xml:space="preserve">Githunguri Yuppies 73.07 mm </t>
  </si>
  <si>
    <t>FG00195</t>
  </si>
  <si>
    <t>Bogani Yoghurt Lid 73.07 mm</t>
  </si>
  <si>
    <t>FG00196</t>
  </si>
  <si>
    <t>Enkare Purified Drinking Water 20L</t>
  </si>
  <si>
    <t>FG00197</t>
  </si>
  <si>
    <t>Vim Lid -SA</t>
  </si>
  <si>
    <t>FG00198</t>
  </si>
  <si>
    <t>Bingo Yoghurt Lid 73.07 mm</t>
  </si>
  <si>
    <t>FG00201</t>
  </si>
  <si>
    <t>Generic Vanilla 73.07mm</t>
  </si>
  <si>
    <t>FG00202</t>
  </si>
  <si>
    <t>Generic Strawberry 73.07mm</t>
  </si>
  <si>
    <t>FG00203</t>
  </si>
  <si>
    <t>Brookside Butter Salted 500g</t>
  </si>
  <si>
    <t>FG00204</t>
  </si>
  <si>
    <t>5L SKU Labels</t>
  </si>
  <si>
    <t>FG00205</t>
  </si>
  <si>
    <t>Abony Yoghurt Lid 73.07 mm</t>
  </si>
  <si>
    <t>FG00206</t>
  </si>
  <si>
    <t xml:space="preserve">Abony Yoghurt Lid 95.50 mm </t>
  </si>
  <si>
    <t>FG00207</t>
  </si>
  <si>
    <t xml:space="preserve">Generic Vanilla  95.50 mm </t>
  </si>
  <si>
    <t>FG00208</t>
  </si>
  <si>
    <t xml:space="preserve">Generic  Strawberry 95.50mm </t>
  </si>
  <si>
    <t>FG00209</t>
  </si>
  <si>
    <t xml:space="preserve">Fresha Cream 5Litres </t>
  </si>
  <si>
    <t>FG00211</t>
  </si>
  <si>
    <t>Victory Vanilla 73.07 mm</t>
  </si>
  <si>
    <t>FG00212</t>
  </si>
  <si>
    <t>Abony Feta Cheese 200g</t>
  </si>
  <si>
    <t>FG00213</t>
  </si>
  <si>
    <t>Abony Feta Cheese 400g</t>
  </si>
  <si>
    <t>FG00214</t>
  </si>
  <si>
    <t>Abony Feta Cheese 1Kg</t>
  </si>
  <si>
    <t>FG00215</t>
  </si>
  <si>
    <t>Abony Panner Cheese 200g</t>
  </si>
  <si>
    <t>FG00217</t>
  </si>
  <si>
    <t xml:space="preserve">Abonny Paneer Cheese 1Kg </t>
  </si>
  <si>
    <t>FG00218</t>
  </si>
  <si>
    <t>Abony Halloumi Cheese 200g</t>
  </si>
  <si>
    <t>FG00219</t>
  </si>
  <si>
    <t>Abony Halloumi Cheese 400 g</t>
  </si>
  <si>
    <t>FG00221</t>
  </si>
  <si>
    <t xml:space="preserve">Abony Mozzarella Cheese 130 g *2 </t>
  </si>
  <si>
    <t>FG00222</t>
  </si>
  <si>
    <t>Abony Mozzarella Cheese 500g</t>
  </si>
  <si>
    <t>FG00223</t>
  </si>
  <si>
    <t>Abony Mozzarella Cheese 1Kg</t>
  </si>
  <si>
    <t>FG00226</t>
  </si>
  <si>
    <t xml:space="preserve">Dheef Strawberry Yoghurt 250ml </t>
  </si>
  <si>
    <t>FG00227</t>
  </si>
  <si>
    <t xml:space="preserve">Dheef Vanilla Yoghurt 250 ml </t>
  </si>
  <si>
    <t>FG00228</t>
  </si>
  <si>
    <t xml:space="preserve">Dheef Natural Yoghurt 250 ml </t>
  </si>
  <si>
    <t>FG00229</t>
  </si>
  <si>
    <t xml:space="preserve">Dheef Chocolate Yoghurt 250 ml </t>
  </si>
  <si>
    <t>FG00230</t>
  </si>
  <si>
    <t xml:space="preserve">Dheef Mango Yoghurt 250 ml </t>
  </si>
  <si>
    <t>FG00234</t>
  </si>
  <si>
    <t xml:space="preserve">Sample Butter Foil Wrapper </t>
  </si>
  <si>
    <t>PCS</t>
  </si>
  <si>
    <t>FG00236</t>
  </si>
  <si>
    <t>Lily Yogo 73.07mm</t>
  </si>
  <si>
    <t>FG00237</t>
  </si>
  <si>
    <t>Brookside Probiotic Natural 95.5mm</t>
  </si>
  <si>
    <t>FG00238</t>
  </si>
  <si>
    <t xml:space="preserve">Fresha 2L Yoghurt </t>
  </si>
  <si>
    <t>FG00240</t>
  </si>
  <si>
    <t>Abony Cream Cheese 200g</t>
  </si>
  <si>
    <t>FG00241</t>
  </si>
  <si>
    <t>Abony Cheddar 200g</t>
  </si>
  <si>
    <t>FG00242</t>
  </si>
  <si>
    <t>Abony Cheddar 400g</t>
  </si>
  <si>
    <t>FG00243</t>
  </si>
  <si>
    <t>Abony Safari Cheese 200g</t>
  </si>
  <si>
    <t>FG00245</t>
  </si>
  <si>
    <t>Abony Gouda Cheese 200g</t>
  </si>
  <si>
    <t>FG00247</t>
  </si>
  <si>
    <t xml:space="preserve">Brookside 8g Butter </t>
  </si>
  <si>
    <t>FG00249</t>
  </si>
  <si>
    <t>Abony Cheddar Cheese 1kg</t>
  </si>
  <si>
    <t>FG00252</t>
  </si>
  <si>
    <t>Dheef Strawberry Yoghurt 500ml</t>
  </si>
  <si>
    <t>FG00253</t>
  </si>
  <si>
    <t>Dheef Vanilla Yoghurt 500ml</t>
  </si>
  <si>
    <t>FG00255</t>
  </si>
  <si>
    <t>Razco Vanilla 4L Ooh!</t>
  </si>
  <si>
    <t>FG00257</t>
  </si>
  <si>
    <t>Razco Soft Serve Instructions 5L</t>
  </si>
  <si>
    <t>FG00260</t>
  </si>
  <si>
    <t xml:space="preserve">Zelia Top Lid Sticker </t>
  </si>
  <si>
    <t>FG00262</t>
  </si>
  <si>
    <t xml:space="preserve">General Purpose Cleaner 20L Labels </t>
  </si>
  <si>
    <t>FG00264</t>
  </si>
  <si>
    <t xml:space="preserve">Daima 95mm Youghurt lids </t>
  </si>
  <si>
    <t>FG00267</t>
  </si>
  <si>
    <t>Bactoguard Disinfectant Label</t>
  </si>
  <si>
    <t>Inner Box Side Stickers</t>
  </si>
  <si>
    <t>FG00270</t>
  </si>
  <si>
    <t>Afya Bora Lid 73.07mm</t>
  </si>
  <si>
    <t>FG00272</t>
  </si>
  <si>
    <t xml:space="preserve">Trade House - QC Passed </t>
  </si>
  <si>
    <t>FG00283</t>
  </si>
  <si>
    <t>Haco Amara Original 50ml</t>
  </si>
  <si>
    <t>FG00289</t>
  </si>
  <si>
    <t>Tarakwo Dairy Alufoil Lid 73.07 mm</t>
  </si>
  <si>
    <t>FG00290</t>
  </si>
  <si>
    <t>Tarakwo Dairy Alufoil Lid 95.50 mm</t>
  </si>
  <si>
    <t>FG00293</t>
  </si>
  <si>
    <t>Masaka Farms Ikivuguto Fermented Milk 500 ml</t>
  </si>
  <si>
    <t>FG00294</t>
  </si>
  <si>
    <t>Masaka Farms Ikivuguto Fermented Milk 5L</t>
  </si>
  <si>
    <t>FG00296</t>
  </si>
  <si>
    <t>Masaka Farms Vanilla Flavoured Yoghurt 500ml</t>
  </si>
  <si>
    <t>FG00297</t>
  </si>
  <si>
    <t>Masaka Farms Strawberry Flavoured Yoghurt 500ml</t>
  </si>
  <si>
    <t>FG00298</t>
  </si>
  <si>
    <t>Masaka Farms Mayonnaise Lemon 800ml</t>
  </si>
  <si>
    <t>FG00299</t>
  </si>
  <si>
    <t>Masaka Farms Mayonnaise Original 800ml</t>
  </si>
  <si>
    <t>FG00315</t>
  </si>
  <si>
    <t>Masaka Farms Yoghurt Lids 73mm</t>
  </si>
  <si>
    <t>FG00316</t>
  </si>
  <si>
    <t>Masaka Farms Yoghurt Lids 95mm</t>
  </si>
  <si>
    <t>FG00325</t>
  </si>
  <si>
    <t>Happy Cow Yoghurt Lid 73.07mm</t>
  </si>
  <si>
    <t>GRAMS</t>
  </si>
  <si>
    <t>FG00326</t>
  </si>
  <si>
    <t>Ishyo Foods Ltd 73.07 mm</t>
  </si>
  <si>
    <t>FG00327</t>
  </si>
  <si>
    <t>Just Milk Yoghurt Lid 73.07mm</t>
  </si>
  <si>
    <t>FG00328</t>
  </si>
  <si>
    <t>Just Milk Yoghurt Lid 95.50mm</t>
  </si>
  <si>
    <t>FG00331</t>
  </si>
  <si>
    <t>Abony Vanilla Yoghurt Lid 73.07mm</t>
  </si>
  <si>
    <t>FG00332</t>
  </si>
  <si>
    <t>Abony Tropical Yoghurt Lid 73.07mm</t>
  </si>
  <si>
    <t>FG00333</t>
  </si>
  <si>
    <t>Abony Strawberry Yoghurt Lid 73.07mm</t>
  </si>
  <si>
    <t>FG00336</t>
  </si>
  <si>
    <t>Abony Natural Yoghurt 73.07mm Lid</t>
  </si>
  <si>
    <t>FG00337</t>
  </si>
  <si>
    <t>Afya Bora Yoghurt 95.50mm</t>
  </si>
  <si>
    <t>FG00348</t>
  </si>
  <si>
    <t>Abony Mozzarrella Cheese 200g</t>
  </si>
  <si>
    <t>FG00349</t>
  </si>
  <si>
    <t xml:space="preserve">MEGA Yoghurt 73.07mm </t>
  </si>
  <si>
    <t>FG00350</t>
  </si>
  <si>
    <t>MEGA Yoghurt 95.50mm</t>
  </si>
  <si>
    <t>FG00352</t>
  </si>
  <si>
    <t>Bahati Mozzarella Natural Cheese Label</t>
  </si>
  <si>
    <t>FG00353</t>
  </si>
  <si>
    <t>Ishyo Vanilla Probiotic yoghurt 250ml</t>
  </si>
  <si>
    <t>FG00354</t>
  </si>
  <si>
    <t>Ishyo Raspberry Probiotic Yoghurt 250ml</t>
  </si>
  <si>
    <t>FG00355</t>
  </si>
  <si>
    <t>Ishyo Blueberry Probiotic Yoghurt 250ml</t>
  </si>
  <si>
    <t>FG00357</t>
  </si>
  <si>
    <t xml:space="preserve">Multi Surface Cleaner 500ml </t>
  </si>
  <si>
    <t>FG00361</t>
  </si>
  <si>
    <t>Quality Yoghurt Lid 73.07mm</t>
  </si>
  <si>
    <t>FG00362</t>
  </si>
  <si>
    <t>Bahati Probiotic Vanilla Yoghurt 95.50 mm</t>
  </si>
  <si>
    <t>FG00364</t>
  </si>
  <si>
    <t>Dalani Yoghurt Lid 73.07mm</t>
  </si>
  <si>
    <t>FG00365</t>
  </si>
  <si>
    <t>Kalungi Strawberry Flavored Soft Drink Label</t>
  </si>
  <si>
    <t>FG00366</t>
  </si>
  <si>
    <t>Bahati Probiotic Strawberry Yoghurt 95.50mm</t>
  </si>
  <si>
    <t>FG00367</t>
  </si>
  <si>
    <t>Bahati Probiotic Natural Yoghurt 95.50mm</t>
  </si>
  <si>
    <t>FG00369</t>
  </si>
  <si>
    <t>McDave APO Lid Stickers</t>
  </si>
  <si>
    <t>FG00370</t>
  </si>
  <si>
    <t>Kazifresh 95.50mm Yoghurt Lid</t>
  </si>
  <si>
    <t>FG00371</t>
  </si>
  <si>
    <t>Outer Carton Stickers</t>
  </si>
  <si>
    <t>FG00372</t>
  </si>
  <si>
    <t>Softic Gin 100ml</t>
  </si>
  <si>
    <t>FG00376</t>
  </si>
  <si>
    <t xml:space="preserve">Yausafi 300ml Label </t>
  </si>
  <si>
    <t>FG00377</t>
  </si>
  <si>
    <t>Bactoguard Lyzol Disinfectant</t>
  </si>
  <si>
    <t>FG00378</t>
  </si>
  <si>
    <t>Me Cool Van Choc 120ml</t>
  </si>
  <si>
    <t>FG00379</t>
  </si>
  <si>
    <t>Me Cool Van Choc 220ml</t>
  </si>
  <si>
    <t>FG00380</t>
  </si>
  <si>
    <t>Me Cool Van Straw 220ml</t>
  </si>
  <si>
    <t>RM-INK</t>
  </si>
  <si>
    <t>Process Cyan</t>
  </si>
  <si>
    <t>RM00019</t>
  </si>
  <si>
    <t>Process Magenta</t>
  </si>
  <si>
    <t>RM00020</t>
  </si>
  <si>
    <t>Process Yellow</t>
  </si>
  <si>
    <t>Process Black</t>
  </si>
  <si>
    <t>RM00022</t>
  </si>
  <si>
    <t>Opaque White</t>
  </si>
  <si>
    <t>RM00023</t>
  </si>
  <si>
    <t>Reflex Blue</t>
  </si>
  <si>
    <t>RM00024</t>
  </si>
  <si>
    <t>Violet</t>
  </si>
  <si>
    <t>RM00025</t>
  </si>
  <si>
    <t xml:space="preserve">Green </t>
  </si>
  <si>
    <t>RM00027</t>
  </si>
  <si>
    <t>Rhodamine</t>
  </si>
  <si>
    <t>RM00028</t>
  </si>
  <si>
    <t>Transparent White</t>
  </si>
  <si>
    <t>RM00029</t>
  </si>
  <si>
    <t xml:space="preserve">Rubine Red </t>
  </si>
  <si>
    <t>RM00030</t>
  </si>
  <si>
    <t xml:space="preserve">Warm Red </t>
  </si>
  <si>
    <t>RM00033</t>
  </si>
  <si>
    <t xml:space="preserve">High Slip Opaque White </t>
  </si>
  <si>
    <t>RM00034</t>
  </si>
  <si>
    <t xml:space="preserve">Silver </t>
  </si>
  <si>
    <t>RM00035</t>
  </si>
  <si>
    <t xml:space="preserve">Gold </t>
  </si>
  <si>
    <t>RM00036</t>
  </si>
  <si>
    <t xml:space="preserve">Varnish Food Grade </t>
  </si>
  <si>
    <t>RM00039</t>
  </si>
  <si>
    <t xml:space="preserve">P 286C </t>
  </si>
  <si>
    <t>RM00040</t>
  </si>
  <si>
    <t xml:space="preserve">P 2748C </t>
  </si>
  <si>
    <t>RM00041</t>
  </si>
  <si>
    <t xml:space="preserve">P 2935C </t>
  </si>
  <si>
    <t>RM00042</t>
  </si>
  <si>
    <t>P2695C</t>
  </si>
  <si>
    <t>RM00043</t>
  </si>
  <si>
    <t>P 300C</t>
  </si>
  <si>
    <t>RM00044</t>
  </si>
  <si>
    <t>P281C</t>
  </si>
  <si>
    <t>RM00046</t>
  </si>
  <si>
    <t>P634C</t>
  </si>
  <si>
    <t>RM00047</t>
  </si>
  <si>
    <t>P293C</t>
  </si>
  <si>
    <t>RM00048</t>
  </si>
  <si>
    <t>P 2765C</t>
  </si>
  <si>
    <t>RM00049</t>
  </si>
  <si>
    <t>P2925C</t>
  </si>
  <si>
    <t>RM00055</t>
  </si>
  <si>
    <t>P2905C</t>
  </si>
  <si>
    <t>RM00057</t>
  </si>
  <si>
    <t xml:space="preserve">P 166C </t>
  </si>
  <si>
    <t>RM00059</t>
  </si>
  <si>
    <t xml:space="preserve">P 4975C </t>
  </si>
  <si>
    <t>RM00063</t>
  </si>
  <si>
    <t>P7585C</t>
  </si>
  <si>
    <t>RM00066</t>
  </si>
  <si>
    <t>P7533C</t>
  </si>
  <si>
    <t>RM00073</t>
  </si>
  <si>
    <t>P354C</t>
  </si>
  <si>
    <t>RM00074</t>
  </si>
  <si>
    <t>P375C</t>
  </si>
  <si>
    <t>RM00079</t>
  </si>
  <si>
    <t>P7741C</t>
  </si>
  <si>
    <t>RM00081</t>
  </si>
  <si>
    <t>P372C</t>
  </si>
  <si>
    <t>RM00084</t>
  </si>
  <si>
    <t>P347C</t>
  </si>
  <si>
    <t>RM00088</t>
  </si>
  <si>
    <t>P240C</t>
  </si>
  <si>
    <t>RM00091</t>
  </si>
  <si>
    <t>P254C</t>
  </si>
  <si>
    <t>RM00092</t>
  </si>
  <si>
    <t>P485C</t>
  </si>
  <si>
    <t>RM00093</t>
  </si>
  <si>
    <t>P200C</t>
  </si>
  <si>
    <t>RM00101</t>
  </si>
  <si>
    <t>P7625C</t>
  </si>
  <si>
    <t>RM00105</t>
  </si>
  <si>
    <t>P1235C</t>
  </si>
  <si>
    <t>RM00107</t>
  </si>
  <si>
    <t>P1245C</t>
  </si>
  <si>
    <t>RM00108</t>
  </si>
  <si>
    <t>P7549C</t>
  </si>
  <si>
    <t>RM00114</t>
  </si>
  <si>
    <t>P7508C</t>
  </si>
  <si>
    <t>RM00115</t>
  </si>
  <si>
    <t>P219C</t>
  </si>
  <si>
    <t>RM00116</t>
  </si>
  <si>
    <t>P631C</t>
  </si>
  <si>
    <t>RM00117</t>
  </si>
  <si>
    <t>P0131C</t>
  </si>
  <si>
    <t>RM00119</t>
  </si>
  <si>
    <t xml:space="preserve">Pantone Cool Grey </t>
  </si>
  <si>
    <t>RM00120</t>
  </si>
  <si>
    <t>UV Lamination Adhesive LV Varnish</t>
  </si>
  <si>
    <t>RM00121</t>
  </si>
  <si>
    <t xml:space="preserve">UV Dry Flexo High Cure Wraparound Gloss Lacquer </t>
  </si>
  <si>
    <t>RM00122</t>
  </si>
  <si>
    <t xml:space="preserve">UV Cationic Release Coating Photocompound </t>
  </si>
  <si>
    <t>RM00123</t>
  </si>
  <si>
    <t>UV Cationic Release Coating UV C0004</t>
  </si>
  <si>
    <t>RM00124</t>
  </si>
  <si>
    <t xml:space="preserve">UV Dissensitizing Varnish </t>
  </si>
  <si>
    <t>RM00143</t>
  </si>
  <si>
    <t>P3435C</t>
  </si>
  <si>
    <t>RM00144</t>
  </si>
  <si>
    <t>P639C</t>
  </si>
  <si>
    <t>RM00149</t>
  </si>
  <si>
    <t>P 675C</t>
  </si>
  <si>
    <t>RM00150</t>
  </si>
  <si>
    <t>P433C</t>
  </si>
  <si>
    <t>RM00151</t>
  </si>
  <si>
    <t>P2423C</t>
  </si>
  <si>
    <t>RM00153</t>
  </si>
  <si>
    <t>P291c</t>
  </si>
  <si>
    <t>RM00154</t>
  </si>
  <si>
    <t>P164C</t>
  </si>
  <si>
    <t>RM00155</t>
  </si>
  <si>
    <t>P1385C</t>
  </si>
  <si>
    <t>RM00156</t>
  </si>
  <si>
    <t>P2603</t>
  </si>
  <si>
    <t>RM00158</t>
  </si>
  <si>
    <t>P395C</t>
  </si>
  <si>
    <t>RM00159</t>
  </si>
  <si>
    <t>P1215C</t>
  </si>
  <si>
    <t>RM00161</t>
  </si>
  <si>
    <t>P199C</t>
  </si>
  <si>
    <t>RM00162</t>
  </si>
  <si>
    <t>P297C</t>
  </si>
  <si>
    <t>RM00163</t>
  </si>
  <si>
    <t>P541C</t>
  </si>
  <si>
    <t>RM00164</t>
  </si>
  <si>
    <t>Varnish - Matt</t>
  </si>
  <si>
    <t>RM00165</t>
  </si>
  <si>
    <t>P184C</t>
  </si>
  <si>
    <t>RM00166</t>
  </si>
  <si>
    <t>P2004C</t>
  </si>
  <si>
    <t>RM00167</t>
  </si>
  <si>
    <t>P2587C</t>
  </si>
  <si>
    <t>RM00168</t>
  </si>
  <si>
    <t>P2738C</t>
  </si>
  <si>
    <t>RM00169</t>
  </si>
  <si>
    <t>P217C</t>
  </si>
  <si>
    <t>RM00170</t>
  </si>
  <si>
    <t>P672C</t>
  </si>
  <si>
    <t>RM00171</t>
  </si>
  <si>
    <t>P211C</t>
  </si>
  <si>
    <t>RM00172</t>
  </si>
  <si>
    <t>P657C</t>
  </si>
  <si>
    <t>RM00173</t>
  </si>
  <si>
    <t>P2077C</t>
  </si>
  <si>
    <t>RM00174</t>
  </si>
  <si>
    <t>P4685C</t>
  </si>
  <si>
    <t>RM00175</t>
  </si>
  <si>
    <t>P163C</t>
  </si>
  <si>
    <t>RM00176</t>
  </si>
  <si>
    <t>UV Dry Flexo Blue Fluorescing Lacquer (O/P)</t>
  </si>
  <si>
    <t>RM00179</t>
  </si>
  <si>
    <t>P2965C</t>
  </si>
  <si>
    <t>RM00181</t>
  </si>
  <si>
    <t xml:space="preserve">Sample Ink </t>
  </si>
  <si>
    <t>RM00182</t>
  </si>
  <si>
    <t>P441C</t>
  </si>
  <si>
    <t>RM-MC</t>
  </si>
  <si>
    <t>MC00001</t>
  </si>
  <si>
    <t>Anilox Roll Cleaner</t>
  </si>
  <si>
    <t>KG</t>
  </si>
  <si>
    <t>MC00003</t>
  </si>
  <si>
    <t xml:space="preserve">DistilledWater </t>
  </si>
  <si>
    <t>MC00004</t>
  </si>
  <si>
    <t>Doctor Blade, Metallic</t>
  </si>
  <si>
    <t>MC00005</t>
  </si>
  <si>
    <t>Doctor Blade, Plastic</t>
  </si>
  <si>
    <t>MC00007</t>
  </si>
  <si>
    <t>Gear Grease, Food Grade</t>
  </si>
  <si>
    <t>MC00009</t>
  </si>
  <si>
    <t>Mounting Tape, 370mm 52015</t>
  </si>
  <si>
    <t>MC00010</t>
  </si>
  <si>
    <t>Oil , Ultra performance</t>
  </si>
  <si>
    <t>MC00012</t>
  </si>
  <si>
    <t xml:space="preserve">Silicon Spray </t>
  </si>
  <si>
    <t>MC00014</t>
  </si>
  <si>
    <t xml:space="preserve">Static Tinsel Coil </t>
  </si>
  <si>
    <t>MC00015</t>
  </si>
  <si>
    <t>Tint Sleeve, Grey</t>
  </si>
  <si>
    <t>MC00016</t>
  </si>
  <si>
    <t xml:space="preserve">Tint Sleeve, Black </t>
  </si>
  <si>
    <t>MC00018</t>
  </si>
  <si>
    <t xml:space="preserve">Web Cleaning Adhesive Roll </t>
  </si>
  <si>
    <t>MC00019</t>
  </si>
  <si>
    <t>Roller Bearings Grease, Food Grade</t>
  </si>
  <si>
    <t>RM-MS</t>
  </si>
  <si>
    <t>MS00001</t>
  </si>
  <si>
    <t xml:space="preserve">Anilox Locks </t>
  </si>
  <si>
    <t>MS00002</t>
  </si>
  <si>
    <t>Bearing Blocks (Front)</t>
  </si>
  <si>
    <t>MS00003</t>
  </si>
  <si>
    <t>Bearing Blocks (Rear)</t>
  </si>
  <si>
    <t>MS00005</t>
  </si>
  <si>
    <t xml:space="preserve">Bearings SR6 </t>
  </si>
  <si>
    <t>MS00006</t>
  </si>
  <si>
    <t>Bearings, NSK</t>
  </si>
  <si>
    <t>MS00007</t>
  </si>
  <si>
    <t>Cable, Optical Sensor Extension, M12 Type</t>
  </si>
  <si>
    <t>MS00008</t>
  </si>
  <si>
    <t xml:space="preserve">Cam Die Throw Off </t>
  </si>
  <si>
    <t>MS00009</t>
  </si>
  <si>
    <t>Circuit Breaker Three Phase</t>
  </si>
  <si>
    <t>MS00010</t>
  </si>
  <si>
    <t>Circuit Breaker Single Phase</t>
  </si>
  <si>
    <t>MS00011</t>
  </si>
  <si>
    <t>Circular Blades</t>
  </si>
  <si>
    <t>MS00012</t>
  </si>
  <si>
    <t>Clips, Metallic</t>
  </si>
  <si>
    <t>MS00013</t>
  </si>
  <si>
    <t xml:space="preserve">Die Cut Levelling Stand </t>
  </si>
  <si>
    <t>MS00014</t>
  </si>
  <si>
    <t xml:space="preserve">Doctor Blade Holder </t>
  </si>
  <si>
    <t>MS00015</t>
  </si>
  <si>
    <t xml:space="preserve">Dumper for P7 Exhaust </t>
  </si>
  <si>
    <t>MS00016</t>
  </si>
  <si>
    <t xml:space="preserve">Exhaust Connectors </t>
  </si>
  <si>
    <t>MS00017</t>
  </si>
  <si>
    <t>Exhaust Pipe Holders</t>
  </si>
  <si>
    <t>MS00022</t>
  </si>
  <si>
    <t>LAN Cable</t>
  </si>
  <si>
    <t>MS00023</t>
  </si>
  <si>
    <t>Levelling Pad</t>
  </si>
  <si>
    <t>MS00024</t>
  </si>
  <si>
    <t>Magnetic Clip</t>
  </si>
  <si>
    <t>MS00026</t>
  </si>
  <si>
    <t xml:space="preserve">Micro Switches </t>
  </si>
  <si>
    <t>MS00027</t>
  </si>
  <si>
    <t>Mount, Levelling Vibration Isolation, Zinc</t>
  </si>
  <si>
    <t>MS00028</t>
  </si>
  <si>
    <t>Paper Separator Ring</t>
  </si>
  <si>
    <t>MS00029</t>
  </si>
  <si>
    <t>Pipe Fasteners, White</t>
  </si>
  <si>
    <t>MS00030</t>
  </si>
  <si>
    <t>Plastic Die Washer L-193  1.51 D</t>
  </si>
  <si>
    <t>MS00031</t>
  </si>
  <si>
    <t>Power Cable,KTL SHO1015-11004</t>
  </si>
  <si>
    <t>MS00032</t>
  </si>
  <si>
    <t>Pressure Regulator, 7 to 60 psi</t>
  </si>
  <si>
    <t>MS00035</t>
  </si>
  <si>
    <t>Pressure Valve, Metalic, Brass</t>
  </si>
  <si>
    <t>MS00036</t>
  </si>
  <si>
    <t>Proximity Sensor</t>
  </si>
  <si>
    <t>MS00037</t>
  </si>
  <si>
    <t>Roller Stopper, Plastic</t>
  </si>
  <si>
    <t>MS00038</t>
  </si>
  <si>
    <t>Rubber O-Ring</t>
  </si>
  <si>
    <t>MS00039</t>
  </si>
  <si>
    <t>Scoring Blades</t>
  </si>
  <si>
    <t>MS00040</t>
  </si>
  <si>
    <t>Screw with Washer</t>
  </si>
  <si>
    <t>MS00041</t>
  </si>
  <si>
    <t>Sensor Connectors</t>
  </si>
  <si>
    <t>MS00042</t>
  </si>
  <si>
    <t>Sick Sensor</t>
  </si>
  <si>
    <t>MS00044</t>
  </si>
  <si>
    <t xml:space="preserve">Surge Protector </t>
  </si>
  <si>
    <t>MS00045</t>
  </si>
  <si>
    <t>Timing Belt</t>
  </si>
  <si>
    <t>MS00046</t>
  </si>
  <si>
    <t xml:space="preserve">Tint Kit Air Assist </t>
  </si>
  <si>
    <t>MS00047</t>
  </si>
  <si>
    <t>Tubing, UV Resistant 4mm</t>
  </si>
  <si>
    <t>MS00048</t>
  </si>
  <si>
    <t>Tubing, UV Resistant 6mm</t>
  </si>
  <si>
    <t>MS00049</t>
  </si>
  <si>
    <t>Tubing, UV Resistant 8mm</t>
  </si>
  <si>
    <t>MS00050</t>
  </si>
  <si>
    <t>Ultimate Protection Fuse ,P201295</t>
  </si>
  <si>
    <t>MS00051</t>
  </si>
  <si>
    <t>UV Lamp</t>
  </si>
  <si>
    <t>MS00052</t>
  </si>
  <si>
    <t>V-Belt</t>
  </si>
  <si>
    <t>MS00053</t>
  </si>
  <si>
    <t>Washer, Grey, Fiber 1.5 X 32</t>
  </si>
  <si>
    <t>MS00054</t>
  </si>
  <si>
    <t>Washer, Grey, Fiber 1.5 X 64</t>
  </si>
  <si>
    <t>MS00056</t>
  </si>
  <si>
    <t>Wiper, Ink Gear Side</t>
  </si>
  <si>
    <t>MS00057</t>
  </si>
  <si>
    <t>Wiper, Ink Operator Side</t>
  </si>
  <si>
    <t>MS00059</t>
  </si>
  <si>
    <t>Sensor Front Side Mounting 316049</t>
  </si>
  <si>
    <t>MS00060</t>
  </si>
  <si>
    <t>Unwide Shaft Lock Nut</t>
  </si>
  <si>
    <t>MS00063</t>
  </si>
  <si>
    <t>Bearing and Drive Disc Anilox Roll</t>
  </si>
  <si>
    <t>MS00073</t>
  </si>
  <si>
    <t>ASM,ENDCR W/SW 16 Pulses /Rev</t>
  </si>
  <si>
    <t>MS00074</t>
  </si>
  <si>
    <t xml:space="preserve">Sleeve, Proximity Sensor, Front Side Mounting </t>
  </si>
  <si>
    <t>MS00075</t>
  </si>
  <si>
    <t>Sleeve, Proximity Sensor, Gear Side Mounting</t>
  </si>
  <si>
    <t>RM-PC</t>
  </si>
  <si>
    <t>PC00001</t>
  </si>
  <si>
    <t>Cleaning Rags, Cotton</t>
  </si>
  <si>
    <t>PC00002</t>
  </si>
  <si>
    <t>Dyne Test Pens No. 42</t>
  </si>
  <si>
    <t>PC00003</t>
  </si>
  <si>
    <t>Dyne Test Pens, No. 36</t>
  </si>
  <si>
    <t>PC00004</t>
  </si>
  <si>
    <t>Dyne Test Pens, No. 38</t>
  </si>
  <si>
    <t>PC00005</t>
  </si>
  <si>
    <t>Dyne Test Pens, No. 40</t>
  </si>
  <si>
    <t>PC00010</t>
  </si>
  <si>
    <t xml:space="preserve">Magnifier 6X with LED Light </t>
  </si>
  <si>
    <t>PC00011</t>
  </si>
  <si>
    <t xml:space="preserve">Pantone Book, Coated &amp; Uncoated </t>
  </si>
  <si>
    <t>PC00012</t>
  </si>
  <si>
    <t>Ruler, Steel</t>
  </si>
  <si>
    <t>PC00013</t>
  </si>
  <si>
    <t>Steposol Cetrimet</t>
  </si>
  <si>
    <t>PC00015</t>
  </si>
  <si>
    <t xml:space="preserve">Sealing Tapes </t>
  </si>
  <si>
    <t>PC00016</t>
  </si>
  <si>
    <t>I.P.A.</t>
  </si>
  <si>
    <t>LTR</t>
  </si>
  <si>
    <t>PC00017</t>
  </si>
  <si>
    <t>TESA 4104 TRANSPARENT</t>
  </si>
  <si>
    <t>RM-PM</t>
  </si>
  <si>
    <t>PM00001</t>
  </si>
  <si>
    <t>Carton, Foil Lids, 73.07mm</t>
  </si>
  <si>
    <t>PM00002</t>
  </si>
  <si>
    <t>Carton, Foil Lids, 95.5mm</t>
  </si>
  <si>
    <t>PM00003</t>
  </si>
  <si>
    <t>Carton, General Purpose,</t>
  </si>
  <si>
    <t>PM00004</t>
  </si>
  <si>
    <t>Paper Core 76mm x 10 mm x 1000 mm</t>
  </si>
  <si>
    <t>PM00005</t>
  </si>
  <si>
    <t>Paper Core, 152mm x 12mm x 35mm</t>
  </si>
  <si>
    <t>PM00006</t>
  </si>
  <si>
    <t>Paper Core, 152mm x 12mm x 45mm</t>
  </si>
  <si>
    <t>PM00007</t>
  </si>
  <si>
    <t>Paper Core, 152mm x 12mm x 54mm</t>
  </si>
  <si>
    <t>PM00008</t>
  </si>
  <si>
    <t>Paper Core, 152mm x 12mm x 64mm</t>
  </si>
  <si>
    <t>PM00009</t>
  </si>
  <si>
    <t>Stretch Film</t>
  </si>
  <si>
    <t>RM-SUB</t>
  </si>
  <si>
    <t>RM00001</t>
  </si>
  <si>
    <t>Lidding Aluminium Foil -30 Micron</t>
  </si>
  <si>
    <t>RM00002</t>
  </si>
  <si>
    <t>Butter Foil</t>
  </si>
  <si>
    <t>RM00003</t>
  </si>
  <si>
    <t>Polypropylene White 250-260 mm</t>
  </si>
  <si>
    <t>SQM</t>
  </si>
  <si>
    <t>RM00004</t>
  </si>
  <si>
    <t>Polypropylene White 296 mm</t>
  </si>
  <si>
    <t>RM00005</t>
  </si>
  <si>
    <t>Polypropylene White 307 mm</t>
  </si>
  <si>
    <t>RM00006</t>
  </si>
  <si>
    <t>Polypropylene White 323 mm</t>
  </si>
  <si>
    <t>RM00007</t>
  </si>
  <si>
    <t>Semi Gloss - White 205 mm</t>
  </si>
  <si>
    <t>RM00008</t>
  </si>
  <si>
    <t>Semi Gloss - White 250 mm</t>
  </si>
  <si>
    <t>RM00009</t>
  </si>
  <si>
    <t>Semi Gloss - White 263 mm</t>
  </si>
  <si>
    <t>RM00010</t>
  </si>
  <si>
    <t>Semi Gloss - White 290 mm</t>
  </si>
  <si>
    <t>RM00013</t>
  </si>
  <si>
    <t>Semi Gloss - White 330 mm</t>
  </si>
  <si>
    <t>RM000139</t>
  </si>
  <si>
    <t>Polypropylene White 230- 240mm</t>
  </si>
  <si>
    <t>RM00014</t>
  </si>
  <si>
    <t xml:space="preserve">Biaxially Oriented PolyPropylene </t>
  </si>
  <si>
    <t>RM00015</t>
  </si>
  <si>
    <t>PolyEthylene 85</t>
  </si>
  <si>
    <t>RM00016</t>
  </si>
  <si>
    <t xml:space="preserve">Crimping Paper </t>
  </si>
  <si>
    <t>RM00017</t>
  </si>
  <si>
    <t>Semi Gloss - Silver</t>
  </si>
  <si>
    <t>RM00125</t>
  </si>
  <si>
    <t xml:space="preserve">Metalized PET </t>
  </si>
  <si>
    <t>RM00126</t>
  </si>
  <si>
    <t>PPW UNEECO</t>
  </si>
  <si>
    <t>RM00127</t>
  </si>
  <si>
    <t>Semigloss- White 215mm</t>
  </si>
  <si>
    <t>RM00131</t>
  </si>
  <si>
    <t>Semigloss-White 180mm</t>
  </si>
  <si>
    <t>RM00134</t>
  </si>
  <si>
    <t>Semigloss-White 210</t>
  </si>
  <si>
    <t>RM00136</t>
  </si>
  <si>
    <t>Polypropylene White 280 -290mm</t>
  </si>
  <si>
    <t>RM00137</t>
  </si>
  <si>
    <t>Semigloss White 280</t>
  </si>
  <si>
    <t>RM00138</t>
  </si>
  <si>
    <t>Semigloss White 240</t>
  </si>
  <si>
    <t>Semigloss White offcuts</t>
  </si>
  <si>
    <t>RM00142</t>
  </si>
  <si>
    <t>Polyproplyene White Offcuts</t>
  </si>
  <si>
    <t>RM00146</t>
  </si>
  <si>
    <t>Greaseproof Paper Kit</t>
  </si>
  <si>
    <t>RM00152</t>
  </si>
  <si>
    <t xml:space="preserve">Lidding Aluminium Foil - 35 Micron </t>
  </si>
  <si>
    <t>RM00157</t>
  </si>
  <si>
    <t xml:space="preserve">Lidding Foil 33 micron </t>
  </si>
  <si>
    <t>RM00178</t>
  </si>
  <si>
    <t>Polypropylne White 190-195 mm</t>
  </si>
  <si>
    <t>RM-SUB PRINTED</t>
  </si>
  <si>
    <t>PRN0001</t>
  </si>
  <si>
    <t>Printed Delamere 95.50</t>
  </si>
  <si>
    <t>PRN0002</t>
  </si>
  <si>
    <t>Printed Ilara 95.50mm</t>
  </si>
  <si>
    <t>PRN0003</t>
  </si>
  <si>
    <t>Printed Tuzo 95.50mm</t>
  </si>
  <si>
    <t>PRN0004</t>
  </si>
  <si>
    <t>Printed Fruity UG 73.07mm</t>
  </si>
  <si>
    <t>PRN0005</t>
  </si>
  <si>
    <t>Printed Natural 95.50mm</t>
  </si>
  <si>
    <t>PRN0006</t>
  </si>
  <si>
    <t>Printed Probiotic Vanilla 95.50mm Reels</t>
  </si>
  <si>
    <t>PRN0007</t>
  </si>
  <si>
    <t>Printed Probiotic Strawberry 95.50mm Reels</t>
  </si>
  <si>
    <t>PRN0008</t>
  </si>
  <si>
    <t>Printed Probiotic Natural 95.50mm</t>
  </si>
  <si>
    <t>PRN0009</t>
  </si>
  <si>
    <t>Printed Fruity Yoghurt UG 95.50mm</t>
  </si>
  <si>
    <t>PRN0010</t>
  </si>
  <si>
    <t>Printed Fresh Dairy 73.07mm Reels</t>
  </si>
  <si>
    <t>PRN0011</t>
  </si>
  <si>
    <t>Printed Fresh Dairy 95.50mm Reels</t>
  </si>
  <si>
    <t>PRN0012</t>
  </si>
  <si>
    <t>Printed Delamere 73.07mm Reels</t>
  </si>
  <si>
    <t>PRN0013</t>
  </si>
  <si>
    <t>Printed Ilara 73.07mm Reels</t>
  </si>
  <si>
    <t>PRN0014</t>
  </si>
  <si>
    <t xml:space="preserve">Printed Tuzo 73.07mm Reels </t>
  </si>
  <si>
    <t>PRN0015</t>
  </si>
  <si>
    <t>Printed Mega Yoghurt 95.50mm Reels</t>
  </si>
  <si>
    <t>PRN0016</t>
  </si>
  <si>
    <t>Printed Mega Yoghurt 73.07mm Reels</t>
  </si>
  <si>
    <t>PRN0017</t>
  </si>
  <si>
    <t>Printed Dalani Yoghurt 73.07mm Reels</t>
  </si>
  <si>
    <t>PRN0018</t>
  </si>
  <si>
    <t>Printed Daima Yoghurt 95.50mm Reels</t>
  </si>
  <si>
    <t>PRN0019</t>
  </si>
  <si>
    <t>Printed Mukurweini Royal Fresh 73.07mm</t>
  </si>
  <si>
    <t>PRN0020</t>
  </si>
  <si>
    <t>Printed Just Milk 95.50mm</t>
  </si>
  <si>
    <t>PRN0021</t>
  </si>
  <si>
    <t>Printed Just Milk 73.07mm</t>
  </si>
  <si>
    <t>PRN0022</t>
  </si>
  <si>
    <t>Printed Plain 73.07mm</t>
  </si>
  <si>
    <t>SAMPLE</t>
  </si>
  <si>
    <t>FG00269</t>
  </si>
  <si>
    <t>Sample Butter Foil Wrapper</t>
  </si>
  <si>
    <t>FG00335</t>
  </si>
  <si>
    <t>Sample Foil 73.07mm</t>
  </si>
  <si>
    <t>FG00338</t>
  </si>
  <si>
    <t>Sample PSL</t>
  </si>
  <si>
    <t>FG00373</t>
  </si>
  <si>
    <t>Sample Foil 95.50mm</t>
  </si>
  <si>
    <t>RM00160</t>
  </si>
  <si>
    <t>Butter Foil 65 gsm</t>
  </si>
  <si>
    <t>Total</t>
  </si>
  <si>
    <t>G/L Account No.</t>
  </si>
  <si>
    <t>Amount (LCY)</t>
  </si>
  <si>
    <t>Bal. Account Type</t>
  </si>
  <si>
    <t>VAT Date</t>
  </si>
  <si>
    <t>PR-OR001994</t>
  </si>
  <si>
    <t>Direct Cost FG00190 on 12/04/25</t>
  </si>
  <si>
    <t>G/L Account</t>
  </si>
  <si>
    <t>PR-OR001995</t>
  </si>
  <si>
    <t>Direct Cost PRN0007 on 12/05/25</t>
  </si>
  <si>
    <t>20 - AFL</t>
  </si>
  <si>
    <t>PPINV-002936</t>
  </si>
  <si>
    <t>Direct Cost 20225 on 12/09/25</t>
  </si>
  <si>
    <t>Variance 20225 on 12/09/25</t>
  </si>
  <si>
    <t>PR-OR002000</t>
  </si>
  <si>
    <t>Direct Cost FG00136 on 12/11/25</t>
  </si>
  <si>
    <t>PR-OR002004</t>
  </si>
  <si>
    <t>Direct Cost FG00294 on 12/11/25</t>
  </si>
  <si>
    <t>PR-OR002001</t>
  </si>
  <si>
    <t>Direct Cost FG00296 on 12/11/25</t>
  </si>
  <si>
    <t>PR-OR002002</t>
  </si>
  <si>
    <t>Direct Cost FG00297 on 12/11/25</t>
  </si>
  <si>
    <t>PR-OR001998</t>
  </si>
  <si>
    <t>Direct Cost PRN0003 on 12/11/25</t>
  </si>
  <si>
    <t>PR-OR002007</t>
  </si>
  <si>
    <t>Direct Cost PRN0001 on 15/12/25</t>
  </si>
  <si>
    <t>PR-OR002008</t>
  </si>
  <si>
    <t>Direct Cost PRN0014 on 15/12/25</t>
  </si>
  <si>
    <t>PR-OR002012</t>
  </si>
  <si>
    <t>Direct Cost FG00262 on 16/12/25</t>
  </si>
  <si>
    <t>PR-OR002013</t>
  </si>
  <si>
    <t>Direct Cost FG00377 on 16/12/25</t>
  </si>
  <si>
    <t>PR-OR002015</t>
  </si>
  <si>
    <t>Direct Cost FG00378 on 16/12/25</t>
  </si>
  <si>
    <t>PR-OR002016</t>
  </si>
  <si>
    <t>Direct Cost FG00379 on 16/12/25</t>
  </si>
  <si>
    <t>PR-OR002017</t>
  </si>
  <si>
    <t>Direct Cost FG00380 on 16/12/25</t>
  </si>
  <si>
    <t>PR-OR002010</t>
  </si>
  <si>
    <t>Direct Cost PRN0002 on 16/12/25</t>
  </si>
  <si>
    <t>PR-OR002018</t>
  </si>
  <si>
    <t>Direct Cost PRN0017 on 16/12/25</t>
  </si>
  <si>
    <t>PR-OR002021</t>
  </si>
  <si>
    <t>Direct Cost FG00064 on 18/12/25</t>
  </si>
  <si>
    <t>PR-OR002020</t>
  </si>
  <si>
    <t>Direct Cost FG00067 on 18/12/25</t>
  </si>
  <si>
    <t>PPINV-002954</t>
  </si>
  <si>
    <t>Direct Cost 20142 on 19/12/25</t>
  </si>
  <si>
    <t>PR-OR002031</t>
  </si>
  <si>
    <t>Direct Cost PRN0008 on 19/12/25</t>
  </si>
  <si>
    <t>Rounding 20142 on 19/12/25</t>
  </si>
  <si>
    <t>Variance 20142 on 19/12/25</t>
  </si>
  <si>
    <t>PPCM-000419</t>
  </si>
  <si>
    <t>Direct Cost 20142 on 21/12/25</t>
  </si>
  <si>
    <t>PPINV-002977</t>
  </si>
  <si>
    <t>PPINV-002997</t>
  </si>
  <si>
    <t>Direct Cost 20274 on 21/12/25</t>
  </si>
  <si>
    <t>Variance 20142 on 21/12/25</t>
  </si>
  <si>
    <t>Variance 20274 on 21/12/25</t>
  </si>
  <si>
    <t>PR-OR002038</t>
  </si>
  <si>
    <t>Direct Cost PRN0011 on 22/12/25</t>
  </si>
  <si>
    <t>PPINV-003006</t>
  </si>
  <si>
    <t>Direct Cost 20247 on 23/12/25</t>
  </si>
  <si>
    <t>PR-OR002024</t>
  </si>
  <si>
    <t>Direct Cost PRN0010 on 23/12/25</t>
  </si>
  <si>
    <t>REVAL01</t>
  </si>
  <si>
    <t>Revaluation 20142 on 23/12/25</t>
  </si>
  <si>
    <t>Variance 20247 on 23/12/25</t>
  </si>
  <si>
    <t>PR-OR002044</t>
  </si>
  <si>
    <t>Direct Cost PRN0001 on 24/12/25</t>
  </si>
  <si>
    <t>PR-OR002041</t>
  </si>
  <si>
    <t>Direct Cost PRN0004 on 24/12/25</t>
  </si>
  <si>
    <t>PR-OR002046</t>
  </si>
  <si>
    <t>Direct Cost PRN0005 on 24/12/25</t>
  </si>
  <si>
    <t>PR-OR002034</t>
  </si>
  <si>
    <t>Direct Cost PRN0006 on 24/12/25</t>
  </si>
  <si>
    <t>PR-OR002028</t>
  </si>
  <si>
    <t>Direct Cost PRN0011 on 24/12/25</t>
  </si>
  <si>
    <t>PR-OR002050</t>
  </si>
  <si>
    <t>Direct Cost FG00053 on 29/12/25</t>
  </si>
  <si>
    <t>PR-OR002005</t>
  </si>
  <si>
    <t>Direct Cost FG00257 on 29/12/25</t>
  </si>
  <si>
    <t>PR-OR002049</t>
  </si>
  <si>
    <t>Direct Cost PRN0011 on 29/12/25</t>
  </si>
  <si>
    <t>PP OFFCUT</t>
  </si>
  <si>
    <t>Direct Cost  on 30/12/25</t>
  </si>
  <si>
    <t>PR-OR002067</t>
  </si>
  <si>
    <t>Direct Cost FG00013 on 30/12/25</t>
  </si>
  <si>
    <t>PR-OR002058</t>
  </si>
  <si>
    <t>Direct Cost FG00053 on 30/12/25</t>
  </si>
  <si>
    <t>PR-OR002059</t>
  </si>
  <si>
    <t>Direct Cost FG00059 on 30/12/25</t>
  </si>
  <si>
    <t>PR-OR002060</t>
  </si>
  <si>
    <t>Direct Cost FG00255 on 30/12/25</t>
  </si>
  <si>
    <t>PR-OR002057</t>
  </si>
  <si>
    <t>Direct Cost FG00338 on 30/12/25</t>
  </si>
  <si>
    <t>PR-OR002056</t>
  </si>
  <si>
    <t>Direct Cost FG00373 on 30/12/25</t>
  </si>
  <si>
    <t>PR-OR002053</t>
  </si>
  <si>
    <t>Direct Cost PRN0002 on 30/12/25</t>
  </si>
  <si>
    <t>PR-OR002064</t>
  </si>
  <si>
    <t>Direct Cost PRN0015 on 30/12/25</t>
  </si>
  <si>
    <t>PR-OR002066</t>
  </si>
  <si>
    <t>Direct Cost PRN0016 on 30/12/25</t>
  </si>
  <si>
    <t>PR-OR002061</t>
  </si>
  <si>
    <t>Direct Cost PRN0020 on 30/12/25</t>
  </si>
  <si>
    <t>PR-OR002063</t>
  </si>
  <si>
    <t>Direct Cost PRN0021 on 30/12/25</t>
  </si>
  <si>
    <t>PR-OR002068</t>
  </si>
  <si>
    <t>Direct Cost PRN0022 on 30/12/25</t>
  </si>
  <si>
    <t>DEC2025-STOCK-TAKE</t>
  </si>
  <si>
    <t>Direct Cost  on 31/12/25</t>
  </si>
  <si>
    <t>NOV STOCK-TAKE</t>
  </si>
  <si>
    <t>Direct Cost  on 11/30/25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</si>
</sst>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409]#,##0.00"/>
    <numFmt numFmtId="179" formatCode="[$-10409]#,##0.#####"/>
    <numFmt numFmtId="180" formatCode="[$-10409]#,##0"/>
    <numFmt numFmtId="181" formatCode="#,##0.0####"/>
    <numFmt numFmtId="182" formatCode="#,##0.#####"/>
    <numFmt numFmtId="183" formatCode="#,##0.00###"/>
    <numFmt numFmtId="184" formatCode="_ * #,##0_ ;_ * \-#,##0_ ;_ * &quot;-&quot;??_ ;_ @_ "/>
  </numFmts>
  <fonts count="32">
    <font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rgb="FF000000"/>
      <name val="Segoe UI Semibold"/>
      <charset val="134"/>
    </font>
    <font>
      <sz val="8"/>
      <color rgb="FF000000"/>
      <name val="Segoe UI"/>
      <charset val="134"/>
    </font>
    <font>
      <sz val="10"/>
      <color rgb="FF000000"/>
      <name val="Arial"/>
      <charset val="134"/>
    </font>
    <font>
      <sz val="8"/>
      <color rgb="FF000000"/>
      <name val="Segoe UI Semibold"/>
      <charset val="134"/>
    </font>
    <font>
      <b/>
      <sz val="8"/>
      <color rgb="FF000000"/>
      <name val="Segoe UI"/>
      <charset val="134"/>
    </font>
    <font>
      <b/>
      <sz val="7"/>
      <color rgb="FF000000"/>
      <name val="Arial"/>
      <charset val="134"/>
    </font>
    <font>
      <sz val="2"/>
      <color rgb="FF000000"/>
      <name val="Segoe UI"/>
      <charset val="134"/>
    </font>
    <font>
      <sz val="7"/>
      <color rgb="FF000000"/>
      <name val="Segoe UI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/>
        <bgColor indexed="64"/>
      </patternFill>
    </fill>
    <fill>
      <patternFill patternType="solid">
        <fgColor rgb="FFEBEBEB"/>
        <bgColor rgb="FFEBEBEB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0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3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59">
    <xf numFmtId="0" fontId="0" fillId="0" borderId="0" xfId="0" applyFont="1" applyFill="1" applyBorder="1"/>
    <xf numFmtId="0" fontId="1" fillId="0" borderId="0" xfId="0" applyFont="1" applyFill="1" applyAlignment="1"/>
    <xf numFmtId="49" fontId="2" fillId="2" borderId="0" xfId="0" applyNumberFormat="1" applyFont="1" applyFill="1" applyAlignment="1"/>
    <xf numFmtId="58" fontId="1" fillId="0" borderId="0" xfId="0" applyNumberFormat="1" applyFont="1" applyFill="1" applyAlignment="1"/>
    <xf numFmtId="49" fontId="1" fillId="0" borderId="0" xfId="0" applyNumberFormat="1" applyFont="1" applyFill="1" applyAlignment="1"/>
    <xf numFmtId="4" fontId="1" fillId="0" borderId="0" xfId="0" applyNumberFormat="1" applyFont="1" applyFill="1" applyAlignment="1"/>
    <xf numFmtId="1" fontId="1" fillId="0" borderId="0" xfId="0" applyNumberFormat="1" applyFont="1" applyFill="1" applyAlignment="1"/>
    <xf numFmtId="178" fontId="3" fillId="3" borderId="1" xfId="0" applyNumberFormat="1" applyFont="1" applyFill="1" applyBorder="1" applyAlignment="1"/>
    <xf numFmtId="4" fontId="1" fillId="4" borderId="0" xfId="0" applyNumberFormat="1" applyFont="1" applyFill="1" applyAlignment="1"/>
    <xf numFmtId="178" fontId="3" fillId="3" borderId="0" xfId="0" applyNumberFormat="1" applyFont="1" applyFill="1" applyAlignment="1"/>
    <xf numFmtId="178" fontId="1" fillId="0" borderId="0" xfId="0" applyNumberFormat="1" applyFont="1" applyFill="1" applyAlignment="1"/>
    <xf numFmtId="0" fontId="4" fillId="0" borderId="0" xfId="0" applyNumberFormat="1" applyFont="1" applyFill="1" applyBorder="1" applyAlignment="1">
      <alignment vertical="center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left" vertical="center" wrapText="1" readingOrder="1"/>
    </xf>
    <xf numFmtId="0" fontId="7" fillId="0" borderId="0" xfId="0" applyNumberFormat="1" applyFont="1" applyFill="1" applyBorder="1" applyAlignment="1">
      <alignment vertical="center" wrapText="1" readingOrder="1"/>
    </xf>
    <xf numFmtId="0" fontId="7" fillId="5" borderId="0" xfId="0" applyNumberFormat="1" applyFont="1" applyFill="1" applyBorder="1" applyAlignment="1">
      <alignment horizontal="center" vertical="center" wrapText="1" readingOrder="1"/>
    </xf>
    <xf numFmtId="0" fontId="7" fillId="0" borderId="0" xfId="0" applyNumberFormat="1" applyFont="1" applyFill="1" applyBorder="1" applyAlignment="1">
      <alignment horizontal="right" vertical="center" wrapText="1" readingOrder="1"/>
    </xf>
    <xf numFmtId="0" fontId="8" fillId="0" borderId="2" xfId="0" applyNumberFormat="1" applyFont="1" applyFill="1" applyBorder="1" applyAlignment="1">
      <alignment vertical="center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center" wrapText="1" readingOrder="1"/>
    </xf>
    <xf numFmtId="0" fontId="8" fillId="0" borderId="0" xfId="0" applyNumberFormat="1" applyFont="1" applyFill="1" applyBorder="1" applyAlignment="1">
      <alignment horizontal="left" vertical="center" wrapText="1" readingOrder="1"/>
    </xf>
    <xf numFmtId="0" fontId="5" fillId="0" borderId="0" xfId="0" applyNumberFormat="1" applyFont="1" applyFill="1" applyBorder="1" applyAlignment="1">
      <alignment horizontal="right" vertical="center" wrapText="1" readingOrder="1"/>
    </xf>
    <xf numFmtId="0" fontId="10" fillId="0" borderId="0" xfId="0" applyNumberFormat="1" applyFont="1" applyFill="1" applyBorder="1" applyAlignment="1">
      <alignment horizontal="left" vertical="center" wrapText="1" readingOrder="1"/>
    </xf>
    <xf numFmtId="0" fontId="5" fillId="5" borderId="0" xfId="0" applyNumberFormat="1" applyFont="1" applyFill="1" applyBorder="1" applyAlignment="1">
      <alignment horizontal="left" vertical="center" wrapText="1" readingOrder="1"/>
    </xf>
    <xf numFmtId="0" fontId="5" fillId="5" borderId="0" xfId="0" applyNumberFormat="1" applyFont="1" applyFill="1" applyBorder="1" applyAlignment="1">
      <alignment vertical="center" wrapText="1" readingOrder="1"/>
    </xf>
    <xf numFmtId="179" fontId="5" fillId="5" borderId="0" xfId="0" applyNumberFormat="1" applyFont="1" applyFill="1" applyBorder="1" applyAlignment="1">
      <alignment horizontal="right" vertical="center" wrapText="1" readingOrder="1"/>
    </xf>
    <xf numFmtId="178" fontId="5" fillId="5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horizontal="left" vertical="center" wrapText="1" readingOrder="1"/>
    </xf>
    <xf numFmtId="0" fontId="5" fillId="5" borderId="0" xfId="0" applyNumberFormat="1" applyFont="1" applyFill="1" applyBorder="1" applyAlignment="1">
      <alignment horizontal="right" vertical="center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  <xf numFmtId="0" fontId="11" fillId="0" borderId="0" xfId="0" applyNumberFormat="1" applyFont="1" applyFill="1" applyBorder="1" applyAlignment="1">
      <alignment horizontal="right" vertical="center" wrapText="1" readingOrder="1"/>
    </xf>
    <xf numFmtId="0" fontId="10" fillId="0" borderId="2" xfId="0" applyNumberFormat="1" applyFont="1" applyFill="1" applyBorder="1" applyAlignment="1">
      <alignment vertical="center" wrapText="1" readingOrder="1"/>
    </xf>
    <xf numFmtId="0" fontId="10" fillId="0" borderId="0" xfId="0" applyNumberFormat="1" applyFont="1" applyFill="1" applyBorder="1" applyAlignment="1">
      <alignment vertical="center" wrapText="1" readingOrder="1"/>
    </xf>
    <xf numFmtId="178" fontId="8" fillId="0" borderId="0" xfId="0" applyNumberFormat="1" applyFont="1" applyFill="1" applyBorder="1" applyAlignment="1">
      <alignment horizontal="right" vertical="center" wrapText="1" readingOrder="1"/>
    </xf>
    <xf numFmtId="0" fontId="8" fillId="0" borderId="0" xfId="0" applyNumberFormat="1" applyFont="1" applyFill="1" applyBorder="1" applyAlignment="1">
      <alignment vertical="center" wrapText="1" readingOrder="1"/>
    </xf>
    <xf numFmtId="180" fontId="8" fillId="0" borderId="0" xfId="0" applyNumberFormat="1" applyFont="1" applyFill="1" applyBorder="1" applyAlignment="1">
      <alignment horizontal="right" vertical="center" wrapText="1" readingOrder="1"/>
    </xf>
    <xf numFmtId="178" fontId="0" fillId="0" borderId="0" xfId="0" applyNumberFormat="1" applyFont="1" applyFill="1" applyBorder="1"/>
    <xf numFmtId="0" fontId="1" fillId="6" borderId="0" xfId="0" applyFont="1" applyFill="1" applyAlignment="1"/>
    <xf numFmtId="181" fontId="1" fillId="0" borderId="0" xfId="0" applyNumberFormat="1" applyFont="1" applyFill="1" applyAlignment="1"/>
    <xf numFmtId="182" fontId="1" fillId="0" borderId="0" xfId="0" applyNumberFormat="1" applyFont="1" applyFill="1" applyAlignment="1"/>
    <xf numFmtId="4" fontId="1" fillId="7" borderId="0" xfId="0" applyNumberFormat="1" applyFont="1" applyFill="1" applyAlignment="1"/>
    <xf numFmtId="0" fontId="1" fillId="8" borderId="0" xfId="0" applyFont="1" applyFill="1" applyAlignment="1"/>
    <xf numFmtId="183" fontId="1" fillId="0" borderId="0" xfId="0" applyNumberFormat="1" applyFont="1" applyFill="1" applyAlignment="1"/>
    <xf numFmtId="0" fontId="0" fillId="0" borderId="0" xfId="0" applyFont="1" applyFill="1" applyAlignment="1"/>
    <xf numFmtId="176" fontId="0" fillId="0" borderId="0" xfId="1" applyFont="1" applyFill="1" applyAlignment="1"/>
    <xf numFmtId="184" fontId="0" fillId="0" borderId="0" xfId="1" applyNumberFormat="1" applyFont="1" applyFill="1" applyAlignment="1"/>
    <xf numFmtId="49" fontId="12" fillId="2" borderId="0" xfId="0" applyNumberFormat="1" applyFont="1" applyFill="1" applyAlignment="1"/>
    <xf numFmtId="4" fontId="0" fillId="0" borderId="0" xfId="0" applyNumberFormat="1" applyFont="1" applyFill="1" applyAlignment="1"/>
    <xf numFmtId="49" fontId="0" fillId="0" borderId="0" xfId="0" applyNumberFormat="1" applyFont="1" applyFill="1" applyAlignment="1"/>
    <xf numFmtId="184" fontId="0" fillId="0" borderId="0" xfId="0" applyNumberFormat="1" applyFont="1" applyFill="1" applyAlignment="1"/>
    <xf numFmtId="176" fontId="3" fillId="9" borderId="3" xfId="1" applyFont="1" applyFill="1" applyBorder="1" applyAlignment="1"/>
    <xf numFmtId="184" fontId="0" fillId="6" borderId="0" xfId="0" applyNumberFormat="1" applyFont="1" applyFill="1" applyAlignment="1"/>
    <xf numFmtId="176" fontId="3" fillId="0" borderId="3" xfId="1" applyFont="1" applyFill="1" applyBorder="1" applyAlignment="1"/>
    <xf numFmtId="49" fontId="0" fillId="6" borderId="0" xfId="0" applyNumberFormat="1" applyFont="1" applyFill="1" applyAlignment="1"/>
    <xf numFmtId="0" fontId="12" fillId="0" borderId="0" xfId="0" applyFont="1" applyFill="1" applyAlignment="1"/>
    <xf numFmtId="176" fontId="12" fillId="0" borderId="0" xfId="1" applyFont="1" applyFill="1" applyAlignment="1"/>
    <xf numFmtId="184" fontId="1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84" formatCode="_ * #,##0_ ;_ * \-#,##0_ ;_ * &quot;-&quot;??_ ;_ @_ "/>
      <fill>
        <patternFill patternType="none"/>
      </fill>
      <border>
        <left/>
        <right/>
        <top/>
        <bottom/>
      </border>
    </dxf>
    <dxf>
      <numFmt numFmtId="184" formatCode="_ * #,##0_ ;_ * \-#,##0_ ;_ * &quot;-&quot;??_ ;_ @_ 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numFmt numFmtId="181" formatCode="#,##0.0####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e1" displayName="Table1" ref="A1:D8" totalsRowShown="0">
  <autoFilter xmlns:etc="http://www.wps.cn/officeDocument/2017/etCustomData" ref="A1:D8" etc:filterBottomFollowUsedRange="0"/>
  <tableColumns count="4">
    <tableColumn id="1" name="No." dataDxfId="0"/>
    <tableColumn id="2" name="Name" dataDxfId="1"/>
    <tableColumn id="5" name="GL" dataDxfId="2"/>
    <tableColumn id="6" name="Valuation Report" dataDxfId="3">
      <calculatedColumnFormula>Report!S456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AF20" totalsRowShown="0">
  <autoFilter xmlns:etc="http://www.wps.cn/officeDocument/2017/etCustomData" ref="A1:AF20" etc:filterBottomFollowUsedRange="0"/>
  <tableColumns count="32">
    <tableColumn id="1" name="Posting Date" dataDxfId="4"/>
    <tableColumn id="2" name="Item Ledger Entry Type" dataDxfId="5"/>
    <tableColumn id="3" name="Entry Type" dataDxfId="6"/>
    <tableColumn id="4" name="Adjustment" dataDxfId="7"/>
    <tableColumn id="5" name="Document Type" dataDxfId="8"/>
    <tableColumn id="6" name="Document No." dataDxfId="9"/>
    <tableColumn id="7" name="Item Charge No." dataDxfId="10"/>
    <tableColumn id="8" name="Description" dataDxfId="11"/>
    <tableColumn id="9" name="Sales Amount (Actual)" dataDxfId="12"/>
    <tableColumn id="10" name="Cost Amount (Expected)" dataDxfId="13"/>
    <tableColumn id="11" name="Cost Amount (Actual)" dataDxfId="14"/>
    <tableColumn id="12" name="Cost Amount (Non-Invtbl.)" dataDxfId="15"/>
    <tableColumn id="13" name="Cost Posted to G/L" dataDxfId="16"/>
    <tableColumn id="32" name="Column1" dataDxfId="17"/>
    <tableColumn id="14" name="Item Ledger Entry Quantity" dataDxfId="18"/>
    <tableColumn id="15" name="Valued Quantity" dataDxfId="19"/>
    <tableColumn id="16" name="Invoiced Quantity" dataDxfId="20"/>
    <tableColumn id="17" name="Cost per Unit" dataDxfId="21"/>
    <tableColumn id="18" name="Cost per Unit (ACY)" dataDxfId="22"/>
    <tableColumn id="19" name="Item No." dataDxfId="23"/>
    <tableColumn id="20" name="Gen. Bus. Posting Group" dataDxfId="24"/>
    <tableColumn id="21" name="Gen. Prod. Posting Group" dataDxfId="25"/>
    <tableColumn id="22" name="Department Code" dataDxfId="26"/>
    <tableColumn id="23" name="Product Line Code" dataDxfId="27"/>
    <tableColumn id="24" name="Source Type" dataDxfId="28"/>
    <tableColumn id="25" name="Source No." dataDxfId="29"/>
    <tableColumn id="26" name="External Document No." dataDxfId="30"/>
    <tableColumn id="27" name="Order Type" dataDxfId="31"/>
    <tableColumn id="28" name="Valued By Average Cost" dataDxfId="32"/>
    <tableColumn id="29" name="Item Ledger Entry No." dataDxfId="33"/>
    <tableColumn id="30" name="Capacity Ledger Entry No." dataDxfId="34"/>
    <tableColumn id="31" name="Entry No.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_34" displayName="Table1_34" ref="A1:L100" totalsRowShown="0">
  <autoFilter xmlns:etc="http://www.wps.cn/officeDocument/2017/etCustomData" ref="A1:L100" etc:filterBottomFollowUsedRange="0"/>
  <sortState ref="A2:L100">
    <sortCondition ref="A1"/>
  </sortState>
  <tableColumns count="12">
    <tableColumn id="1" name="Posting Date" dataDxfId="36"/>
    <tableColumn id="2" name="Document Type" dataDxfId="37"/>
    <tableColumn id="3" name="Document No." dataDxfId="38"/>
    <tableColumn id="4" name="G/L Account No." dataDxfId="39"/>
    <tableColumn id="5" name="Description" dataDxfId="40"/>
    <tableColumn id="6" name="Department Code" dataDxfId="41"/>
    <tableColumn id="7" name="Product Line Code" dataDxfId="42"/>
    <tableColumn id="8" name="Amount (LCY)" dataDxfId="43"/>
    <tableColumn id="9" name="Column1" dataDxfId="44">
      <calculatedColumnFormula>H108</calculatedColumnFormula>
    </tableColumn>
    <tableColumn id="10" name="Bal. Account Type" dataDxfId="45"/>
    <tableColumn id="11" name="VAT Date" dataDxfId="46"/>
    <tableColumn id="12" name="Entry No." dataDxf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businesscentral.dynamics.com/51a4d646-152a-4a66-8cba-0e38561156f2/Production/?company=Unique%20Packaging%20Limited&amp;report=5801&amp;filter=Item.Field1:FG00124" TargetMode="External"/><Relationship Id="rId98" Type="http://schemas.openxmlformats.org/officeDocument/2006/relationships/hyperlink" Target="https://businesscentral.dynamics.com/51a4d646-152a-4a66-8cba-0e38561156f2/Production/?company=Unique%20Packaging%20Limited&amp;report=5801&amp;filter=Item.Field1:FG00123" TargetMode="External"/><Relationship Id="rId97" Type="http://schemas.openxmlformats.org/officeDocument/2006/relationships/hyperlink" Target="https://businesscentral.dynamics.com/51a4d646-152a-4a66-8cba-0e38561156f2/Production/?company=Unique%20Packaging%20Limited&amp;report=5801&amp;filter=Item.Field1:FG00122" TargetMode="External"/><Relationship Id="rId96" Type="http://schemas.openxmlformats.org/officeDocument/2006/relationships/hyperlink" Target="https://businesscentral.dynamics.com/51a4d646-152a-4a66-8cba-0e38561156f2/Production/?company=Unique%20Packaging%20Limited&amp;report=5801&amp;filter=Item.Field1:FG00121" TargetMode="External"/><Relationship Id="rId95" Type="http://schemas.openxmlformats.org/officeDocument/2006/relationships/hyperlink" Target="https://businesscentral.dynamics.com/51a4d646-152a-4a66-8cba-0e38561156f2/Production/?company=Unique%20Packaging%20Limited&amp;report=5801&amp;filter=Item.Field1:FG00119" TargetMode="External"/><Relationship Id="rId94" Type="http://schemas.openxmlformats.org/officeDocument/2006/relationships/hyperlink" Target="https://businesscentral.dynamics.com/51a4d646-152a-4a66-8cba-0e38561156f2/Production/?company=Unique%20Packaging%20Limited&amp;report=5801&amp;filter=Item.Field1:FG00118" TargetMode="External"/><Relationship Id="rId93" Type="http://schemas.openxmlformats.org/officeDocument/2006/relationships/hyperlink" Target="https://businesscentral.dynamics.com/51a4d646-152a-4a66-8cba-0e38561156f2/Production/?company=Unique%20Packaging%20Limited&amp;report=5801&amp;filter=Item.Field1:FG00117" TargetMode="External"/><Relationship Id="rId92" Type="http://schemas.openxmlformats.org/officeDocument/2006/relationships/hyperlink" Target="https://businesscentral.dynamics.com/51a4d646-152a-4a66-8cba-0e38561156f2/Production/?company=Unique%20Packaging%20Limited&amp;report=5801&amp;filter=Item.Field1:FG00116" TargetMode="External"/><Relationship Id="rId91" Type="http://schemas.openxmlformats.org/officeDocument/2006/relationships/hyperlink" Target="https://businesscentral.dynamics.com/51a4d646-152a-4a66-8cba-0e38561156f2/Production/?company=Unique%20Packaging%20Limited&amp;report=5801&amp;filter=Item.Field1:FG00115" TargetMode="External"/><Relationship Id="rId90" Type="http://schemas.openxmlformats.org/officeDocument/2006/relationships/hyperlink" Target="https://businesscentral.dynamics.com/51a4d646-152a-4a66-8cba-0e38561156f2/Production/?company=Unique%20Packaging%20Limited&amp;report=5801&amp;filter=Item.Field1:FG00114" TargetMode="External"/><Relationship Id="rId9" Type="http://schemas.openxmlformats.org/officeDocument/2006/relationships/hyperlink" Target="https://businesscentral.dynamics.com/51a4d646-152a-4a66-8cba-0e38561156f2/Production/?company=Unique%20Packaging%20Limited&amp;report=5801&amp;filter=Item.Field1:FG00009" TargetMode="External"/><Relationship Id="rId89" Type="http://schemas.openxmlformats.org/officeDocument/2006/relationships/hyperlink" Target="https://businesscentral.dynamics.com/51a4d646-152a-4a66-8cba-0e38561156f2/Production/?company=Unique%20Packaging%20Limited&amp;report=5801&amp;filter=Item.Field1:FG00113" TargetMode="External"/><Relationship Id="rId88" Type="http://schemas.openxmlformats.org/officeDocument/2006/relationships/hyperlink" Target="https://businesscentral.dynamics.com/51a4d646-152a-4a66-8cba-0e38561156f2/Production/?company=Unique%20Packaging%20Limited&amp;report=5801&amp;filter=Item.Field1:FG00112" TargetMode="External"/><Relationship Id="rId87" Type="http://schemas.openxmlformats.org/officeDocument/2006/relationships/hyperlink" Target="https://businesscentral.dynamics.com/51a4d646-152a-4a66-8cba-0e38561156f2/Production/?company=Unique%20Packaging%20Limited&amp;report=5801&amp;filter=Item.Field1:FG00111" TargetMode="External"/><Relationship Id="rId86" Type="http://schemas.openxmlformats.org/officeDocument/2006/relationships/hyperlink" Target="https://businesscentral.dynamics.com/51a4d646-152a-4a66-8cba-0e38561156f2/Production/?company=Unique%20Packaging%20Limited&amp;report=5801&amp;filter=Item.Field1:FG00110" TargetMode="External"/><Relationship Id="rId85" Type="http://schemas.openxmlformats.org/officeDocument/2006/relationships/hyperlink" Target="https://businesscentral.dynamics.com/51a4d646-152a-4a66-8cba-0e38561156f2/Production/?company=Unique%20Packaging%20Limited&amp;report=5801&amp;filter=Item.Field1:FG00108" TargetMode="External"/><Relationship Id="rId84" Type="http://schemas.openxmlformats.org/officeDocument/2006/relationships/hyperlink" Target="https://businesscentral.dynamics.com/51a4d646-152a-4a66-8cba-0e38561156f2/Production/?company=Unique%20Packaging%20Limited&amp;report=5801&amp;filter=Item.Field1:FG00107" TargetMode="External"/><Relationship Id="rId83" Type="http://schemas.openxmlformats.org/officeDocument/2006/relationships/hyperlink" Target="https://businesscentral.dynamics.com/51a4d646-152a-4a66-8cba-0e38561156f2/Production/?company=Unique%20Packaging%20Limited&amp;report=5801&amp;filter=Item.Field1:FG00106" TargetMode="External"/><Relationship Id="rId82" Type="http://schemas.openxmlformats.org/officeDocument/2006/relationships/hyperlink" Target="https://businesscentral.dynamics.com/51a4d646-152a-4a66-8cba-0e38561156f2/Production/?company=Unique%20Packaging%20Limited&amp;report=5801&amp;filter=Item.Field1:FG00105" TargetMode="External"/><Relationship Id="rId81" Type="http://schemas.openxmlformats.org/officeDocument/2006/relationships/hyperlink" Target="https://businesscentral.dynamics.com/51a4d646-152a-4a66-8cba-0e38561156f2/Production/?company=Unique%20Packaging%20Limited&amp;report=5801&amp;filter=Item.Field1:FG00104" TargetMode="External"/><Relationship Id="rId80" Type="http://schemas.openxmlformats.org/officeDocument/2006/relationships/hyperlink" Target="https://businesscentral.dynamics.com/51a4d646-152a-4a66-8cba-0e38561156f2/Production/?company=Unique%20Packaging%20Limited&amp;report=5801&amp;filter=Item.Field1:FG00103" TargetMode="External"/><Relationship Id="rId8" Type="http://schemas.openxmlformats.org/officeDocument/2006/relationships/hyperlink" Target="https://businesscentral.dynamics.com/51a4d646-152a-4a66-8cba-0e38561156f2/Production/?company=Unique%20Packaging%20Limited&amp;report=5801&amp;filter=Item.Field1:FG00008" TargetMode="External"/><Relationship Id="rId79" Type="http://schemas.openxmlformats.org/officeDocument/2006/relationships/hyperlink" Target="https://businesscentral.dynamics.com/51a4d646-152a-4a66-8cba-0e38561156f2/Production/?company=Unique%20Packaging%20Limited&amp;report=5801&amp;filter=Item.Field1:FG00102" TargetMode="External"/><Relationship Id="rId78" Type="http://schemas.openxmlformats.org/officeDocument/2006/relationships/hyperlink" Target="https://businesscentral.dynamics.com/51a4d646-152a-4a66-8cba-0e38561156f2/Production/?company=Unique%20Packaging%20Limited&amp;report=5801&amp;filter=Item.Field1:FG00101" TargetMode="External"/><Relationship Id="rId77" Type="http://schemas.openxmlformats.org/officeDocument/2006/relationships/hyperlink" Target="https://businesscentral.dynamics.com/51a4d646-152a-4a66-8cba-0e38561156f2/Production/?company=Unique%20Packaging%20Limited&amp;report=5801&amp;filter=Item.Field1:FG00100" TargetMode="External"/><Relationship Id="rId76" Type="http://schemas.openxmlformats.org/officeDocument/2006/relationships/hyperlink" Target="https://businesscentral.dynamics.com/51a4d646-152a-4a66-8cba-0e38561156f2/Production/?company=Unique%20Packaging%20Limited&amp;report=5801&amp;filter=Item.Field1:FG00099" TargetMode="External"/><Relationship Id="rId75" Type="http://schemas.openxmlformats.org/officeDocument/2006/relationships/hyperlink" Target="https://businesscentral.dynamics.com/51a4d646-152a-4a66-8cba-0e38561156f2/Production/?company=Unique%20Packaging%20Limited&amp;report=5801&amp;filter=Item.Field1:FG00098" TargetMode="External"/><Relationship Id="rId74" Type="http://schemas.openxmlformats.org/officeDocument/2006/relationships/hyperlink" Target="https://businesscentral.dynamics.com/51a4d646-152a-4a66-8cba-0e38561156f2/Production/?company=Unique%20Packaging%20Limited&amp;report=5801&amp;filter=Item.Field1:FG00097" TargetMode="External"/><Relationship Id="rId73" Type="http://schemas.openxmlformats.org/officeDocument/2006/relationships/hyperlink" Target="https://businesscentral.dynamics.com/51a4d646-152a-4a66-8cba-0e38561156f2/Production/?company=Unique%20Packaging%20Limited&amp;report=5801&amp;filter=Item.Field1:FG00093" TargetMode="External"/><Relationship Id="rId72" Type="http://schemas.openxmlformats.org/officeDocument/2006/relationships/hyperlink" Target="https://businesscentral.dynamics.com/51a4d646-152a-4a66-8cba-0e38561156f2/Production/?company=Unique%20Packaging%20Limited&amp;report=5801&amp;filter=Item.Field1:FG00086" TargetMode="External"/><Relationship Id="rId71" Type="http://schemas.openxmlformats.org/officeDocument/2006/relationships/hyperlink" Target="https://businesscentral.dynamics.com/51a4d646-152a-4a66-8cba-0e38561156f2/Production/?company=Unique%20Packaging%20Limited&amp;report=5801&amp;filter=Item.Field1:FG00085" TargetMode="External"/><Relationship Id="rId70" Type="http://schemas.openxmlformats.org/officeDocument/2006/relationships/hyperlink" Target="https://businesscentral.dynamics.com/51a4d646-152a-4a66-8cba-0e38561156f2/Production/?company=Unique%20Packaging%20Limited&amp;report=5801&amp;filter=Item.Field1:FG00084" TargetMode="External"/><Relationship Id="rId7" Type="http://schemas.openxmlformats.org/officeDocument/2006/relationships/hyperlink" Target="https://businesscentral.dynamics.com/51a4d646-152a-4a66-8cba-0e38561156f2/Production/?company=Unique%20Packaging%20Limited&amp;report=5801&amp;filter=Item.Field1:FG00007" TargetMode="External"/><Relationship Id="rId69" Type="http://schemas.openxmlformats.org/officeDocument/2006/relationships/hyperlink" Target="https://businesscentral.dynamics.com/51a4d646-152a-4a66-8cba-0e38561156f2/Production/?company=Unique%20Packaging%20Limited&amp;report=5801&amp;filter=Item.Field1:FG00080" TargetMode="External"/><Relationship Id="rId68" Type="http://schemas.openxmlformats.org/officeDocument/2006/relationships/hyperlink" Target="https://businesscentral.dynamics.com/51a4d646-152a-4a66-8cba-0e38561156f2/Production/?company=Unique%20Packaging%20Limited&amp;report=5801&amp;filter=Item.Field1:FG00079" TargetMode="External"/><Relationship Id="rId67" Type="http://schemas.openxmlformats.org/officeDocument/2006/relationships/hyperlink" Target="https://businesscentral.dynamics.com/51a4d646-152a-4a66-8cba-0e38561156f2/Production/?company=Unique%20Packaging%20Limited&amp;report=5801&amp;filter=Item.Field1:FG00078" TargetMode="External"/><Relationship Id="rId66" Type="http://schemas.openxmlformats.org/officeDocument/2006/relationships/hyperlink" Target="https://businesscentral.dynamics.com/51a4d646-152a-4a66-8cba-0e38561156f2/Production/?company=Unique%20Packaging%20Limited&amp;report=5801&amp;filter=Item.Field1:FG00077" TargetMode="External"/><Relationship Id="rId65" Type="http://schemas.openxmlformats.org/officeDocument/2006/relationships/hyperlink" Target="https://businesscentral.dynamics.com/51a4d646-152a-4a66-8cba-0e38561156f2/Production/?company=Unique%20Packaging%20Limited&amp;report=5801&amp;filter=Item.Field1:FG00076" TargetMode="External"/><Relationship Id="rId64" Type="http://schemas.openxmlformats.org/officeDocument/2006/relationships/hyperlink" Target="https://businesscentral.dynamics.com/51a4d646-152a-4a66-8cba-0e38561156f2/Production/?company=Unique%20Packaging%20Limited&amp;report=5801&amp;filter=Item.Field1:FG00075" TargetMode="External"/><Relationship Id="rId63" Type="http://schemas.openxmlformats.org/officeDocument/2006/relationships/hyperlink" Target="https://businesscentral.dynamics.com/51a4d646-152a-4a66-8cba-0e38561156f2/Production/?company=Unique%20Packaging%20Limited&amp;report=5801&amp;filter=Item.Field1:FG00074" TargetMode="External"/><Relationship Id="rId62" Type="http://schemas.openxmlformats.org/officeDocument/2006/relationships/hyperlink" Target="https://businesscentral.dynamics.com/51a4d646-152a-4a66-8cba-0e38561156f2/Production/?company=Unique%20Packaging%20Limited&amp;report=5801&amp;filter=Item.Field1:FG00071" TargetMode="External"/><Relationship Id="rId61" Type="http://schemas.openxmlformats.org/officeDocument/2006/relationships/hyperlink" Target="https://businesscentral.dynamics.com/51a4d646-152a-4a66-8cba-0e38561156f2/Production/?company=Unique%20Packaging%20Limited&amp;report=5801&amp;filter=Item.Field1:FG00070" TargetMode="External"/><Relationship Id="rId60" Type="http://schemas.openxmlformats.org/officeDocument/2006/relationships/hyperlink" Target="https://businesscentral.dynamics.com/51a4d646-152a-4a66-8cba-0e38561156f2/Production/?company=Unique%20Packaging%20Limited&amp;report=5801&amp;filter=Item.Field1:FG00069" TargetMode="External"/><Relationship Id="rId6" Type="http://schemas.openxmlformats.org/officeDocument/2006/relationships/hyperlink" Target="https://businesscentral.dynamics.com/51a4d646-152a-4a66-8cba-0e38561156f2/Production/?company=Unique%20Packaging%20Limited&amp;report=5801&amp;filter=Item.Field1:FG00006" TargetMode="External"/><Relationship Id="rId59" Type="http://schemas.openxmlformats.org/officeDocument/2006/relationships/hyperlink" Target="https://businesscentral.dynamics.com/51a4d646-152a-4a66-8cba-0e38561156f2/Production/?company=Unique%20Packaging%20Limited&amp;report=5801&amp;filter=Item.Field1:FG00067" TargetMode="External"/><Relationship Id="rId58" Type="http://schemas.openxmlformats.org/officeDocument/2006/relationships/hyperlink" Target="https://businesscentral.dynamics.com/51a4d646-152a-4a66-8cba-0e38561156f2/Production/?company=Unique%20Packaging%20Limited&amp;report=5801&amp;filter=Item.Field1:FG00066" TargetMode="External"/><Relationship Id="rId57" Type="http://schemas.openxmlformats.org/officeDocument/2006/relationships/hyperlink" Target="https://businesscentral.dynamics.com/51a4d646-152a-4a66-8cba-0e38561156f2/Production/?company=Unique%20Packaging%20Limited&amp;report=5801&amp;filter=Item.Field1:FG00065" TargetMode="External"/><Relationship Id="rId56" Type="http://schemas.openxmlformats.org/officeDocument/2006/relationships/hyperlink" Target="https://businesscentral.dynamics.com/51a4d646-152a-4a66-8cba-0e38561156f2/Production/?company=Unique%20Packaging%20Limited&amp;report=5801&amp;filter=Item.Field1:FG00064" TargetMode="External"/><Relationship Id="rId55" Type="http://schemas.openxmlformats.org/officeDocument/2006/relationships/hyperlink" Target="https://businesscentral.dynamics.com/51a4d646-152a-4a66-8cba-0e38561156f2/Production/?company=Unique%20Packaging%20Limited&amp;report=5801&amp;filter=Item.Field1:FG00063" TargetMode="External"/><Relationship Id="rId54" Type="http://schemas.openxmlformats.org/officeDocument/2006/relationships/hyperlink" Target="https://businesscentral.dynamics.com/51a4d646-152a-4a66-8cba-0e38561156f2/Production/?company=Unique%20Packaging%20Limited&amp;report=5801&amp;filter=Item.Field1:FG00062" TargetMode="External"/><Relationship Id="rId53" Type="http://schemas.openxmlformats.org/officeDocument/2006/relationships/hyperlink" Target="https://businesscentral.dynamics.com/51a4d646-152a-4a66-8cba-0e38561156f2/Production/?company=Unique%20Packaging%20Limited&amp;report=5801&amp;filter=Item.Field1:FG00061" TargetMode="External"/><Relationship Id="rId52" Type="http://schemas.openxmlformats.org/officeDocument/2006/relationships/hyperlink" Target="https://businesscentral.dynamics.com/51a4d646-152a-4a66-8cba-0e38561156f2/Production/?company=Unique%20Packaging%20Limited&amp;report=5801&amp;filter=Item.Field1:FG00060" TargetMode="External"/><Relationship Id="rId51" Type="http://schemas.openxmlformats.org/officeDocument/2006/relationships/hyperlink" Target="https://businesscentral.dynamics.com/51a4d646-152a-4a66-8cba-0e38561156f2/Production/?company=Unique%20Packaging%20Limited&amp;report=5801&amp;filter=Item.Field1:FG00059" TargetMode="External"/><Relationship Id="rId50" Type="http://schemas.openxmlformats.org/officeDocument/2006/relationships/hyperlink" Target="https://businesscentral.dynamics.com/51a4d646-152a-4a66-8cba-0e38561156f2/Production/?company=Unique%20Packaging%20Limited&amp;report=5801&amp;filter=Item.Field1:FG00058" TargetMode="External"/><Relationship Id="rId5" Type="http://schemas.openxmlformats.org/officeDocument/2006/relationships/hyperlink" Target="https://businesscentral.dynamics.com/51a4d646-152a-4a66-8cba-0e38561156f2/Production/?company=Unique%20Packaging%20Limited&amp;report=5801&amp;filter=Item.Field1:FG00005" TargetMode="External"/><Relationship Id="rId49" Type="http://schemas.openxmlformats.org/officeDocument/2006/relationships/hyperlink" Target="https://businesscentral.dynamics.com/51a4d646-152a-4a66-8cba-0e38561156f2/Production/?company=Unique%20Packaging%20Limited&amp;report=5801&amp;filter=Item.Field1:FG00057" TargetMode="External"/><Relationship Id="rId48" Type="http://schemas.openxmlformats.org/officeDocument/2006/relationships/hyperlink" Target="https://businesscentral.dynamics.com/51a4d646-152a-4a66-8cba-0e38561156f2/Production/?company=Unique%20Packaging%20Limited&amp;report=5801&amp;filter=Item.Field1:FG00056" TargetMode="External"/><Relationship Id="rId473" Type="http://schemas.openxmlformats.org/officeDocument/2006/relationships/hyperlink" Target="https://businesscentral.dynamics.com/51a4d646-152a-4a66-8cba-0e38561156f2/Production/?company=Unique%20Packaging%20Limited&amp;report=5801&amp;filter=Item.Field1:RM00160" TargetMode="External"/><Relationship Id="rId472" Type="http://schemas.openxmlformats.org/officeDocument/2006/relationships/hyperlink" Target="https://businesscentral.dynamics.com/51a4d646-152a-4a66-8cba-0e38561156f2/Production/?company=Unique%20Packaging%20Limited&amp;report=5801&amp;filter=Item.Field1:FG00373" TargetMode="External"/><Relationship Id="rId471" Type="http://schemas.openxmlformats.org/officeDocument/2006/relationships/hyperlink" Target="https://businesscentral.dynamics.com/51a4d646-152a-4a66-8cba-0e38561156f2/Production/?company=Unique%20Packaging%20Limited&amp;report=5801&amp;filter=Item.Field1:FG00338" TargetMode="External"/><Relationship Id="rId470" Type="http://schemas.openxmlformats.org/officeDocument/2006/relationships/hyperlink" Target="https://businesscentral.dynamics.com/51a4d646-152a-4a66-8cba-0e38561156f2/Production/?company=Unique%20Packaging%20Limited&amp;report=5801&amp;filter=Item.Field1:FG00335" TargetMode="External"/><Relationship Id="rId47" Type="http://schemas.openxmlformats.org/officeDocument/2006/relationships/hyperlink" Target="https://businesscentral.dynamics.com/51a4d646-152a-4a66-8cba-0e38561156f2/Production/?company=Unique%20Packaging%20Limited&amp;report=5801&amp;filter=Item.Field1:FG00055" TargetMode="External"/><Relationship Id="rId469" Type="http://schemas.openxmlformats.org/officeDocument/2006/relationships/hyperlink" Target="https://businesscentral.dynamics.com/51a4d646-152a-4a66-8cba-0e38561156f2/Production/?company=Unique%20Packaging%20Limited&amp;report=5801&amp;filter=Item.Field1:FG00269" TargetMode="External"/><Relationship Id="rId468" Type="http://schemas.openxmlformats.org/officeDocument/2006/relationships/hyperlink" Target="https://businesscentral.dynamics.com/51a4d646-152a-4a66-8cba-0e38561156f2/Production/?company=Unique%20Packaging%20Limited&amp;report=5801&amp;filter=Item.Field1:PRN0022" TargetMode="External"/><Relationship Id="rId467" Type="http://schemas.openxmlformats.org/officeDocument/2006/relationships/hyperlink" Target="https://businesscentral.dynamics.com/51a4d646-152a-4a66-8cba-0e38561156f2/Production/?company=Unique%20Packaging%20Limited&amp;report=5801&amp;filter=Item.Field1:PRN0021" TargetMode="External"/><Relationship Id="rId466" Type="http://schemas.openxmlformats.org/officeDocument/2006/relationships/hyperlink" Target="https://businesscentral.dynamics.com/51a4d646-152a-4a66-8cba-0e38561156f2/Production/?company=Unique%20Packaging%20Limited&amp;report=5801&amp;filter=Item.Field1:PRN0020" TargetMode="External"/><Relationship Id="rId465" Type="http://schemas.openxmlformats.org/officeDocument/2006/relationships/hyperlink" Target="https://businesscentral.dynamics.com/51a4d646-152a-4a66-8cba-0e38561156f2/Production/?company=Unique%20Packaging%20Limited&amp;report=5801&amp;filter=Item.Field1:PRN0019" TargetMode="External"/><Relationship Id="rId464" Type="http://schemas.openxmlformats.org/officeDocument/2006/relationships/hyperlink" Target="https://businesscentral.dynamics.com/51a4d646-152a-4a66-8cba-0e38561156f2/Production/?company=Unique%20Packaging%20Limited&amp;report=5801&amp;filter=Item.Field1:PRN0018" TargetMode="External"/><Relationship Id="rId463" Type="http://schemas.openxmlformats.org/officeDocument/2006/relationships/hyperlink" Target="https://businesscentral.dynamics.com/51a4d646-152a-4a66-8cba-0e38561156f2/Production/?company=Unique%20Packaging%20Limited&amp;report=5801&amp;filter=Item.Field1:PRN0017" TargetMode="External"/><Relationship Id="rId462" Type="http://schemas.openxmlformats.org/officeDocument/2006/relationships/hyperlink" Target="https://businesscentral.dynamics.com/51a4d646-152a-4a66-8cba-0e38561156f2/Production/?company=Unique%20Packaging%20Limited&amp;report=5801&amp;filter=Item.Field1:PRN0016" TargetMode="External"/><Relationship Id="rId461" Type="http://schemas.openxmlformats.org/officeDocument/2006/relationships/hyperlink" Target="https://businesscentral.dynamics.com/51a4d646-152a-4a66-8cba-0e38561156f2/Production/?company=Unique%20Packaging%20Limited&amp;report=5801&amp;filter=Item.Field1:PRN0015" TargetMode="External"/><Relationship Id="rId460" Type="http://schemas.openxmlformats.org/officeDocument/2006/relationships/hyperlink" Target="https://businesscentral.dynamics.com/51a4d646-152a-4a66-8cba-0e38561156f2/Production/?company=Unique%20Packaging%20Limited&amp;report=5801&amp;filter=Item.Field1:PRN0014" TargetMode="External"/><Relationship Id="rId46" Type="http://schemas.openxmlformats.org/officeDocument/2006/relationships/hyperlink" Target="https://businesscentral.dynamics.com/51a4d646-152a-4a66-8cba-0e38561156f2/Production/?company=Unique%20Packaging%20Limited&amp;report=5801&amp;filter=Item.Field1:FG00054" TargetMode="External"/><Relationship Id="rId459" Type="http://schemas.openxmlformats.org/officeDocument/2006/relationships/hyperlink" Target="https://businesscentral.dynamics.com/51a4d646-152a-4a66-8cba-0e38561156f2/Production/?company=Unique%20Packaging%20Limited&amp;report=5801&amp;filter=Item.Field1:PRN0013" TargetMode="External"/><Relationship Id="rId458" Type="http://schemas.openxmlformats.org/officeDocument/2006/relationships/hyperlink" Target="https://businesscentral.dynamics.com/51a4d646-152a-4a66-8cba-0e38561156f2/Production/?company=Unique%20Packaging%20Limited&amp;report=5801&amp;filter=Item.Field1:PRN0012" TargetMode="External"/><Relationship Id="rId457" Type="http://schemas.openxmlformats.org/officeDocument/2006/relationships/hyperlink" Target="https://businesscentral.dynamics.com/51a4d646-152a-4a66-8cba-0e38561156f2/Production/?company=Unique%20Packaging%20Limited&amp;report=5801&amp;filter=Item.Field1:PRN0011" TargetMode="External"/><Relationship Id="rId456" Type="http://schemas.openxmlformats.org/officeDocument/2006/relationships/hyperlink" Target="https://businesscentral.dynamics.com/51a4d646-152a-4a66-8cba-0e38561156f2/Production/?company=Unique%20Packaging%20Limited&amp;report=5801&amp;filter=Item.Field1:PRN0010" TargetMode="External"/><Relationship Id="rId455" Type="http://schemas.openxmlformats.org/officeDocument/2006/relationships/hyperlink" Target="https://businesscentral.dynamics.com/51a4d646-152a-4a66-8cba-0e38561156f2/Production/?company=Unique%20Packaging%20Limited&amp;report=5801&amp;filter=Item.Field1:PRN0009" TargetMode="External"/><Relationship Id="rId454" Type="http://schemas.openxmlformats.org/officeDocument/2006/relationships/hyperlink" Target="https://businesscentral.dynamics.com/51a4d646-152a-4a66-8cba-0e38561156f2/Production/?company=Unique%20Packaging%20Limited&amp;report=5801&amp;filter=Item.Field1:PRN0008" TargetMode="External"/><Relationship Id="rId453" Type="http://schemas.openxmlformats.org/officeDocument/2006/relationships/hyperlink" Target="https://businesscentral.dynamics.com/51a4d646-152a-4a66-8cba-0e38561156f2/Production/?company=Unique%20Packaging%20Limited&amp;report=5801&amp;filter=Item.Field1:PRN0007" TargetMode="External"/><Relationship Id="rId452" Type="http://schemas.openxmlformats.org/officeDocument/2006/relationships/hyperlink" Target="https://businesscentral.dynamics.com/51a4d646-152a-4a66-8cba-0e38561156f2/Production/?company=Unique%20Packaging%20Limited&amp;report=5801&amp;filter=Item.Field1:PRN0006" TargetMode="External"/><Relationship Id="rId451" Type="http://schemas.openxmlformats.org/officeDocument/2006/relationships/hyperlink" Target="https://businesscentral.dynamics.com/51a4d646-152a-4a66-8cba-0e38561156f2/Production/?company=Unique%20Packaging%20Limited&amp;report=5801&amp;filter=Item.Field1:PRN0005" TargetMode="External"/><Relationship Id="rId450" Type="http://schemas.openxmlformats.org/officeDocument/2006/relationships/hyperlink" Target="https://businesscentral.dynamics.com/51a4d646-152a-4a66-8cba-0e38561156f2/Production/?company=Unique%20Packaging%20Limited&amp;report=5801&amp;filter=Item.Field1:PRN0004" TargetMode="External"/><Relationship Id="rId45" Type="http://schemas.openxmlformats.org/officeDocument/2006/relationships/hyperlink" Target="https://businesscentral.dynamics.com/51a4d646-152a-4a66-8cba-0e38561156f2/Production/?company=Unique%20Packaging%20Limited&amp;report=5801&amp;filter=Item.Field1:FG00053" TargetMode="External"/><Relationship Id="rId449" Type="http://schemas.openxmlformats.org/officeDocument/2006/relationships/hyperlink" Target="https://businesscentral.dynamics.com/51a4d646-152a-4a66-8cba-0e38561156f2/Production/?company=Unique%20Packaging%20Limited&amp;report=5801&amp;filter=Item.Field1:PRN0003" TargetMode="External"/><Relationship Id="rId448" Type="http://schemas.openxmlformats.org/officeDocument/2006/relationships/hyperlink" Target="https://businesscentral.dynamics.com/51a4d646-152a-4a66-8cba-0e38561156f2/Production/?company=Unique%20Packaging%20Limited&amp;report=5801&amp;filter=Item.Field1:PRN0002" TargetMode="External"/><Relationship Id="rId447" Type="http://schemas.openxmlformats.org/officeDocument/2006/relationships/hyperlink" Target="https://businesscentral.dynamics.com/51a4d646-152a-4a66-8cba-0e38561156f2/Production/?company=Unique%20Packaging%20Limited&amp;report=5801&amp;filter=Item.Field1:PRN0001" TargetMode="External"/><Relationship Id="rId446" Type="http://schemas.openxmlformats.org/officeDocument/2006/relationships/hyperlink" Target="https://businesscentral.dynamics.com/51a4d646-152a-4a66-8cba-0e38561156f2/Production/?company=Unique%20Packaging%20Limited&amp;report=5801&amp;filter=Item.Field1:RM00178" TargetMode="External"/><Relationship Id="rId445" Type="http://schemas.openxmlformats.org/officeDocument/2006/relationships/hyperlink" Target="https://businesscentral.dynamics.com/51a4d646-152a-4a66-8cba-0e38561156f2/Production/?company=Unique%20Packaging%20Limited&amp;report=5801&amp;filter=Item.Field1:RM00157" TargetMode="External"/><Relationship Id="rId444" Type="http://schemas.openxmlformats.org/officeDocument/2006/relationships/hyperlink" Target="https://businesscentral.dynamics.com/51a4d646-152a-4a66-8cba-0e38561156f2/Production/?company=Unique%20Packaging%20Limited&amp;report=5801&amp;filter=Item.Field1:RM00152" TargetMode="External"/><Relationship Id="rId443" Type="http://schemas.openxmlformats.org/officeDocument/2006/relationships/hyperlink" Target="https://businesscentral.dynamics.com/51a4d646-152a-4a66-8cba-0e38561156f2/Production/?company=Unique%20Packaging%20Limited&amp;report=5801&amp;filter=Item.Field1:RM00146" TargetMode="External"/><Relationship Id="rId442" Type="http://schemas.openxmlformats.org/officeDocument/2006/relationships/hyperlink" Target="https://businesscentral.dynamics.com/51a4d646-152a-4a66-8cba-0e38561156f2/Production/?company=Unique%20Packaging%20Limited&amp;report=5801&amp;filter=Item.Field1:RM00142" TargetMode="External"/><Relationship Id="rId441" Type="http://schemas.openxmlformats.org/officeDocument/2006/relationships/hyperlink" Target="https://businesscentral.dynamics.com/51a4d646-152a-4a66-8cba-0e38561156f2/Production/?company=Unique%20Packaging%20Limited&amp;report=5801&amp;filter=Item.Field1:RM00139" TargetMode="External"/><Relationship Id="rId440" Type="http://schemas.openxmlformats.org/officeDocument/2006/relationships/hyperlink" Target="https://businesscentral.dynamics.com/51a4d646-152a-4a66-8cba-0e38561156f2/Production/?company=Unique%20Packaging%20Limited&amp;report=5801&amp;filter=Item.Field1:RM00138" TargetMode="External"/><Relationship Id="rId44" Type="http://schemas.openxmlformats.org/officeDocument/2006/relationships/hyperlink" Target="https://businesscentral.dynamics.com/51a4d646-152a-4a66-8cba-0e38561156f2/Production/?company=Unique%20Packaging%20Limited&amp;report=5801&amp;filter=Item.Field1:FG00052" TargetMode="External"/><Relationship Id="rId439" Type="http://schemas.openxmlformats.org/officeDocument/2006/relationships/hyperlink" Target="https://businesscentral.dynamics.com/51a4d646-152a-4a66-8cba-0e38561156f2/Production/?company=Unique%20Packaging%20Limited&amp;report=5801&amp;filter=Item.Field1:RM00137" TargetMode="External"/><Relationship Id="rId438" Type="http://schemas.openxmlformats.org/officeDocument/2006/relationships/hyperlink" Target="https://businesscentral.dynamics.com/51a4d646-152a-4a66-8cba-0e38561156f2/Production/?company=Unique%20Packaging%20Limited&amp;report=5801&amp;filter=Item.Field1:RM00136" TargetMode="External"/><Relationship Id="rId437" Type="http://schemas.openxmlformats.org/officeDocument/2006/relationships/hyperlink" Target="https://businesscentral.dynamics.com/51a4d646-152a-4a66-8cba-0e38561156f2/Production/?company=Unique%20Packaging%20Limited&amp;report=5801&amp;filter=Item.Field1:RM00134" TargetMode="External"/><Relationship Id="rId436" Type="http://schemas.openxmlformats.org/officeDocument/2006/relationships/hyperlink" Target="https://businesscentral.dynamics.com/51a4d646-152a-4a66-8cba-0e38561156f2/Production/?company=Unique%20Packaging%20Limited&amp;report=5801&amp;filter=Item.Field1:RM00131" TargetMode="External"/><Relationship Id="rId435" Type="http://schemas.openxmlformats.org/officeDocument/2006/relationships/hyperlink" Target="https://businesscentral.dynamics.com/51a4d646-152a-4a66-8cba-0e38561156f2/Production/?company=Unique%20Packaging%20Limited&amp;report=5801&amp;filter=Item.Field1:RM00127" TargetMode="External"/><Relationship Id="rId434" Type="http://schemas.openxmlformats.org/officeDocument/2006/relationships/hyperlink" Target="https://businesscentral.dynamics.com/51a4d646-152a-4a66-8cba-0e38561156f2/Production/?company=Unique%20Packaging%20Limited&amp;report=5801&amp;filter=Item.Field1:RM00126" TargetMode="External"/><Relationship Id="rId433" Type="http://schemas.openxmlformats.org/officeDocument/2006/relationships/hyperlink" Target="https://businesscentral.dynamics.com/51a4d646-152a-4a66-8cba-0e38561156f2/Production/?company=Unique%20Packaging%20Limited&amp;report=5801&amp;filter=Item.Field1:RM00125" TargetMode="External"/><Relationship Id="rId432" Type="http://schemas.openxmlformats.org/officeDocument/2006/relationships/hyperlink" Target="https://businesscentral.dynamics.com/51a4d646-152a-4a66-8cba-0e38561156f2/Production/?company=Unique%20Packaging%20Limited&amp;report=5801&amp;filter=Item.Field1:RM00017" TargetMode="External"/><Relationship Id="rId431" Type="http://schemas.openxmlformats.org/officeDocument/2006/relationships/hyperlink" Target="https://businesscentral.dynamics.com/51a4d646-152a-4a66-8cba-0e38561156f2/Production/?company=Unique%20Packaging%20Limited&amp;report=5801&amp;filter=Item.Field1:RM00016" TargetMode="External"/><Relationship Id="rId430" Type="http://schemas.openxmlformats.org/officeDocument/2006/relationships/hyperlink" Target="https://businesscentral.dynamics.com/51a4d646-152a-4a66-8cba-0e38561156f2/Production/?company=Unique%20Packaging%20Limited&amp;report=5801&amp;filter=Item.Field1:RM00015" TargetMode="External"/><Relationship Id="rId43" Type="http://schemas.openxmlformats.org/officeDocument/2006/relationships/hyperlink" Target="https://businesscentral.dynamics.com/51a4d646-152a-4a66-8cba-0e38561156f2/Production/?company=Unique%20Packaging%20Limited&amp;report=5801&amp;filter=Item.Field1:FG00046" TargetMode="External"/><Relationship Id="rId429" Type="http://schemas.openxmlformats.org/officeDocument/2006/relationships/hyperlink" Target="https://businesscentral.dynamics.com/51a4d646-152a-4a66-8cba-0e38561156f2/Production/?company=Unique%20Packaging%20Limited&amp;report=5801&amp;filter=Item.Field1:RM00014" TargetMode="External"/><Relationship Id="rId428" Type="http://schemas.openxmlformats.org/officeDocument/2006/relationships/hyperlink" Target="https://businesscentral.dynamics.com/51a4d646-152a-4a66-8cba-0e38561156f2/Production/?company=Unique%20Packaging%20Limited&amp;report=5801&amp;filter=Item.Field1:RM000139" TargetMode="External"/><Relationship Id="rId427" Type="http://schemas.openxmlformats.org/officeDocument/2006/relationships/hyperlink" Target="https://businesscentral.dynamics.com/51a4d646-152a-4a66-8cba-0e38561156f2/Production/?company=Unique%20Packaging%20Limited&amp;report=5801&amp;filter=Item.Field1:RM00013" TargetMode="External"/><Relationship Id="rId426" Type="http://schemas.openxmlformats.org/officeDocument/2006/relationships/hyperlink" Target="https://businesscentral.dynamics.com/51a4d646-152a-4a66-8cba-0e38561156f2/Production/?company=Unique%20Packaging%20Limited&amp;report=5801&amp;filter=Item.Field1:RM00010" TargetMode="External"/><Relationship Id="rId425" Type="http://schemas.openxmlformats.org/officeDocument/2006/relationships/hyperlink" Target="https://businesscentral.dynamics.com/51a4d646-152a-4a66-8cba-0e38561156f2/Production/?company=Unique%20Packaging%20Limited&amp;report=5801&amp;filter=Item.Field1:RM00009" TargetMode="External"/><Relationship Id="rId424" Type="http://schemas.openxmlformats.org/officeDocument/2006/relationships/hyperlink" Target="https://businesscentral.dynamics.com/51a4d646-152a-4a66-8cba-0e38561156f2/Production/?company=Unique%20Packaging%20Limited&amp;report=5801&amp;filter=Item.Field1:RM00008" TargetMode="External"/><Relationship Id="rId423" Type="http://schemas.openxmlformats.org/officeDocument/2006/relationships/hyperlink" Target="https://businesscentral.dynamics.com/51a4d646-152a-4a66-8cba-0e38561156f2/Production/?company=Unique%20Packaging%20Limited&amp;report=5801&amp;filter=Item.Field1:RM00007" TargetMode="External"/><Relationship Id="rId422" Type="http://schemas.openxmlformats.org/officeDocument/2006/relationships/hyperlink" Target="https://businesscentral.dynamics.com/51a4d646-152a-4a66-8cba-0e38561156f2/Production/?company=Unique%20Packaging%20Limited&amp;report=5801&amp;filter=Item.Field1:RM00006" TargetMode="External"/><Relationship Id="rId421" Type="http://schemas.openxmlformats.org/officeDocument/2006/relationships/hyperlink" Target="https://businesscentral.dynamics.com/51a4d646-152a-4a66-8cba-0e38561156f2/Production/?company=Unique%20Packaging%20Limited&amp;report=5801&amp;filter=Item.Field1:RM00005" TargetMode="External"/><Relationship Id="rId420" Type="http://schemas.openxmlformats.org/officeDocument/2006/relationships/hyperlink" Target="https://businesscentral.dynamics.com/51a4d646-152a-4a66-8cba-0e38561156f2/Production/?company=Unique%20Packaging%20Limited&amp;report=5801&amp;filter=Item.Field1:RM00004" TargetMode="External"/><Relationship Id="rId42" Type="http://schemas.openxmlformats.org/officeDocument/2006/relationships/hyperlink" Target="https://businesscentral.dynamics.com/51a4d646-152a-4a66-8cba-0e38561156f2/Production/?company=Unique%20Packaging%20Limited&amp;report=5801&amp;filter=Item.Field1:FG00045" TargetMode="External"/><Relationship Id="rId419" Type="http://schemas.openxmlformats.org/officeDocument/2006/relationships/hyperlink" Target="https://businesscentral.dynamics.com/51a4d646-152a-4a66-8cba-0e38561156f2/Production/?company=Unique%20Packaging%20Limited&amp;report=5801&amp;filter=Item.Field1:RM00003" TargetMode="External"/><Relationship Id="rId418" Type="http://schemas.openxmlformats.org/officeDocument/2006/relationships/hyperlink" Target="https://businesscentral.dynamics.com/51a4d646-152a-4a66-8cba-0e38561156f2/Production/?company=Unique%20Packaging%20Limited&amp;report=5801&amp;filter=Item.Field1:RM00002" TargetMode="External"/><Relationship Id="rId417" Type="http://schemas.openxmlformats.org/officeDocument/2006/relationships/hyperlink" Target="https://businesscentral.dynamics.com/51a4d646-152a-4a66-8cba-0e38561156f2/Production/?company=Unique%20Packaging%20Limited&amp;report=5801&amp;filter=Item.Field1:RM00001" TargetMode="External"/><Relationship Id="rId416" Type="http://schemas.openxmlformats.org/officeDocument/2006/relationships/hyperlink" Target="https://businesscentral.dynamics.com/51a4d646-152a-4a66-8cba-0e38561156f2/Production/?company=Unique%20Packaging%20Limited&amp;report=5801&amp;filter=Item.Field1:PM00009" TargetMode="External"/><Relationship Id="rId415" Type="http://schemas.openxmlformats.org/officeDocument/2006/relationships/hyperlink" Target="https://businesscentral.dynamics.com/51a4d646-152a-4a66-8cba-0e38561156f2/Production/?company=Unique%20Packaging%20Limited&amp;report=5801&amp;filter=Item.Field1:PM00008" TargetMode="External"/><Relationship Id="rId414" Type="http://schemas.openxmlformats.org/officeDocument/2006/relationships/hyperlink" Target="https://businesscentral.dynamics.com/51a4d646-152a-4a66-8cba-0e38561156f2/Production/?company=Unique%20Packaging%20Limited&amp;report=5801&amp;filter=Item.Field1:PM00007" TargetMode="External"/><Relationship Id="rId413" Type="http://schemas.openxmlformats.org/officeDocument/2006/relationships/hyperlink" Target="https://businesscentral.dynamics.com/51a4d646-152a-4a66-8cba-0e38561156f2/Production/?company=Unique%20Packaging%20Limited&amp;report=5801&amp;filter=Item.Field1:PM00006" TargetMode="External"/><Relationship Id="rId412" Type="http://schemas.openxmlformats.org/officeDocument/2006/relationships/hyperlink" Target="https://businesscentral.dynamics.com/51a4d646-152a-4a66-8cba-0e38561156f2/Production/?company=Unique%20Packaging%20Limited&amp;report=5801&amp;filter=Item.Field1:PM00005" TargetMode="External"/><Relationship Id="rId411" Type="http://schemas.openxmlformats.org/officeDocument/2006/relationships/hyperlink" Target="https://businesscentral.dynamics.com/51a4d646-152a-4a66-8cba-0e38561156f2/Production/?company=Unique%20Packaging%20Limited&amp;report=5801&amp;filter=Item.Field1:PM00004" TargetMode="External"/><Relationship Id="rId410" Type="http://schemas.openxmlformats.org/officeDocument/2006/relationships/hyperlink" Target="https://businesscentral.dynamics.com/51a4d646-152a-4a66-8cba-0e38561156f2/Production/?company=Unique%20Packaging%20Limited&amp;report=5801&amp;filter=Item.Field1:PM00003" TargetMode="External"/><Relationship Id="rId41" Type="http://schemas.openxmlformats.org/officeDocument/2006/relationships/hyperlink" Target="https://businesscentral.dynamics.com/51a4d646-152a-4a66-8cba-0e38561156f2/Production/?company=Unique%20Packaging%20Limited&amp;report=5801&amp;filter=Item.Field1:FG00044" TargetMode="External"/><Relationship Id="rId409" Type="http://schemas.openxmlformats.org/officeDocument/2006/relationships/hyperlink" Target="https://businesscentral.dynamics.com/51a4d646-152a-4a66-8cba-0e38561156f2/Production/?company=Unique%20Packaging%20Limited&amp;report=5801&amp;filter=Item.Field1:PM00002" TargetMode="External"/><Relationship Id="rId408" Type="http://schemas.openxmlformats.org/officeDocument/2006/relationships/hyperlink" Target="https://businesscentral.dynamics.com/51a4d646-152a-4a66-8cba-0e38561156f2/Production/?company=Unique%20Packaging%20Limited&amp;report=5801&amp;filter=Item.Field1:PM00001" TargetMode="External"/><Relationship Id="rId407" Type="http://schemas.openxmlformats.org/officeDocument/2006/relationships/hyperlink" Target="https://businesscentral.dynamics.com/51a4d646-152a-4a66-8cba-0e38561156f2/Production/?company=Unique%20Packaging%20Limited&amp;report=5801&amp;filter=Item.Field1:PC00017" TargetMode="External"/><Relationship Id="rId406" Type="http://schemas.openxmlformats.org/officeDocument/2006/relationships/hyperlink" Target="https://businesscentral.dynamics.com/51a4d646-152a-4a66-8cba-0e38561156f2/Production/?company=Unique%20Packaging%20Limited&amp;report=5801&amp;filter=Item.Field1:PC00016" TargetMode="External"/><Relationship Id="rId405" Type="http://schemas.openxmlformats.org/officeDocument/2006/relationships/hyperlink" Target="https://businesscentral.dynamics.com/51a4d646-152a-4a66-8cba-0e38561156f2/Production/?company=Unique%20Packaging%20Limited&amp;report=5801&amp;filter=Item.Field1:PC00015" TargetMode="External"/><Relationship Id="rId404" Type="http://schemas.openxmlformats.org/officeDocument/2006/relationships/hyperlink" Target="https://businesscentral.dynamics.com/51a4d646-152a-4a66-8cba-0e38561156f2/Production/?company=Unique%20Packaging%20Limited&amp;report=5801&amp;filter=Item.Field1:PC00013" TargetMode="External"/><Relationship Id="rId403" Type="http://schemas.openxmlformats.org/officeDocument/2006/relationships/hyperlink" Target="https://businesscentral.dynamics.com/51a4d646-152a-4a66-8cba-0e38561156f2/Production/?company=Unique%20Packaging%20Limited&amp;report=5801&amp;filter=Item.Field1:PC00012" TargetMode="External"/><Relationship Id="rId402" Type="http://schemas.openxmlformats.org/officeDocument/2006/relationships/hyperlink" Target="https://businesscentral.dynamics.com/51a4d646-152a-4a66-8cba-0e38561156f2/Production/?company=Unique%20Packaging%20Limited&amp;report=5801&amp;filter=Item.Field1:PC00011" TargetMode="External"/><Relationship Id="rId401" Type="http://schemas.openxmlformats.org/officeDocument/2006/relationships/hyperlink" Target="https://businesscentral.dynamics.com/51a4d646-152a-4a66-8cba-0e38561156f2/Production/?company=Unique%20Packaging%20Limited&amp;report=5801&amp;filter=Item.Field1:PC00010" TargetMode="External"/><Relationship Id="rId400" Type="http://schemas.openxmlformats.org/officeDocument/2006/relationships/hyperlink" Target="https://businesscentral.dynamics.com/51a4d646-152a-4a66-8cba-0e38561156f2/Production/?company=Unique%20Packaging%20Limited&amp;report=5801&amp;filter=Item.Field1:PC00005" TargetMode="External"/><Relationship Id="rId40" Type="http://schemas.openxmlformats.org/officeDocument/2006/relationships/hyperlink" Target="https://businesscentral.dynamics.com/51a4d646-152a-4a66-8cba-0e38561156f2/Production/?company=Unique%20Packaging%20Limited&amp;report=5801&amp;filter=Item.Field1:FG00042" TargetMode="External"/><Relationship Id="rId4" Type="http://schemas.openxmlformats.org/officeDocument/2006/relationships/hyperlink" Target="https://businesscentral.dynamics.com/51a4d646-152a-4a66-8cba-0e38561156f2/Production/?company=Unique%20Packaging%20Limited&amp;report=5801&amp;filter=Item.Field1:FG00004" TargetMode="External"/><Relationship Id="rId399" Type="http://schemas.openxmlformats.org/officeDocument/2006/relationships/hyperlink" Target="https://businesscentral.dynamics.com/51a4d646-152a-4a66-8cba-0e38561156f2/Production/?company=Unique%20Packaging%20Limited&amp;report=5801&amp;filter=Item.Field1:PC00004" TargetMode="External"/><Relationship Id="rId398" Type="http://schemas.openxmlformats.org/officeDocument/2006/relationships/hyperlink" Target="https://businesscentral.dynamics.com/51a4d646-152a-4a66-8cba-0e38561156f2/Production/?company=Unique%20Packaging%20Limited&amp;report=5801&amp;filter=Item.Field1:PC00003" TargetMode="External"/><Relationship Id="rId397" Type="http://schemas.openxmlformats.org/officeDocument/2006/relationships/hyperlink" Target="https://businesscentral.dynamics.com/51a4d646-152a-4a66-8cba-0e38561156f2/Production/?company=Unique%20Packaging%20Limited&amp;report=5801&amp;filter=Item.Field1:PC00002" TargetMode="External"/><Relationship Id="rId396" Type="http://schemas.openxmlformats.org/officeDocument/2006/relationships/hyperlink" Target="https://businesscentral.dynamics.com/51a4d646-152a-4a66-8cba-0e38561156f2/Production/?company=Unique%20Packaging%20Limited&amp;report=5801&amp;filter=Item.Field1:PC00001" TargetMode="External"/><Relationship Id="rId395" Type="http://schemas.openxmlformats.org/officeDocument/2006/relationships/hyperlink" Target="https://businesscentral.dynamics.com/51a4d646-152a-4a66-8cba-0e38561156f2/Production/?company=Unique%20Packaging%20Limited&amp;report=5801&amp;filter=Item.Field1:MS00075" TargetMode="External"/><Relationship Id="rId394" Type="http://schemas.openxmlformats.org/officeDocument/2006/relationships/hyperlink" Target="https://businesscentral.dynamics.com/51a4d646-152a-4a66-8cba-0e38561156f2/Production/?company=Unique%20Packaging%20Limited&amp;report=5801&amp;filter=Item.Field1:MS00074" TargetMode="External"/><Relationship Id="rId393" Type="http://schemas.openxmlformats.org/officeDocument/2006/relationships/hyperlink" Target="https://businesscentral.dynamics.com/51a4d646-152a-4a66-8cba-0e38561156f2/Production/?company=Unique%20Packaging%20Limited&amp;report=5801&amp;filter=Item.Field1:MS00073" TargetMode="External"/><Relationship Id="rId392" Type="http://schemas.openxmlformats.org/officeDocument/2006/relationships/hyperlink" Target="https://businesscentral.dynamics.com/51a4d646-152a-4a66-8cba-0e38561156f2/Production/?company=Unique%20Packaging%20Limited&amp;report=5801&amp;filter=Item.Field1:MS00063" TargetMode="External"/><Relationship Id="rId391" Type="http://schemas.openxmlformats.org/officeDocument/2006/relationships/hyperlink" Target="https://businesscentral.dynamics.com/51a4d646-152a-4a66-8cba-0e38561156f2/Production/?company=Unique%20Packaging%20Limited&amp;report=5801&amp;filter=Item.Field1:MS00060" TargetMode="External"/><Relationship Id="rId390" Type="http://schemas.openxmlformats.org/officeDocument/2006/relationships/hyperlink" Target="https://businesscentral.dynamics.com/51a4d646-152a-4a66-8cba-0e38561156f2/Production/?company=Unique%20Packaging%20Limited&amp;report=5801&amp;filter=Item.Field1:MS00059" TargetMode="External"/><Relationship Id="rId39" Type="http://schemas.openxmlformats.org/officeDocument/2006/relationships/hyperlink" Target="https://businesscentral.dynamics.com/51a4d646-152a-4a66-8cba-0e38561156f2/Production/?company=Unique%20Packaging%20Limited&amp;report=5801&amp;filter=Item.Field1:FG00041" TargetMode="External"/><Relationship Id="rId389" Type="http://schemas.openxmlformats.org/officeDocument/2006/relationships/hyperlink" Target="https://businesscentral.dynamics.com/51a4d646-152a-4a66-8cba-0e38561156f2/Production/?company=Unique%20Packaging%20Limited&amp;report=5801&amp;filter=Item.Field1:MS00057" TargetMode="External"/><Relationship Id="rId388" Type="http://schemas.openxmlformats.org/officeDocument/2006/relationships/hyperlink" Target="https://businesscentral.dynamics.com/51a4d646-152a-4a66-8cba-0e38561156f2/Production/?company=Unique%20Packaging%20Limited&amp;report=5801&amp;filter=Item.Field1:MS00056" TargetMode="External"/><Relationship Id="rId387" Type="http://schemas.openxmlformats.org/officeDocument/2006/relationships/hyperlink" Target="https://businesscentral.dynamics.com/51a4d646-152a-4a66-8cba-0e38561156f2/Production/?company=Unique%20Packaging%20Limited&amp;report=5801&amp;filter=Item.Field1:MS00054" TargetMode="External"/><Relationship Id="rId386" Type="http://schemas.openxmlformats.org/officeDocument/2006/relationships/hyperlink" Target="https://businesscentral.dynamics.com/51a4d646-152a-4a66-8cba-0e38561156f2/Production/?company=Unique%20Packaging%20Limited&amp;report=5801&amp;filter=Item.Field1:MS00053" TargetMode="External"/><Relationship Id="rId385" Type="http://schemas.openxmlformats.org/officeDocument/2006/relationships/hyperlink" Target="https://businesscentral.dynamics.com/51a4d646-152a-4a66-8cba-0e38561156f2/Production/?company=Unique%20Packaging%20Limited&amp;report=5801&amp;filter=Item.Field1:MS00052" TargetMode="External"/><Relationship Id="rId384" Type="http://schemas.openxmlformats.org/officeDocument/2006/relationships/hyperlink" Target="https://businesscentral.dynamics.com/51a4d646-152a-4a66-8cba-0e38561156f2/Production/?company=Unique%20Packaging%20Limited&amp;report=5801&amp;filter=Item.Field1:MS00051" TargetMode="External"/><Relationship Id="rId383" Type="http://schemas.openxmlformats.org/officeDocument/2006/relationships/hyperlink" Target="https://businesscentral.dynamics.com/51a4d646-152a-4a66-8cba-0e38561156f2/Production/?company=Unique%20Packaging%20Limited&amp;report=5801&amp;filter=Item.Field1:MS00050" TargetMode="External"/><Relationship Id="rId382" Type="http://schemas.openxmlformats.org/officeDocument/2006/relationships/hyperlink" Target="https://businesscentral.dynamics.com/51a4d646-152a-4a66-8cba-0e38561156f2/Production/?company=Unique%20Packaging%20Limited&amp;report=5801&amp;filter=Item.Field1:MS00049" TargetMode="External"/><Relationship Id="rId381" Type="http://schemas.openxmlformats.org/officeDocument/2006/relationships/hyperlink" Target="https://businesscentral.dynamics.com/51a4d646-152a-4a66-8cba-0e38561156f2/Production/?company=Unique%20Packaging%20Limited&amp;report=5801&amp;filter=Item.Field1:MS00048" TargetMode="External"/><Relationship Id="rId380" Type="http://schemas.openxmlformats.org/officeDocument/2006/relationships/hyperlink" Target="https://businesscentral.dynamics.com/51a4d646-152a-4a66-8cba-0e38561156f2/Production/?company=Unique%20Packaging%20Limited&amp;report=5801&amp;filter=Item.Field1:MS00047" TargetMode="External"/><Relationship Id="rId38" Type="http://schemas.openxmlformats.org/officeDocument/2006/relationships/hyperlink" Target="https://businesscentral.dynamics.com/51a4d646-152a-4a66-8cba-0e38561156f2/Production/?company=Unique%20Packaging%20Limited&amp;report=5801&amp;filter=Item.Field1:FG00040" TargetMode="External"/><Relationship Id="rId379" Type="http://schemas.openxmlformats.org/officeDocument/2006/relationships/hyperlink" Target="https://businesscentral.dynamics.com/51a4d646-152a-4a66-8cba-0e38561156f2/Production/?company=Unique%20Packaging%20Limited&amp;report=5801&amp;filter=Item.Field1:MS00046" TargetMode="External"/><Relationship Id="rId378" Type="http://schemas.openxmlformats.org/officeDocument/2006/relationships/hyperlink" Target="https://businesscentral.dynamics.com/51a4d646-152a-4a66-8cba-0e38561156f2/Production/?company=Unique%20Packaging%20Limited&amp;report=5801&amp;filter=Item.Field1:MS00045" TargetMode="External"/><Relationship Id="rId377" Type="http://schemas.openxmlformats.org/officeDocument/2006/relationships/hyperlink" Target="https://businesscentral.dynamics.com/51a4d646-152a-4a66-8cba-0e38561156f2/Production/?company=Unique%20Packaging%20Limited&amp;report=5801&amp;filter=Item.Field1:MS00044" TargetMode="External"/><Relationship Id="rId376" Type="http://schemas.openxmlformats.org/officeDocument/2006/relationships/hyperlink" Target="https://businesscentral.dynamics.com/51a4d646-152a-4a66-8cba-0e38561156f2/Production/?company=Unique%20Packaging%20Limited&amp;report=5801&amp;filter=Item.Field1:MS00042" TargetMode="External"/><Relationship Id="rId375" Type="http://schemas.openxmlformats.org/officeDocument/2006/relationships/hyperlink" Target="https://businesscentral.dynamics.com/51a4d646-152a-4a66-8cba-0e38561156f2/Production/?company=Unique%20Packaging%20Limited&amp;report=5801&amp;filter=Item.Field1:MS00041" TargetMode="External"/><Relationship Id="rId374" Type="http://schemas.openxmlformats.org/officeDocument/2006/relationships/hyperlink" Target="https://businesscentral.dynamics.com/51a4d646-152a-4a66-8cba-0e38561156f2/Production/?company=Unique%20Packaging%20Limited&amp;report=5801&amp;filter=Item.Field1:MS00040" TargetMode="External"/><Relationship Id="rId373" Type="http://schemas.openxmlformats.org/officeDocument/2006/relationships/hyperlink" Target="https://businesscentral.dynamics.com/51a4d646-152a-4a66-8cba-0e38561156f2/Production/?company=Unique%20Packaging%20Limited&amp;report=5801&amp;filter=Item.Field1:MS00039" TargetMode="External"/><Relationship Id="rId372" Type="http://schemas.openxmlformats.org/officeDocument/2006/relationships/hyperlink" Target="https://businesscentral.dynamics.com/51a4d646-152a-4a66-8cba-0e38561156f2/Production/?company=Unique%20Packaging%20Limited&amp;report=5801&amp;filter=Item.Field1:MS00038" TargetMode="External"/><Relationship Id="rId371" Type="http://schemas.openxmlformats.org/officeDocument/2006/relationships/hyperlink" Target="https://businesscentral.dynamics.com/51a4d646-152a-4a66-8cba-0e38561156f2/Production/?company=Unique%20Packaging%20Limited&amp;report=5801&amp;filter=Item.Field1:MS00037" TargetMode="External"/><Relationship Id="rId370" Type="http://schemas.openxmlformats.org/officeDocument/2006/relationships/hyperlink" Target="https://businesscentral.dynamics.com/51a4d646-152a-4a66-8cba-0e38561156f2/Production/?company=Unique%20Packaging%20Limited&amp;report=5801&amp;filter=Item.Field1:MS00036" TargetMode="External"/><Relationship Id="rId37" Type="http://schemas.openxmlformats.org/officeDocument/2006/relationships/hyperlink" Target="https://businesscentral.dynamics.com/51a4d646-152a-4a66-8cba-0e38561156f2/Production/?company=Unique%20Packaging%20Limited&amp;report=5801&amp;filter=Item.Field1:FG00039" TargetMode="External"/><Relationship Id="rId369" Type="http://schemas.openxmlformats.org/officeDocument/2006/relationships/hyperlink" Target="https://businesscentral.dynamics.com/51a4d646-152a-4a66-8cba-0e38561156f2/Production/?company=Unique%20Packaging%20Limited&amp;report=5801&amp;filter=Item.Field1:MS00035" TargetMode="External"/><Relationship Id="rId368" Type="http://schemas.openxmlformats.org/officeDocument/2006/relationships/hyperlink" Target="https://businesscentral.dynamics.com/51a4d646-152a-4a66-8cba-0e38561156f2/Production/?company=Unique%20Packaging%20Limited&amp;report=5801&amp;filter=Item.Field1:MS00032" TargetMode="External"/><Relationship Id="rId367" Type="http://schemas.openxmlformats.org/officeDocument/2006/relationships/hyperlink" Target="https://businesscentral.dynamics.com/51a4d646-152a-4a66-8cba-0e38561156f2/Production/?company=Unique%20Packaging%20Limited&amp;report=5801&amp;filter=Item.Field1:MS00031" TargetMode="External"/><Relationship Id="rId366" Type="http://schemas.openxmlformats.org/officeDocument/2006/relationships/hyperlink" Target="https://businesscentral.dynamics.com/51a4d646-152a-4a66-8cba-0e38561156f2/Production/?company=Unique%20Packaging%20Limited&amp;report=5801&amp;filter=Item.Field1:MS00030" TargetMode="External"/><Relationship Id="rId365" Type="http://schemas.openxmlformats.org/officeDocument/2006/relationships/hyperlink" Target="https://businesscentral.dynamics.com/51a4d646-152a-4a66-8cba-0e38561156f2/Production/?company=Unique%20Packaging%20Limited&amp;report=5801&amp;filter=Item.Field1:MS00029" TargetMode="External"/><Relationship Id="rId364" Type="http://schemas.openxmlformats.org/officeDocument/2006/relationships/hyperlink" Target="https://businesscentral.dynamics.com/51a4d646-152a-4a66-8cba-0e38561156f2/Production/?company=Unique%20Packaging%20Limited&amp;report=5801&amp;filter=Item.Field1:MS00028" TargetMode="External"/><Relationship Id="rId363" Type="http://schemas.openxmlformats.org/officeDocument/2006/relationships/hyperlink" Target="https://businesscentral.dynamics.com/51a4d646-152a-4a66-8cba-0e38561156f2/Production/?company=Unique%20Packaging%20Limited&amp;report=5801&amp;filter=Item.Field1:MS00027" TargetMode="External"/><Relationship Id="rId362" Type="http://schemas.openxmlformats.org/officeDocument/2006/relationships/hyperlink" Target="https://businesscentral.dynamics.com/51a4d646-152a-4a66-8cba-0e38561156f2/Production/?company=Unique%20Packaging%20Limited&amp;report=5801&amp;filter=Item.Field1:MS00026" TargetMode="External"/><Relationship Id="rId361" Type="http://schemas.openxmlformats.org/officeDocument/2006/relationships/hyperlink" Target="https://businesscentral.dynamics.com/51a4d646-152a-4a66-8cba-0e38561156f2/Production/?company=Unique%20Packaging%20Limited&amp;report=5801&amp;filter=Item.Field1:MS00024" TargetMode="External"/><Relationship Id="rId360" Type="http://schemas.openxmlformats.org/officeDocument/2006/relationships/hyperlink" Target="https://businesscentral.dynamics.com/51a4d646-152a-4a66-8cba-0e38561156f2/Production/?company=Unique%20Packaging%20Limited&amp;report=5801&amp;filter=Item.Field1:MS00023" TargetMode="External"/><Relationship Id="rId36" Type="http://schemas.openxmlformats.org/officeDocument/2006/relationships/hyperlink" Target="https://businesscentral.dynamics.com/51a4d646-152a-4a66-8cba-0e38561156f2/Production/?company=Unique%20Packaging%20Limited&amp;report=5801&amp;filter=Item.Field1:FG00038" TargetMode="External"/><Relationship Id="rId359" Type="http://schemas.openxmlformats.org/officeDocument/2006/relationships/hyperlink" Target="https://businesscentral.dynamics.com/51a4d646-152a-4a66-8cba-0e38561156f2/Production/?company=Unique%20Packaging%20Limited&amp;report=5801&amp;filter=Item.Field1:MS00022" TargetMode="External"/><Relationship Id="rId358" Type="http://schemas.openxmlformats.org/officeDocument/2006/relationships/hyperlink" Target="https://businesscentral.dynamics.com/51a4d646-152a-4a66-8cba-0e38561156f2/Production/?company=Unique%20Packaging%20Limited&amp;report=5801&amp;filter=Item.Field1:MS00017" TargetMode="External"/><Relationship Id="rId357" Type="http://schemas.openxmlformats.org/officeDocument/2006/relationships/hyperlink" Target="https://businesscentral.dynamics.com/51a4d646-152a-4a66-8cba-0e38561156f2/Production/?company=Unique%20Packaging%20Limited&amp;report=5801&amp;filter=Item.Field1:MS00016" TargetMode="External"/><Relationship Id="rId356" Type="http://schemas.openxmlformats.org/officeDocument/2006/relationships/hyperlink" Target="https://businesscentral.dynamics.com/51a4d646-152a-4a66-8cba-0e38561156f2/Production/?company=Unique%20Packaging%20Limited&amp;report=5801&amp;filter=Item.Field1:MS00015" TargetMode="External"/><Relationship Id="rId355" Type="http://schemas.openxmlformats.org/officeDocument/2006/relationships/hyperlink" Target="https://businesscentral.dynamics.com/51a4d646-152a-4a66-8cba-0e38561156f2/Production/?company=Unique%20Packaging%20Limited&amp;report=5801&amp;filter=Item.Field1:MS00014" TargetMode="External"/><Relationship Id="rId354" Type="http://schemas.openxmlformats.org/officeDocument/2006/relationships/hyperlink" Target="https://businesscentral.dynamics.com/51a4d646-152a-4a66-8cba-0e38561156f2/Production/?company=Unique%20Packaging%20Limited&amp;report=5801&amp;filter=Item.Field1:MS00013" TargetMode="External"/><Relationship Id="rId353" Type="http://schemas.openxmlformats.org/officeDocument/2006/relationships/hyperlink" Target="https://businesscentral.dynamics.com/51a4d646-152a-4a66-8cba-0e38561156f2/Production/?company=Unique%20Packaging%20Limited&amp;report=5801&amp;filter=Item.Field1:MS00012" TargetMode="External"/><Relationship Id="rId352" Type="http://schemas.openxmlformats.org/officeDocument/2006/relationships/hyperlink" Target="https://businesscentral.dynamics.com/51a4d646-152a-4a66-8cba-0e38561156f2/Production/?company=Unique%20Packaging%20Limited&amp;report=5801&amp;filter=Item.Field1:MS00011" TargetMode="External"/><Relationship Id="rId351" Type="http://schemas.openxmlformats.org/officeDocument/2006/relationships/hyperlink" Target="https://businesscentral.dynamics.com/51a4d646-152a-4a66-8cba-0e38561156f2/Production/?company=Unique%20Packaging%20Limited&amp;report=5801&amp;filter=Item.Field1:MS00010" TargetMode="External"/><Relationship Id="rId350" Type="http://schemas.openxmlformats.org/officeDocument/2006/relationships/hyperlink" Target="https://businesscentral.dynamics.com/51a4d646-152a-4a66-8cba-0e38561156f2/Production/?company=Unique%20Packaging%20Limited&amp;report=5801&amp;filter=Item.Field1:MS00009" TargetMode="External"/><Relationship Id="rId35" Type="http://schemas.openxmlformats.org/officeDocument/2006/relationships/hyperlink" Target="https://businesscentral.dynamics.com/51a4d646-152a-4a66-8cba-0e38561156f2/Production/?company=Unique%20Packaging%20Limited&amp;report=5801&amp;filter=Item.Field1:FG00037" TargetMode="External"/><Relationship Id="rId349" Type="http://schemas.openxmlformats.org/officeDocument/2006/relationships/hyperlink" Target="https://businesscentral.dynamics.com/51a4d646-152a-4a66-8cba-0e38561156f2/Production/?company=Unique%20Packaging%20Limited&amp;report=5801&amp;filter=Item.Field1:MS00008" TargetMode="External"/><Relationship Id="rId348" Type="http://schemas.openxmlformats.org/officeDocument/2006/relationships/hyperlink" Target="https://businesscentral.dynamics.com/51a4d646-152a-4a66-8cba-0e38561156f2/Production/?company=Unique%20Packaging%20Limited&amp;report=5801&amp;filter=Item.Field1:MS00007" TargetMode="External"/><Relationship Id="rId347" Type="http://schemas.openxmlformats.org/officeDocument/2006/relationships/hyperlink" Target="https://businesscentral.dynamics.com/51a4d646-152a-4a66-8cba-0e38561156f2/Production/?company=Unique%20Packaging%20Limited&amp;report=5801&amp;filter=Item.Field1:MS00006" TargetMode="External"/><Relationship Id="rId346" Type="http://schemas.openxmlformats.org/officeDocument/2006/relationships/hyperlink" Target="https://businesscentral.dynamics.com/51a4d646-152a-4a66-8cba-0e38561156f2/Production/?company=Unique%20Packaging%20Limited&amp;report=5801&amp;filter=Item.Field1:MS00005" TargetMode="External"/><Relationship Id="rId345" Type="http://schemas.openxmlformats.org/officeDocument/2006/relationships/hyperlink" Target="https://businesscentral.dynamics.com/51a4d646-152a-4a66-8cba-0e38561156f2/Production/?company=Unique%20Packaging%20Limited&amp;report=5801&amp;filter=Item.Field1:MS00003" TargetMode="External"/><Relationship Id="rId344" Type="http://schemas.openxmlformats.org/officeDocument/2006/relationships/hyperlink" Target="https://businesscentral.dynamics.com/51a4d646-152a-4a66-8cba-0e38561156f2/Production/?company=Unique%20Packaging%20Limited&amp;report=5801&amp;filter=Item.Field1:MS00002" TargetMode="External"/><Relationship Id="rId343" Type="http://schemas.openxmlformats.org/officeDocument/2006/relationships/hyperlink" Target="https://businesscentral.dynamics.com/51a4d646-152a-4a66-8cba-0e38561156f2/Production/?company=Unique%20Packaging%20Limited&amp;report=5801&amp;filter=Item.Field1:MS00001" TargetMode="External"/><Relationship Id="rId342" Type="http://schemas.openxmlformats.org/officeDocument/2006/relationships/hyperlink" Target="https://businesscentral.dynamics.com/51a4d646-152a-4a66-8cba-0e38561156f2/Production/?company=Unique%20Packaging%20Limited&amp;report=5801&amp;filter=Item.Field1:MC00019" TargetMode="External"/><Relationship Id="rId341" Type="http://schemas.openxmlformats.org/officeDocument/2006/relationships/hyperlink" Target="https://businesscentral.dynamics.com/51a4d646-152a-4a66-8cba-0e38561156f2/Production/?company=Unique%20Packaging%20Limited&amp;report=5801&amp;filter=Item.Field1:MC00018" TargetMode="External"/><Relationship Id="rId340" Type="http://schemas.openxmlformats.org/officeDocument/2006/relationships/hyperlink" Target="https://businesscentral.dynamics.com/51a4d646-152a-4a66-8cba-0e38561156f2/Production/?company=Unique%20Packaging%20Limited&amp;report=5801&amp;filter=Item.Field1:MC00016" TargetMode="External"/><Relationship Id="rId34" Type="http://schemas.openxmlformats.org/officeDocument/2006/relationships/hyperlink" Target="https://businesscentral.dynamics.com/51a4d646-152a-4a66-8cba-0e38561156f2/Production/?company=Unique%20Packaging%20Limited&amp;report=5801&amp;filter=Item.Field1:FG00036" TargetMode="External"/><Relationship Id="rId339" Type="http://schemas.openxmlformats.org/officeDocument/2006/relationships/hyperlink" Target="https://businesscentral.dynamics.com/51a4d646-152a-4a66-8cba-0e38561156f2/Production/?company=Unique%20Packaging%20Limited&amp;report=5801&amp;filter=Item.Field1:MC00015" TargetMode="External"/><Relationship Id="rId338" Type="http://schemas.openxmlformats.org/officeDocument/2006/relationships/hyperlink" Target="https://businesscentral.dynamics.com/51a4d646-152a-4a66-8cba-0e38561156f2/Production/?company=Unique%20Packaging%20Limited&amp;report=5801&amp;filter=Item.Field1:MC00014" TargetMode="External"/><Relationship Id="rId337" Type="http://schemas.openxmlformats.org/officeDocument/2006/relationships/hyperlink" Target="https://businesscentral.dynamics.com/51a4d646-152a-4a66-8cba-0e38561156f2/Production/?company=Unique%20Packaging%20Limited&amp;report=5801&amp;filter=Item.Field1:MC00012" TargetMode="External"/><Relationship Id="rId336" Type="http://schemas.openxmlformats.org/officeDocument/2006/relationships/hyperlink" Target="https://businesscentral.dynamics.com/51a4d646-152a-4a66-8cba-0e38561156f2/Production/?company=Unique%20Packaging%20Limited&amp;report=5801&amp;filter=Item.Field1:MC00010" TargetMode="External"/><Relationship Id="rId335" Type="http://schemas.openxmlformats.org/officeDocument/2006/relationships/hyperlink" Target="https://businesscentral.dynamics.com/51a4d646-152a-4a66-8cba-0e38561156f2/Production/?company=Unique%20Packaging%20Limited&amp;report=5801&amp;filter=Item.Field1:MC00009" TargetMode="External"/><Relationship Id="rId334" Type="http://schemas.openxmlformats.org/officeDocument/2006/relationships/hyperlink" Target="https://businesscentral.dynamics.com/51a4d646-152a-4a66-8cba-0e38561156f2/Production/?company=Unique%20Packaging%20Limited&amp;report=5801&amp;filter=Item.Field1:MC00007" TargetMode="External"/><Relationship Id="rId333" Type="http://schemas.openxmlformats.org/officeDocument/2006/relationships/hyperlink" Target="https://businesscentral.dynamics.com/51a4d646-152a-4a66-8cba-0e38561156f2/Production/?company=Unique%20Packaging%20Limited&amp;report=5801&amp;filter=Item.Field1:MC00005" TargetMode="External"/><Relationship Id="rId332" Type="http://schemas.openxmlformats.org/officeDocument/2006/relationships/hyperlink" Target="https://businesscentral.dynamics.com/51a4d646-152a-4a66-8cba-0e38561156f2/Production/?company=Unique%20Packaging%20Limited&amp;report=5801&amp;filter=Item.Field1:MC00004" TargetMode="External"/><Relationship Id="rId331" Type="http://schemas.openxmlformats.org/officeDocument/2006/relationships/hyperlink" Target="https://businesscentral.dynamics.com/51a4d646-152a-4a66-8cba-0e38561156f2/Production/?company=Unique%20Packaging%20Limited&amp;report=5801&amp;filter=Item.Field1:MC00003" TargetMode="External"/><Relationship Id="rId330" Type="http://schemas.openxmlformats.org/officeDocument/2006/relationships/hyperlink" Target="https://businesscentral.dynamics.com/51a4d646-152a-4a66-8cba-0e38561156f2/Production/?company=Unique%20Packaging%20Limited&amp;report=5801&amp;filter=Item.Field1:MC00001" TargetMode="External"/><Relationship Id="rId33" Type="http://schemas.openxmlformats.org/officeDocument/2006/relationships/hyperlink" Target="https://businesscentral.dynamics.com/51a4d646-152a-4a66-8cba-0e38561156f2/Production/?company=Unique%20Packaging%20Limited&amp;report=5801&amp;filter=Item.Field1:FG00035" TargetMode="External"/><Relationship Id="rId329" Type="http://schemas.openxmlformats.org/officeDocument/2006/relationships/hyperlink" Target="https://businesscentral.dynamics.com/51a4d646-152a-4a66-8cba-0e38561156f2/Production/?company=Unique%20Packaging%20Limited&amp;report=5801&amp;filter=Item.Field1:RM00182" TargetMode="External"/><Relationship Id="rId328" Type="http://schemas.openxmlformats.org/officeDocument/2006/relationships/hyperlink" Target="https://businesscentral.dynamics.com/51a4d646-152a-4a66-8cba-0e38561156f2/Production/?company=Unique%20Packaging%20Limited&amp;report=5801&amp;filter=Item.Field1:RM00181" TargetMode="External"/><Relationship Id="rId327" Type="http://schemas.openxmlformats.org/officeDocument/2006/relationships/hyperlink" Target="https://businesscentral.dynamics.com/51a4d646-152a-4a66-8cba-0e38561156f2/Production/?company=Unique%20Packaging%20Limited&amp;report=5801&amp;filter=Item.Field1:RM00179" TargetMode="External"/><Relationship Id="rId326" Type="http://schemas.openxmlformats.org/officeDocument/2006/relationships/hyperlink" Target="https://businesscentral.dynamics.com/51a4d646-152a-4a66-8cba-0e38561156f2/Production/?company=Unique%20Packaging%20Limited&amp;report=5801&amp;filter=Item.Field1:RM00176" TargetMode="External"/><Relationship Id="rId325" Type="http://schemas.openxmlformats.org/officeDocument/2006/relationships/hyperlink" Target="https://businesscentral.dynamics.com/51a4d646-152a-4a66-8cba-0e38561156f2/Production/?company=Unique%20Packaging%20Limited&amp;report=5801&amp;filter=Item.Field1:RM00175" TargetMode="External"/><Relationship Id="rId324" Type="http://schemas.openxmlformats.org/officeDocument/2006/relationships/hyperlink" Target="https://businesscentral.dynamics.com/51a4d646-152a-4a66-8cba-0e38561156f2/Production/?company=Unique%20Packaging%20Limited&amp;report=5801&amp;filter=Item.Field1:RM00174" TargetMode="External"/><Relationship Id="rId323" Type="http://schemas.openxmlformats.org/officeDocument/2006/relationships/hyperlink" Target="https://businesscentral.dynamics.com/51a4d646-152a-4a66-8cba-0e38561156f2/Production/?company=Unique%20Packaging%20Limited&amp;report=5801&amp;filter=Item.Field1:RM00173" TargetMode="External"/><Relationship Id="rId322" Type="http://schemas.openxmlformats.org/officeDocument/2006/relationships/hyperlink" Target="https://businesscentral.dynamics.com/51a4d646-152a-4a66-8cba-0e38561156f2/Production/?company=Unique%20Packaging%20Limited&amp;report=5801&amp;filter=Item.Field1:RM00172" TargetMode="External"/><Relationship Id="rId321" Type="http://schemas.openxmlformats.org/officeDocument/2006/relationships/hyperlink" Target="https://businesscentral.dynamics.com/51a4d646-152a-4a66-8cba-0e38561156f2/Production/?company=Unique%20Packaging%20Limited&amp;report=5801&amp;filter=Item.Field1:RM00171" TargetMode="External"/><Relationship Id="rId320" Type="http://schemas.openxmlformats.org/officeDocument/2006/relationships/hyperlink" Target="https://businesscentral.dynamics.com/51a4d646-152a-4a66-8cba-0e38561156f2/Production/?company=Unique%20Packaging%20Limited&amp;report=5801&amp;filter=Item.Field1:RM00170" TargetMode="External"/><Relationship Id="rId32" Type="http://schemas.openxmlformats.org/officeDocument/2006/relationships/hyperlink" Target="https://businesscentral.dynamics.com/51a4d646-152a-4a66-8cba-0e38561156f2/Production/?company=Unique%20Packaging%20Limited&amp;report=5801&amp;filter=Item.Field1:FG00034" TargetMode="External"/><Relationship Id="rId319" Type="http://schemas.openxmlformats.org/officeDocument/2006/relationships/hyperlink" Target="https://businesscentral.dynamics.com/51a4d646-152a-4a66-8cba-0e38561156f2/Production/?company=Unique%20Packaging%20Limited&amp;report=5801&amp;filter=Item.Field1:RM00169" TargetMode="External"/><Relationship Id="rId318" Type="http://schemas.openxmlformats.org/officeDocument/2006/relationships/hyperlink" Target="https://businesscentral.dynamics.com/51a4d646-152a-4a66-8cba-0e38561156f2/Production/?company=Unique%20Packaging%20Limited&amp;report=5801&amp;filter=Item.Field1:RM00168" TargetMode="External"/><Relationship Id="rId317" Type="http://schemas.openxmlformats.org/officeDocument/2006/relationships/hyperlink" Target="https://businesscentral.dynamics.com/51a4d646-152a-4a66-8cba-0e38561156f2/Production/?company=Unique%20Packaging%20Limited&amp;report=5801&amp;filter=Item.Field1:RM00167" TargetMode="External"/><Relationship Id="rId316" Type="http://schemas.openxmlformats.org/officeDocument/2006/relationships/hyperlink" Target="https://businesscentral.dynamics.com/51a4d646-152a-4a66-8cba-0e38561156f2/Production/?company=Unique%20Packaging%20Limited&amp;report=5801&amp;filter=Item.Field1:RM00166" TargetMode="External"/><Relationship Id="rId315" Type="http://schemas.openxmlformats.org/officeDocument/2006/relationships/hyperlink" Target="https://businesscentral.dynamics.com/51a4d646-152a-4a66-8cba-0e38561156f2/Production/?company=Unique%20Packaging%20Limited&amp;report=5801&amp;filter=Item.Field1:RM00165" TargetMode="External"/><Relationship Id="rId314" Type="http://schemas.openxmlformats.org/officeDocument/2006/relationships/hyperlink" Target="https://businesscentral.dynamics.com/51a4d646-152a-4a66-8cba-0e38561156f2/Production/?company=Unique%20Packaging%20Limited&amp;report=5801&amp;filter=Item.Field1:RM00164" TargetMode="External"/><Relationship Id="rId313" Type="http://schemas.openxmlformats.org/officeDocument/2006/relationships/hyperlink" Target="https://businesscentral.dynamics.com/51a4d646-152a-4a66-8cba-0e38561156f2/Production/?company=Unique%20Packaging%20Limited&amp;report=5801&amp;filter=Item.Field1:RM00163" TargetMode="External"/><Relationship Id="rId312" Type="http://schemas.openxmlformats.org/officeDocument/2006/relationships/hyperlink" Target="https://businesscentral.dynamics.com/51a4d646-152a-4a66-8cba-0e38561156f2/Production/?company=Unique%20Packaging%20Limited&amp;report=5801&amp;filter=Item.Field1:RM00162" TargetMode="External"/><Relationship Id="rId311" Type="http://schemas.openxmlformats.org/officeDocument/2006/relationships/hyperlink" Target="https://businesscentral.dynamics.com/51a4d646-152a-4a66-8cba-0e38561156f2/Production/?company=Unique%20Packaging%20Limited&amp;report=5801&amp;filter=Item.Field1:RM00161" TargetMode="External"/><Relationship Id="rId310" Type="http://schemas.openxmlformats.org/officeDocument/2006/relationships/hyperlink" Target="https://businesscentral.dynamics.com/51a4d646-152a-4a66-8cba-0e38561156f2/Production/?company=Unique%20Packaging%20Limited&amp;report=5801&amp;filter=Item.Field1:RM00159" TargetMode="External"/><Relationship Id="rId31" Type="http://schemas.openxmlformats.org/officeDocument/2006/relationships/hyperlink" Target="https://businesscentral.dynamics.com/51a4d646-152a-4a66-8cba-0e38561156f2/Production/?company=Unique%20Packaging%20Limited&amp;report=5801&amp;filter=Item.Field1:FG00033" TargetMode="External"/><Relationship Id="rId309" Type="http://schemas.openxmlformats.org/officeDocument/2006/relationships/hyperlink" Target="https://businesscentral.dynamics.com/51a4d646-152a-4a66-8cba-0e38561156f2/Production/?company=Unique%20Packaging%20Limited&amp;report=5801&amp;filter=Item.Field1:RM00158" TargetMode="External"/><Relationship Id="rId308" Type="http://schemas.openxmlformats.org/officeDocument/2006/relationships/hyperlink" Target="https://businesscentral.dynamics.com/51a4d646-152a-4a66-8cba-0e38561156f2/Production/?company=Unique%20Packaging%20Limited&amp;report=5801&amp;filter=Item.Field1:RM00156" TargetMode="External"/><Relationship Id="rId307" Type="http://schemas.openxmlformats.org/officeDocument/2006/relationships/hyperlink" Target="https://businesscentral.dynamics.com/51a4d646-152a-4a66-8cba-0e38561156f2/Production/?company=Unique%20Packaging%20Limited&amp;report=5801&amp;filter=Item.Field1:RM00155" TargetMode="External"/><Relationship Id="rId306" Type="http://schemas.openxmlformats.org/officeDocument/2006/relationships/hyperlink" Target="https://businesscentral.dynamics.com/51a4d646-152a-4a66-8cba-0e38561156f2/Production/?company=Unique%20Packaging%20Limited&amp;report=5801&amp;filter=Item.Field1:RM00154" TargetMode="External"/><Relationship Id="rId305" Type="http://schemas.openxmlformats.org/officeDocument/2006/relationships/hyperlink" Target="https://businesscentral.dynamics.com/51a4d646-152a-4a66-8cba-0e38561156f2/Production/?company=Unique%20Packaging%20Limited&amp;report=5801&amp;filter=Item.Field1:RM00153" TargetMode="External"/><Relationship Id="rId304" Type="http://schemas.openxmlformats.org/officeDocument/2006/relationships/hyperlink" Target="https://businesscentral.dynamics.com/51a4d646-152a-4a66-8cba-0e38561156f2/Production/?company=Unique%20Packaging%20Limited&amp;report=5801&amp;filter=Item.Field1:RM00151" TargetMode="External"/><Relationship Id="rId303" Type="http://schemas.openxmlformats.org/officeDocument/2006/relationships/hyperlink" Target="https://businesscentral.dynamics.com/51a4d646-152a-4a66-8cba-0e38561156f2/Production/?company=Unique%20Packaging%20Limited&amp;report=5801&amp;filter=Item.Field1:RM00150" TargetMode="External"/><Relationship Id="rId302" Type="http://schemas.openxmlformats.org/officeDocument/2006/relationships/hyperlink" Target="https://businesscentral.dynamics.com/51a4d646-152a-4a66-8cba-0e38561156f2/Production/?company=Unique%20Packaging%20Limited&amp;report=5801&amp;filter=Item.Field1:RM00149" TargetMode="External"/><Relationship Id="rId301" Type="http://schemas.openxmlformats.org/officeDocument/2006/relationships/hyperlink" Target="https://businesscentral.dynamics.com/51a4d646-152a-4a66-8cba-0e38561156f2/Production/?company=Unique%20Packaging%20Limited&amp;report=5801&amp;filter=Item.Field1:RM00144" TargetMode="External"/><Relationship Id="rId300" Type="http://schemas.openxmlformats.org/officeDocument/2006/relationships/hyperlink" Target="https://businesscentral.dynamics.com/51a4d646-152a-4a66-8cba-0e38561156f2/Production/?company=Unique%20Packaging%20Limited&amp;report=5801&amp;filter=Item.Field1:RM00143" TargetMode="External"/><Relationship Id="rId30" Type="http://schemas.openxmlformats.org/officeDocument/2006/relationships/hyperlink" Target="https://businesscentral.dynamics.com/51a4d646-152a-4a66-8cba-0e38561156f2/Production/?company=Unique%20Packaging%20Limited&amp;report=5801&amp;filter=Item.Field1:FG00032" TargetMode="External"/><Relationship Id="rId3" Type="http://schemas.openxmlformats.org/officeDocument/2006/relationships/hyperlink" Target="https://businesscentral.dynamics.com/51a4d646-152a-4a66-8cba-0e38561156f2/Production/?company=Unique%20Packaging%20Limited&amp;report=5801&amp;filter=Item.Field1:FG00003" TargetMode="External"/><Relationship Id="rId299" Type="http://schemas.openxmlformats.org/officeDocument/2006/relationships/hyperlink" Target="https://businesscentral.dynamics.com/51a4d646-152a-4a66-8cba-0e38561156f2/Production/?company=Unique%20Packaging%20Limited&amp;report=5801&amp;filter=Item.Field1:RM00124" TargetMode="External"/><Relationship Id="rId298" Type="http://schemas.openxmlformats.org/officeDocument/2006/relationships/hyperlink" Target="https://businesscentral.dynamics.com/51a4d646-152a-4a66-8cba-0e38561156f2/Production/?company=Unique%20Packaging%20Limited&amp;report=5801&amp;filter=Item.Field1:RM00123" TargetMode="External"/><Relationship Id="rId297" Type="http://schemas.openxmlformats.org/officeDocument/2006/relationships/hyperlink" Target="https://businesscentral.dynamics.com/51a4d646-152a-4a66-8cba-0e38561156f2/Production/?company=Unique%20Packaging%20Limited&amp;report=5801&amp;filter=Item.Field1:RM00122" TargetMode="External"/><Relationship Id="rId296" Type="http://schemas.openxmlformats.org/officeDocument/2006/relationships/hyperlink" Target="https://businesscentral.dynamics.com/51a4d646-152a-4a66-8cba-0e38561156f2/Production/?company=Unique%20Packaging%20Limited&amp;report=5801&amp;filter=Item.Field1:RM00121" TargetMode="External"/><Relationship Id="rId295" Type="http://schemas.openxmlformats.org/officeDocument/2006/relationships/hyperlink" Target="https://businesscentral.dynamics.com/51a4d646-152a-4a66-8cba-0e38561156f2/Production/?company=Unique%20Packaging%20Limited&amp;report=5801&amp;filter=Item.Field1:RM00120" TargetMode="External"/><Relationship Id="rId294" Type="http://schemas.openxmlformats.org/officeDocument/2006/relationships/hyperlink" Target="https://businesscentral.dynamics.com/51a4d646-152a-4a66-8cba-0e38561156f2/Production/?company=Unique%20Packaging%20Limited&amp;report=5801&amp;filter=Item.Field1:RM00119" TargetMode="External"/><Relationship Id="rId293" Type="http://schemas.openxmlformats.org/officeDocument/2006/relationships/hyperlink" Target="https://businesscentral.dynamics.com/51a4d646-152a-4a66-8cba-0e38561156f2/Production/?company=Unique%20Packaging%20Limited&amp;report=5801&amp;filter=Item.Field1:RM00117" TargetMode="External"/><Relationship Id="rId292" Type="http://schemas.openxmlformats.org/officeDocument/2006/relationships/hyperlink" Target="https://businesscentral.dynamics.com/51a4d646-152a-4a66-8cba-0e38561156f2/Production/?company=Unique%20Packaging%20Limited&amp;report=5801&amp;filter=Item.Field1:RM00116" TargetMode="External"/><Relationship Id="rId291" Type="http://schemas.openxmlformats.org/officeDocument/2006/relationships/hyperlink" Target="https://businesscentral.dynamics.com/51a4d646-152a-4a66-8cba-0e38561156f2/Production/?company=Unique%20Packaging%20Limited&amp;report=5801&amp;filter=Item.Field1:RM00115" TargetMode="External"/><Relationship Id="rId290" Type="http://schemas.openxmlformats.org/officeDocument/2006/relationships/hyperlink" Target="https://businesscentral.dynamics.com/51a4d646-152a-4a66-8cba-0e38561156f2/Production/?company=Unique%20Packaging%20Limited&amp;report=5801&amp;filter=Item.Field1:RM00114" TargetMode="External"/><Relationship Id="rId29" Type="http://schemas.openxmlformats.org/officeDocument/2006/relationships/hyperlink" Target="https://businesscentral.dynamics.com/51a4d646-152a-4a66-8cba-0e38561156f2/Production/?company=Unique%20Packaging%20Limited&amp;report=5801&amp;filter=Item.Field1:FG00031" TargetMode="External"/><Relationship Id="rId289" Type="http://schemas.openxmlformats.org/officeDocument/2006/relationships/hyperlink" Target="https://businesscentral.dynamics.com/51a4d646-152a-4a66-8cba-0e38561156f2/Production/?company=Unique%20Packaging%20Limited&amp;report=5801&amp;filter=Item.Field1:RM00108" TargetMode="External"/><Relationship Id="rId288" Type="http://schemas.openxmlformats.org/officeDocument/2006/relationships/hyperlink" Target="https://businesscentral.dynamics.com/51a4d646-152a-4a66-8cba-0e38561156f2/Production/?company=Unique%20Packaging%20Limited&amp;report=5801&amp;filter=Item.Field1:RM00107" TargetMode="External"/><Relationship Id="rId287" Type="http://schemas.openxmlformats.org/officeDocument/2006/relationships/hyperlink" Target="https://businesscentral.dynamics.com/51a4d646-152a-4a66-8cba-0e38561156f2/Production/?company=Unique%20Packaging%20Limited&amp;report=5801&amp;filter=Item.Field1:RM00105" TargetMode="External"/><Relationship Id="rId286" Type="http://schemas.openxmlformats.org/officeDocument/2006/relationships/hyperlink" Target="https://businesscentral.dynamics.com/51a4d646-152a-4a66-8cba-0e38561156f2/Production/?company=Unique%20Packaging%20Limited&amp;report=5801&amp;filter=Item.Field1:RM00101" TargetMode="External"/><Relationship Id="rId285" Type="http://schemas.openxmlformats.org/officeDocument/2006/relationships/hyperlink" Target="https://businesscentral.dynamics.com/51a4d646-152a-4a66-8cba-0e38561156f2/Production/?company=Unique%20Packaging%20Limited&amp;report=5801&amp;filter=Item.Field1:RM00093" TargetMode="External"/><Relationship Id="rId284" Type="http://schemas.openxmlformats.org/officeDocument/2006/relationships/hyperlink" Target="https://businesscentral.dynamics.com/51a4d646-152a-4a66-8cba-0e38561156f2/Production/?company=Unique%20Packaging%20Limited&amp;report=5801&amp;filter=Item.Field1:RM00092" TargetMode="External"/><Relationship Id="rId283" Type="http://schemas.openxmlformats.org/officeDocument/2006/relationships/hyperlink" Target="https://businesscentral.dynamics.com/51a4d646-152a-4a66-8cba-0e38561156f2/Production/?company=Unique%20Packaging%20Limited&amp;report=5801&amp;filter=Item.Field1:RM00091" TargetMode="External"/><Relationship Id="rId282" Type="http://schemas.openxmlformats.org/officeDocument/2006/relationships/hyperlink" Target="https://businesscentral.dynamics.com/51a4d646-152a-4a66-8cba-0e38561156f2/Production/?company=Unique%20Packaging%20Limited&amp;report=5801&amp;filter=Item.Field1:RM00088" TargetMode="External"/><Relationship Id="rId281" Type="http://schemas.openxmlformats.org/officeDocument/2006/relationships/hyperlink" Target="https://businesscentral.dynamics.com/51a4d646-152a-4a66-8cba-0e38561156f2/Production/?company=Unique%20Packaging%20Limited&amp;report=5801&amp;filter=Item.Field1:RM00084" TargetMode="External"/><Relationship Id="rId280" Type="http://schemas.openxmlformats.org/officeDocument/2006/relationships/hyperlink" Target="https://businesscentral.dynamics.com/51a4d646-152a-4a66-8cba-0e38561156f2/Production/?company=Unique%20Packaging%20Limited&amp;report=5801&amp;filter=Item.Field1:RM00081" TargetMode="External"/><Relationship Id="rId28" Type="http://schemas.openxmlformats.org/officeDocument/2006/relationships/hyperlink" Target="https://businesscentral.dynamics.com/51a4d646-152a-4a66-8cba-0e38561156f2/Production/?company=Unique%20Packaging%20Limited&amp;report=5801&amp;filter=Item.Field1:FG00030" TargetMode="External"/><Relationship Id="rId279" Type="http://schemas.openxmlformats.org/officeDocument/2006/relationships/hyperlink" Target="https://businesscentral.dynamics.com/51a4d646-152a-4a66-8cba-0e38561156f2/Production/?company=Unique%20Packaging%20Limited&amp;report=5801&amp;filter=Item.Field1:RM00079" TargetMode="External"/><Relationship Id="rId278" Type="http://schemas.openxmlformats.org/officeDocument/2006/relationships/hyperlink" Target="https://businesscentral.dynamics.com/51a4d646-152a-4a66-8cba-0e38561156f2/Production/?company=Unique%20Packaging%20Limited&amp;report=5801&amp;filter=Item.Field1:RM00074" TargetMode="External"/><Relationship Id="rId277" Type="http://schemas.openxmlformats.org/officeDocument/2006/relationships/hyperlink" Target="https://businesscentral.dynamics.com/51a4d646-152a-4a66-8cba-0e38561156f2/Production/?company=Unique%20Packaging%20Limited&amp;report=5801&amp;filter=Item.Field1:RM00073" TargetMode="External"/><Relationship Id="rId276" Type="http://schemas.openxmlformats.org/officeDocument/2006/relationships/hyperlink" Target="https://businesscentral.dynamics.com/51a4d646-152a-4a66-8cba-0e38561156f2/Production/?company=Unique%20Packaging%20Limited&amp;report=5801&amp;filter=Item.Field1:RM00066" TargetMode="External"/><Relationship Id="rId275" Type="http://schemas.openxmlformats.org/officeDocument/2006/relationships/hyperlink" Target="https://businesscentral.dynamics.com/51a4d646-152a-4a66-8cba-0e38561156f2/Production/?company=Unique%20Packaging%20Limited&amp;report=5801&amp;filter=Item.Field1:RM00063" TargetMode="External"/><Relationship Id="rId274" Type="http://schemas.openxmlformats.org/officeDocument/2006/relationships/hyperlink" Target="https://businesscentral.dynamics.com/51a4d646-152a-4a66-8cba-0e38561156f2/Production/?company=Unique%20Packaging%20Limited&amp;report=5801&amp;filter=Item.Field1:RM00059" TargetMode="External"/><Relationship Id="rId273" Type="http://schemas.openxmlformats.org/officeDocument/2006/relationships/hyperlink" Target="https://businesscentral.dynamics.com/51a4d646-152a-4a66-8cba-0e38561156f2/Production/?company=Unique%20Packaging%20Limited&amp;report=5801&amp;filter=Item.Field1:RM00057" TargetMode="External"/><Relationship Id="rId272" Type="http://schemas.openxmlformats.org/officeDocument/2006/relationships/hyperlink" Target="https://businesscentral.dynamics.com/51a4d646-152a-4a66-8cba-0e38561156f2/Production/?company=Unique%20Packaging%20Limited&amp;report=5801&amp;filter=Item.Field1:RM00055" TargetMode="External"/><Relationship Id="rId271" Type="http://schemas.openxmlformats.org/officeDocument/2006/relationships/hyperlink" Target="https://businesscentral.dynamics.com/51a4d646-152a-4a66-8cba-0e38561156f2/Production/?company=Unique%20Packaging%20Limited&amp;report=5801&amp;filter=Item.Field1:RM00049" TargetMode="External"/><Relationship Id="rId270" Type="http://schemas.openxmlformats.org/officeDocument/2006/relationships/hyperlink" Target="https://businesscentral.dynamics.com/51a4d646-152a-4a66-8cba-0e38561156f2/Production/?company=Unique%20Packaging%20Limited&amp;report=5801&amp;filter=Item.Field1:RM00048" TargetMode="External"/><Relationship Id="rId27" Type="http://schemas.openxmlformats.org/officeDocument/2006/relationships/hyperlink" Target="https://businesscentral.dynamics.com/51a4d646-152a-4a66-8cba-0e38561156f2/Production/?company=Unique%20Packaging%20Limited&amp;report=5801&amp;filter=Item.Field1:FG00029" TargetMode="External"/><Relationship Id="rId269" Type="http://schemas.openxmlformats.org/officeDocument/2006/relationships/hyperlink" Target="https://businesscentral.dynamics.com/51a4d646-152a-4a66-8cba-0e38561156f2/Production/?company=Unique%20Packaging%20Limited&amp;report=5801&amp;filter=Item.Field1:RM00047" TargetMode="External"/><Relationship Id="rId268" Type="http://schemas.openxmlformats.org/officeDocument/2006/relationships/hyperlink" Target="https://businesscentral.dynamics.com/51a4d646-152a-4a66-8cba-0e38561156f2/Production/?company=Unique%20Packaging%20Limited&amp;report=5801&amp;filter=Item.Field1:RM00046" TargetMode="External"/><Relationship Id="rId267" Type="http://schemas.openxmlformats.org/officeDocument/2006/relationships/hyperlink" Target="https://businesscentral.dynamics.com/51a4d646-152a-4a66-8cba-0e38561156f2/Production/?company=Unique%20Packaging%20Limited&amp;report=5801&amp;filter=Item.Field1:RM00044" TargetMode="External"/><Relationship Id="rId266" Type="http://schemas.openxmlformats.org/officeDocument/2006/relationships/hyperlink" Target="https://businesscentral.dynamics.com/51a4d646-152a-4a66-8cba-0e38561156f2/Production/?company=Unique%20Packaging%20Limited&amp;report=5801&amp;filter=Item.Field1:RM00043" TargetMode="External"/><Relationship Id="rId265" Type="http://schemas.openxmlformats.org/officeDocument/2006/relationships/hyperlink" Target="https://businesscentral.dynamics.com/51a4d646-152a-4a66-8cba-0e38561156f2/Production/?company=Unique%20Packaging%20Limited&amp;report=5801&amp;filter=Item.Field1:RM00042" TargetMode="External"/><Relationship Id="rId264" Type="http://schemas.openxmlformats.org/officeDocument/2006/relationships/hyperlink" Target="https://businesscentral.dynamics.com/51a4d646-152a-4a66-8cba-0e38561156f2/Production/?company=Unique%20Packaging%20Limited&amp;report=5801&amp;filter=Item.Field1:RM00041" TargetMode="External"/><Relationship Id="rId263" Type="http://schemas.openxmlformats.org/officeDocument/2006/relationships/hyperlink" Target="https://businesscentral.dynamics.com/51a4d646-152a-4a66-8cba-0e38561156f2/Production/?company=Unique%20Packaging%20Limited&amp;report=5801&amp;filter=Item.Field1:RM00040" TargetMode="External"/><Relationship Id="rId262" Type="http://schemas.openxmlformats.org/officeDocument/2006/relationships/hyperlink" Target="https://businesscentral.dynamics.com/51a4d646-152a-4a66-8cba-0e38561156f2/Production/?company=Unique%20Packaging%20Limited&amp;report=5801&amp;filter=Item.Field1:RM00039" TargetMode="External"/><Relationship Id="rId261" Type="http://schemas.openxmlformats.org/officeDocument/2006/relationships/hyperlink" Target="https://businesscentral.dynamics.com/51a4d646-152a-4a66-8cba-0e38561156f2/Production/?company=Unique%20Packaging%20Limited&amp;report=5801&amp;filter=Item.Field1:RM00036" TargetMode="External"/><Relationship Id="rId260" Type="http://schemas.openxmlformats.org/officeDocument/2006/relationships/hyperlink" Target="https://businesscentral.dynamics.com/51a4d646-152a-4a66-8cba-0e38561156f2/Production/?company=Unique%20Packaging%20Limited&amp;report=5801&amp;filter=Item.Field1:RM00035" TargetMode="External"/><Relationship Id="rId26" Type="http://schemas.openxmlformats.org/officeDocument/2006/relationships/hyperlink" Target="https://businesscentral.dynamics.com/51a4d646-152a-4a66-8cba-0e38561156f2/Production/?company=Unique%20Packaging%20Limited&amp;report=5801&amp;filter=Item.Field1:FG00028" TargetMode="External"/><Relationship Id="rId259" Type="http://schemas.openxmlformats.org/officeDocument/2006/relationships/hyperlink" Target="https://businesscentral.dynamics.com/51a4d646-152a-4a66-8cba-0e38561156f2/Production/?company=Unique%20Packaging%20Limited&amp;report=5801&amp;filter=Item.Field1:RM00034" TargetMode="External"/><Relationship Id="rId258" Type="http://schemas.openxmlformats.org/officeDocument/2006/relationships/hyperlink" Target="https://businesscentral.dynamics.com/51a4d646-152a-4a66-8cba-0e38561156f2/Production/?company=Unique%20Packaging%20Limited&amp;report=5801&amp;filter=Item.Field1:RM00033" TargetMode="External"/><Relationship Id="rId257" Type="http://schemas.openxmlformats.org/officeDocument/2006/relationships/hyperlink" Target="https://businesscentral.dynamics.com/51a4d646-152a-4a66-8cba-0e38561156f2/Production/?company=Unique%20Packaging%20Limited&amp;report=5801&amp;filter=Item.Field1:RM00030" TargetMode="External"/><Relationship Id="rId256" Type="http://schemas.openxmlformats.org/officeDocument/2006/relationships/hyperlink" Target="https://businesscentral.dynamics.com/51a4d646-152a-4a66-8cba-0e38561156f2/Production/?company=Unique%20Packaging%20Limited&amp;report=5801&amp;filter=Item.Field1:RM00029" TargetMode="External"/><Relationship Id="rId255" Type="http://schemas.openxmlformats.org/officeDocument/2006/relationships/hyperlink" Target="https://businesscentral.dynamics.com/51a4d646-152a-4a66-8cba-0e38561156f2/Production/?company=Unique%20Packaging%20Limited&amp;report=5801&amp;filter=Item.Field1:RM00028" TargetMode="External"/><Relationship Id="rId254" Type="http://schemas.openxmlformats.org/officeDocument/2006/relationships/hyperlink" Target="https://businesscentral.dynamics.com/51a4d646-152a-4a66-8cba-0e38561156f2/Production/?company=Unique%20Packaging%20Limited&amp;report=5801&amp;filter=Item.Field1:RM00027" TargetMode="External"/><Relationship Id="rId253" Type="http://schemas.openxmlformats.org/officeDocument/2006/relationships/hyperlink" Target="https://businesscentral.dynamics.com/51a4d646-152a-4a66-8cba-0e38561156f2/Production/?company=Unique%20Packaging%20Limited&amp;report=5801&amp;filter=Item.Field1:RM00025" TargetMode="External"/><Relationship Id="rId252" Type="http://schemas.openxmlformats.org/officeDocument/2006/relationships/hyperlink" Target="https://businesscentral.dynamics.com/51a4d646-152a-4a66-8cba-0e38561156f2/Production/?company=Unique%20Packaging%20Limited&amp;report=5801&amp;filter=Item.Field1:RM00024" TargetMode="External"/><Relationship Id="rId251" Type="http://schemas.openxmlformats.org/officeDocument/2006/relationships/hyperlink" Target="https://businesscentral.dynamics.com/51a4d646-152a-4a66-8cba-0e38561156f2/Production/?company=Unique%20Packaging%20Limited&amp;report=5801&amp;filter=Item.Field1:RM00023" TargetMode="External"/><Relationship Id="rId250" Type="http://schemas.openxmlformats.org/officeDocument/2006/relationships/hyperlink" Target="https://businesscentral.dynamics.com/51a4d646-152a-4a66-8cba-0e38561156f2/Production/?company=Unique%20Packaging%20Limited&amp;report=5801&amp;filter=Item.Field1:RM00022" TargetMode="External"/><Relationship Id="rId25" Type="http://schemas.openxmlformats.org/officeDocument/2006/relationships/hyperlink" Target="https://businesscentral.dynamics.com/51a4d646-152a-4a66-8cba-0e38561156f2/Production/?company=Unique%20Packaging%20Limited&amp;report=5801&amp;filter=Item.Field1:FG00027" TargetMode="External"/><Relationship Id="rId249" Type="http://schemas.openxmlformats.org/officeDocument/2006/relationships/hyperlink" Target="https://businesscentral.dynamics.com/51a4d646-152a-4a66-8cba-0e38561156f2/Production/?company=Unique%20Packaging%20Limited&amp;report=5801&amp;filter=Item.Field1:RM00021" TargetMode="External"/><Relationship Id="rId248" Type="http://schemas.openxmlformats.org/officeDocument/2006/relationships/hyperlink" Target="https://businesscentral.dynamics.com/51a4d646-152a-4a66-8cba-0e38561156f2/Production/?company=Unique%20Packaging%20Limited&amp;report=5801&amp;filter=Item.Field1:RM00020" TargetMode="External"/><Relationship Id="rId247" Type="http://schemas.openxmlformats.org/officeDocument/2006/relationships/hyperlink" Target="https://businesscentral.dynamics.com/51a4d646-152a-4a66-8cba-0e38561156f2/Production/?company=Unique%20Packaging%20Limited&amp;report=5801&amp;filter=Item.Field1:RM00019" TargetMode="External"/><Relationship Id="rId246" Type="http://schemas.openxmlformats.org/officeDocument/2006/relationships/hyperlink" Target="https://businesscentral.dynamics.com/51a4d646-152a-4a66-8cba-0e38561156f2/Production/?company=Unique%20Packaging%20Limited&amp;report=5801&amp;filter=Item.Field1:RM00018" TargetMode="External"/><Relationship Id="rId245" Type="http://schemas.openxmlformats.org/officeDocument/2006/relationships/hyperlink" Target="https://businesscentral.dynamics.com/51a4d646-152a-4a66-8cba-0e38561156f2/Production/?company=Unique%20Packaging%20Limited&amp;report=5801&amp;filter=Item.Field1:FG00380" TargetMode="External"/><Relationship Id="rId244" Type="http://schemas.openxmlformats.org/officeDocument/2006/relationships/hyperlink" Target="https://businesscentral.dynamics.com/51a4d646-152a-4a66-8cba-0e38561156f2/Production/?company=Unique%20Packaging%20Limited&amp;report=5801&amp;filter=Item.Field1:FG00379" TargetMode="External"/><Relationship Id="rId243" Type="http://schemas.openxmlformats.org/officeDocument/2006/relationships/hyperlink" Target="https://businesscentral.dynamics.com/51a4d646-152a-4a66-8cba-0e38561156f2/Production/?company=Unique%20Packaging%20Limited&amp;report=5801&amp;filter=Item.Field1:FG00378" TargetMode="External"/><Relationship Id="rId242" Type="http://schemas.openxmlformats.org/officeDocument/2006/relationships/hyperlink" Target="https://businesscentral.dynamics.com/51a4d646-152a-4a66-8cba-0e38561156f2/Production/?company=Unique%20Packaging%20Limited&amp;report=5801&amp;filter=Item.Field1:FG00377" TargetMode="External"/><Relationship Id="rId241" Type="http://schemas.openxmlformats.org/officeDocument/2006/relationships/hyperlink" Target="https://businesscentral.dynamics.com/51a4d646-152a-4a66-8cba-0e38561156f2/Production/?company=Unique%20Packaging%20Limited&amp;report=5801&amp;filter=Item.Field1:FG00376" TargetMode="External"/><Relationship Id="rId240" Type="http://schemas.openxmlformats.org/officeDocument/2006/relationships/hyperlink" Target="https://businesscentral.dynamics.com/51a4d646-152a-4a66-8cba-0e38561156f2/Production/?company=Unique%20Packaging%20Limited&amp;report=5801&amp;filter=Item.Field1:FG00372" TargetMode="External"/><Relationship Id="rId24" Type="http://schemas.openxmlformats.org/officeDocument/2006/relationships/hyperlink" Target="https://businesscentral.dynamics.com/51a4d646-152a-4a66-8cba-0e38561156f2/Production/?company=Unique%20Packaging%20Limited&amp;report=5801&amp;filter=Item.Field1:FG00026" TargetMode="External"/><Relationship Id="rId239" Type="http://schemas.openxmlformats.org/officeDocument/2006/relationships/hyperlink" Target="https://businesscentral.dynamics.com/51a4d646-152a-4a66-8cba-0e38561156f2/Production/?company=Unique%20Packaging%20Limited&amp;report=5801&amp;filter=Item.Field1:FG00371" TargetMode="External"/><Relationship Id="rId238" Type="http://schemas.openxmlformats.org/officeDocument/2006/relationships/hyperlink" Target="https://businesscentral.dynamics.com/51a4d646-152a-4a66-8cba-0e38561156f2/Production/?company=Unique%20Packaging%20Limited&amp;report=5801&amp;filter=Item.Field1:FG00370" TargetMode="External"/><Relationship Id="rId237" Type="http://schemas.openxmlformats.org/officeDocument/2006/relationships/hyperlink" Target="https://businesscentral.dynamics.com/51a4d646-152a-4a66-8cba-0e38561156f2/Production/?company=Unique%20Packaging%20Limited&amp;report=5801&amp;filter=Item.Field1:FG00369" TargetMode="External"/><Relationship Id="rId236" Type="http://schemas.openxmlformats.org/officeDocument/2006/relationships/hyperlink" Target="https://businesscentral.dynamics.com/51a4d646-152a-4a66-8cba-0e38561156f2/Production/?company=Unique%20Packaging%20Limited&amp;report=5801&amp;filter=Item.Field1:FG00367" TargetMode="External"/><Relationship Id="rId235" Type="http://schemas.openxmlformats.org/officeDocument/2006/relationships/hyperlink" Target="https://businesscentral.dynamics.com/51a4d646-152a-4a66-8cba-0e38561156f2/Production/?company=Unique%20Packaging%20Limited&amp;report=5801&amp;filter=Item.Field1:FG00366" TargetMode="External"/><Relationship Id="rId234" Type="http://schemas.openxmlformats.org/officeDocument/2006/relationships/hyperlink" Target="https://businesscentral.dynamics.com/51a4d646-152a-4a66-8cba-0e38561156f2/Production/?company=Unique%20Packaging%20Limited&amp;report=5801&amp;filter=Item.Field1:FG00365" TargetMode="External"/><Relationship Id="rId233" Type="http://schemas.openxmlformats.org/officeDocument/2006/relationships/hyperlink" Target="https://businesscentral.dynamics.com/51a4d646-152a-4a66-8cba-0e38561156f2/Production/?company=Unique%20Packaging%20Limited&amp;report=5801&amp;filter=Item.Field1:FG00364" TargetMode="External"/><Relationship Id="rId232" Type="http://schemas.openxmlformats.org/officeDocument/2006/relationships/hyperlink" Target="https://businesscentral.dynamics.com/51a4d646-152a-4a66-8cba-0e38561156f2/Production/?company=Unique%20Packaging%20Limited&amp;report=5801&amp;filter=Item.Field1:FG00362" TargetMode="External"/><Relationship Id="rId231" Type="http://schemas.openxmlformats.org/officeDocument/2006/relationships/hyperlink" Target="https://businesscentral.dynamics.com/51a4d646-152a-4a66-8cba-0e38561156f2/Production/?company=Unique%20Packaging%20Limited&amp;report=5801&amp;filter=Item.Field1:FG00361" TargetMode="External"/><Relationship Id="rId230" Type="http://schemas.openxmlformats.org/officeDocument/2006/relationships/hyperlink" Target="https://businesscentral.dynamics.com/51a4d646-152a-4a66-8cba-0e38561156f2/Production/?company=Unique%20Packaging%20Limited&amp;report=5801&amp;filter=Item.Field1:FG00357" TargetMode="External"/><Relationship Id="rId23" Type="http://schemas.openxmlformats.org/officeDocument/2006/relationships/hyperlink" Target="https://businesscentral.dynamics.com/51a4d646-152a-4a66-8cba-0e38561156f2/Production/?company=Unique%20Packaging%20Limited&amp;report=5801&amp;filter=Item.Field1:FG00025" TargetMode="External"/><Relationship Id="rId229" Type="http://schemas.openxmlformats.org/officeDocument/2006/relationships/hyperlink" Target="https://businesscentral.dynamics.com/51a4d646-152a-4a66-8cba-0e38561156f2/Production/?company=Unique%20Packaging%20Limited&amp;report=5801&amp;filter=Item.Field1:FG00355" TargetMode="External"/><Relationship Id="rId228" Type="http://schemas.openxmlformats.org/officeDocument/2006/relationships/hyperlink" Target="https://businesscentral.dynamics.com/51a4d646-152a-4a66-8cba-0e38561156f2/Production/?company=Unique%20Packaging%20Limited&amp;report=5801&amp;filter=Item.Field1:FG00354" TargetMode="External"/><Relationship Id="rId227" Type="http://schemas.openxmlformats.org/officeDocument/2006/relationships/hyperlink" Target="https://businesscentral.dynamics.com/51a4d646-152a-4a66-8cba-0e38561156f2/Production/?company=Unique%20Packaging%20Limited&amp;report=5801&amp;filter=Item.Field1:FG00353" TargetMode="External"/><Relationship Id="rId226" Type="http://schemas.openxmlformats.org/officeDocument/2006/relationships/hyperlink" Target="https://businesscentral.dynamics.com/51a4d646-152a-4a66-8cba-0e38561156f2/Production/?company=Unique%20Packaging%20Limited&amp;report=5801&amp;filter=Item.Field1:FG00352" TargetMode="External"/><Relationship Id="rId225" Type="http://schemas.openxmlformats.org/officeDocument/2006/relationships/hyperlink" Target="https://businesscentral.dynamics.com/51a4d646-152a-4a66-8cba-0e38561156f2/Production/?company=Unique%20Packaging%20Limited&amp;report=5801&amp;filter=Item.Field1:FG00350" TargetMode="External"/><Relationship Id="rId224" Type="http://schemas.openxmlformats.org/officeDocument/2006/relationships/hyperlink" Target="https://businesscentral.dynamics.com/51a4d646-152a-4a66-8cba-0e38561156f2/Production/?company=Unique%20Packaging%20Limited&amp;report=5801&amp;filter=Item.Field1:FG00349" TargetMode="External"/><Relationship Id="rId223" Type="http://schemas.openxmlformats.org/officeDocument/2006/relationships/hyperlink" Target="https://businesscentral.dynamics.com/51a4d646-152a-4a66-8cba-0e38561156f2/Production/?company=Unique%20Packaging%20Limited&amp;report=5801&amp;filter=Item.Field1:FG00348" TargetMode="External"/><Relationship Id="rId222" Type="http://schemas.openxmlformats.org/officeDocument/2006/relationships/hyperlink" Target="https://businesscentral.dynamics.com/51a4d646-152a-4a66-8cba-0e38561156f2/Production/?company=Unique%20Packaging%20Limited&amp;report=5801&amp;filter=Item.Field1:FG00337" TargetMode="External"/><Relationship Id="rId221" Type="http://schemas.openxmlformats.org/officeDocument/2006/relationships/hyperlink" Target="https://businesscentral.dynamics.com/51a4d646-152a-4a66-8cba-0e38561156f2/Production/?company=Unique%20Packaging%20Limited&amp;report=5801&amp;filter=Item.Field1:FG00336" TargetMode="External"/><Relationship Id="rId220" Type="http://schemas.openxmlformats.org/officeDocument/2006/relationships/hyperlink" Target="https://businesscentral.dynamics.com/51a4d646-152a-4a66-8cba-0e38561156f2/Production/?company=Unique%20Packaging%20Limited&amp;report=5801&amp;filter=Item.Field1:FG00333" TargetMode="External"/><Relationship Id="rId22" Type="http://schemas.openxmlformats.org/officeDocument/2006/relationships/hyperlink" Target="https://businesscentral.dynamics.com/51a4d646-152a-4a66-8cba-0e38561156f2/Production/?company=Unique%20Packaging%20Limited&amp;report=5801&amp;filter=Item.Field1:FG00024" TargetMode="External"/><Relationship Id="rId219" Type="http://schemas.openxmlformats.org/officeDocument/2006/relationships/hyperlink" Target="https://businesscentral.dynamics.com/51a4d646-152a-4a66-8cba-0e38561156f2/Production/?company=Unique%20Packaging%20Limited&amp;report=5801&amp;filter=Item.Field1:FG00332" TargetMode="External"/><Relationship Id="rId218" Type="http://schemas.openxmlformats.org/officeDocument/2006/relationships/hyperlink" Target="https://businesscentral.dynamics.com/51a4d646-152a-4a66-8cba-0e38561156f2/Production/?company=Unique%20Packaging%20Limited&amp;report=5801&amp;filter=Item.Field1:FG00331" TargetMode="External"/><Relationship Id="rId217" Type="http://schemas.openxmlformats.org/officeDocument/2006/relationships/hyperlink" Target="https://businesscentral.dynamics.com/51a4d646-152a-4a66-8cba-0e38561156f2/Production/?company=Unique%20Packaging%20Limited&amp;report=5801&amp;filter=Item.Field1:FG00328" TargetMode="External"/><Relationship Id="rId216" Type="http://schemas.openxmlformats.org/officeDocument/2006/relationships/hyperlink" Target="https://businesscentral.dynamics.com/51a4d646-152a-4a66-8cba-0e38561156f2/Production/?company=Unique%20Packaging%20Limited&amp;report=5801&amp;filter=Item.Field1:FG00327" TargetMode="External"/><Relationship Id="rId215" Type="http://schemas.openxmlformats.org/officeDocument/2006/relationships/hyperlink" Target="https://businesscentral.dynamics.com/51a4d646-152a-4a66-8cba-0e38561156f2/Production/?company=Unique%20Packaging%20Limited&amp;report=5801&amp;filter=Item.Field1:FG00326" TargetMode="External"/><Relationship Id="rId214" Type="http://schemas.openxmlformats.org/officeDocument/2006/relationships/hyperlink" Target="https://businesscentral.dynamics.com/51a4d646-152a-4a66-8cba-0e38561156f2/Production/?company=Unique%20Packaging%20Limited&amp;report=5801&amp;filter=Item.Field1:FG00325" TargetMode="External"/><Relationship Id="rId213" Type="http://schemas.openxmlformats.org/officeDocument/2006/relationships/hyperlink" Target="https://businesscentral.dynamics.com/51a4d646-152a-4a66-8cba-0e38561156f2/Production/?company=Unique%20Packaging%20Limited&amp;report=5801&amp;filter=Item.Field1:FG00316" TargetMode="External"/><Relationship Id="rId212" Type="http://schemas.openxmlformats.org/officeDocument/2006/relationships/hyperlink" Target="https://businesscentral.dynamics.com/51a4d646-152a-4a66-8cba-0e38561156f2/Production/?company=Unique%20Packaging%20Limited&amp;report=5801&amp;filter=Item.Field1:FG00315" TargetMode="External"/><Relationship Id="rId211" Type="http://schemas.openxmlformats.org/officeDocument/2006/relationships/hyperlink" Target="https://businesscentral.dynamics.com/51a4d646-152a-4a66-8cba-0e38561156f2/Production/?company=Unique%20Packaging%20Limited&amp;report=5801&amp;filter=Item.Field1:FG00299" TargetMode="External"/><Relationship Id="rId210" Type="http://schemas.openxmlformats.org/officeDocument/2006/relationships/hyperlink" Target="https://businesscentral.dynamics.com/51a4d646-152a-4a66-8cba-0e38561156f2/Production/?company=Unique%20Packaging%20Limited&amp;report=5801&amp;filter=Item.Field1:FG00298" TargetMode="External"/><Relationship Id="rId21" Type="http://schemas.openxmlformats.org/officeDocument/2006/relationships/hyperlink" Target="https://businesscentral.dynamics.com/51a4d646-152a-4a66-8cba-0e38561156f2/Production/?company=Unique%20Packaging%20Limited&amp;report=5801&amp;filter=Item.Field1:FG00023" TargetMode="External"/><Relationship Id="rId209" Type="http://schemas.openxmlformats.org/officeDocument/2006/relationships/hyperlink" Target="https://businesscentral.dynamics.com/51a4d646-152a-4a66-8cba-0e38561156f2/Production/?company=Unique%20Packaging%20Limited&amp;report=5801&amp;filter=Item.Field1:FG00297" TargetMode="External"/><Relationship Id="rId208" Type="http://schemas.openxmlformats.org/officeDocument/2006/relationships/hyperlink" Target="https://businesscentral.dynamics.com/51a4d646-152a-4a66-8cba-0e38561156f2/Production/?company=Unique%20Packaging%20Limited&amp;report=5801&amp;filter=Item.Field1:FG00296" TargetMode="External"/><Relationship Id="rId207" Type="http://schemas.openxmlformats.org/officeDocument/2006/relationships/hyperlink" Target="https://businesscentral.dynamics.com/51a4d646-152a-4a66-8cba-0e38561156f2/Production/?company=Unique%20Packaging%20Limited&amp;report=5801&amp;filter=Item.Field1:FG00294" TargetMode="External"/><Relationship Id="rId206" Type="http://schemas.openxmlformats.org/officeDocument/2006/relationships/hyperlink" Target="https://businesscentral.dynamics.com/51a4d646-152a-4a66-8cba-0e38561156f2/Production/?company=Unique%20Packaging%20Limited&amp;report=5801&amp;filter=Item.Field1:FG00293" TargetMode="External"/><Relationship Id="rId205" Type="http://schemas.openxmlformats.org/officeDocument/2006/relationships/hyperlink" Target="https://businesscentral.dynamics.com/51a4d646-152a-4a66-8cba-0e38561156f2/Production/?company=Unique%20Packaging%20Limited&amp;report=5801&amp;filter=Item.Field1:FG00290" TargetMode="External"/><Relationship Id="rId204" Type="http://schemas.openxmlformats.org/officeDocument/2006/relationships/hyperlink" Target="https://businesscentral.dynamics.com/51a4d646-152a-4a66-8cba-0e38561156f2/Production/?company=Unique%20Packaging%20Limited&amp;report=5801&amp;filter=Item.Field1:FG00289" TargetMode="External"/><Relationship Id="rId203" Type="http://schemas.openxmlformats.org/officeDocument/2006/relationships/hyperlink" Target="https://businesscentral.dynamics.com/51a4d646-152a-4a66-8cba-0e38561156f2/Production/?company=Unique%20Packaging%20Limited&amp;report=5801&amp;filter=Item.Field1:FG00283" TargetMode="External"/><Relationship Id="rId202" Type="http://schemas.openxmlformats.org/officeDocument/2006/relationships/hyperlink" Target="https://businesscentral.dynamics.com/51a4d646-152a-4a66-8cba-0e38561156f2/Production/?company=Unique%20Packaging%20Limited&amp;report=5801&amp;filter=Item.Field1:FG00272" TargetMode="External"/><Relationship Id="rId201" Type="http://schemas.openxmlformats.org/officeDocument/2006/relationships/hyperlink" Target="https://businesscentral.dynamics.com/51a4d646-152a-4a66-8cba-0e38561156f2/Production/?company=Unique%20Packaging%20Limited&amp;report=5801&amp;filter=Item.Field1:FG00270" TargetMode="External"/><Relationship Id="rId200" Type="http://schemas.openxmlformats.org/officeDocument/2006/relationships/hyperlink" Target="https://businesscentral.dynamics.com/51a4d646-152a-4a66-8cba-0e38561156f2/Production/?company=Unique%20Packaging%20Limited&amp;report=5801&amp;filter=Item.Field1:FG00268" TargetMode="External"/><Relationship Id="rId20" Type="http://schemas.openxmlformats.org/officeDocument/2006/relationships/hyperlink" Target="https://businesscentral.dynamics.com/51a4d646-152a-4a66-8cba-0e38561156f2/Production/?company=Unique%20Packaging%20Limited&amp;report=5801&amp;filter=Item.Field1:FG00020" TargetMode="External"/><Relationship Id="rId2" Type="http://schemas.openxmlformats.org/officeDocument/2006/relationships/hyperlink" Target="https://businesscentral.dynamics.com/51a4d646-152a-4a66-8cba-0e38561156f2/Production/?company=Unique%20Packaging%20Limited&amp;report=5801&amp;filter=Item.Field1:FG00002" TargetMode="External"/><Relationship Id="rId199" Type="http://schemas.openxmlformats.org/officeDocument/2006/relationships/hyperlink" Target="https://businesscentral.dynamics.com/51a4d646-152a-4a66-8cba-0e38561156f2/Production/?company=Unique%20Packaging%20Limited&amp;report=5801&amp;filter=Item.Field1:FG00267" TargetMode="External"/><Relationship Id="rId198" Type="http://schemas.openxmlformats.org/officeDocument/2006/relationships/hyperlink" Target="https://businesscentral.dynamics.com/51a4d646-152a-4a66-8cba-0e38561156f2/Production/?company=Unique%20Packaging%20Limited&amp;report=5801&amp;filter=Item.Field1:FG00264" TargetMode="External"/><Relationship Id="rId197" Type="http://schemas.openxmlformats.org/officeDocument/2006/relationships/hyperlink" Target="https://businesscentral.dynamics.com/51a4d646-152a-4a66-8cba-0e38561156f2/Production/?company=Unique%20Packaging%20Limited&amp;report=5801&amp;filter=Item.Field1:FG00262" TargetMode="External"/><Relationship Id="rId196" Type="http://schemas.openxmlformats.org/officeDocument/2006/relationships/hyperlink" Target="https://businesscentral.dynamics.com/51a4d646-152a-4a66-8cba-0e38561156f2/Production/?company=Unique%20Packaging%20Limited&amp;report=5801&amp;filter=Item.Field1:FG00260" TargetMode="External"/><Relationship Id="rId195" Type="http://schemas.openxmlformats.org/officeDocument/2006/relationships/hyperlink" Target="https://businesscentral.dynamics.com/51a4d646-152a-4a66-8cba-0e38561156f2/Production/?company=Unique%20Packaging%20Limited&amp;report=5801&amp;filter=Item.Field1:FG00257" TargetMode="External"/><Relationship Id="rId194" Type="http://schemas.openxmlformats.org/officeDocument/2006/relationships/hyperlink" Target="https://businesscentral.dynamics.com/51a4d646-152a-4a66-8cba-0e38561156f2/Production/?company=Unique%20Packaging%20Limited&amp;report=5801&amp;filter=Item.Field1:FG00255" TargetMode="External"/><Relationship Id="rId193" Type="http://schemas.openxmlformats.org/officeDocument/2006/relationships/hyperlink" Target="https://businesscentral.dynamics.com/51a4d646-152a-4a66-8cba-0e38561156f2/Production/?company=Unique%20Packaging%20Limited&amp;report=5801&amp;filter=Item.Field1:FG00253" TargetMode="External"/><Relationship Id="rId192" Type="http://schemas.openxmlformats.org/officeDocument/2006/relationships/hyperlink" Target="https://businesscentral.dynamics.com/51a4d646-152a-4a66-8cba-0e38561156f2/Production/?company=Unique%20Packaging%20Limited&amp;report=5801&amp;filter=Item.Field1:FG00252" TargetMode="External"/><Relationship Id="rId191" Type="http://schemas.openxmlformats.org/officeDocument/2006/relationships/hyperlink" Target="https://businesscentral.dynamics.com/51a4d646-152a-4a66-8cba-0e38561156f2/Production/?company=Unique%20Packaging%20Limited&amp;report=5801&amp;filter=Item.Field1:FG00249" TargetMode="External"/><Relationship Id="rId190" Type="http://schemas.openxmlformats.org/officeDocument/2006/relationships/hyperlink" Target="https://businesscentral.dynamics.com/51a4d646-152a-4a66-8cba-0e38561156f2/Production/?company=Unique%20Packaging%20Limited&amp;report=5801&amp;filter=Item.Field1:FG00247" TargetMode="External"/><Relationship Id="rId19" Type="http://schemas.openxmlformats.org/officeDocument/2006/relationships/hyperlink" Target="https://businesscentral.dynamics.com/51a4d646-152a-4a66-8cba-0e38561156f2/Production/?company=Unique%20Packaging%20Limited&amp;report=5801&amp;filter=Item.Field1:FG00019" TargetMode="External"/><Relationship Id="rId189" Type="http://schemas.openxmlformats.org/officeDocument/2006/relationships/hyperlink" Target="https://businesscentral.dynamics.com/51a4d646-152a-4a66-8cba-0e38561156f2/Production/?company=Unique%20Packaging%20Limited&amp;report=5801&amp;filter=Item.Field1:FG00245" TargetMode="External"/><Relationship Id="rId188" Type="http://schemas.openxmlformats.org/officeDocument/2006/relationships/hyperlink" Target="https://businesscentral.dynamics.com/51a4d646-152a-4a66-8cba-0e38561156f2/Production/?company=Unique%20Packaging%20Limited&amp;report=5801&amp;filter=Item.Field1:FG00243" TargetMode="External"/><Relationship Id="rId187" Type="http://schemas.openxmlformats.org/officeDocument/2006/relationships/hyperlink" Target="https://businesscentral.dynamics.com/51a4d646-152a-4a66-8cba-0e38561156f2/Production/?company=Unique%20Packaging%20Limited&amp;report=5801&amp;filter=Item.Field1:FG00242" TargetMode="External"/><Relationship Id="rId186" Type="http://schemas.openxmlformats.org/officeDocument/2006/relationships/hyperlink" Target="https://businesscentral.dynamics.com/51a4d646-152a-4a66-8cba-0e38561156f2/Production/?company=Unique%20Packaging%20Limited&amp;report=5801&amp;filter=Item.Field1:FG00241" TargetMode="External"/><Relationship Id="rId185" Type="http://schemas.openxmlformats.org/officeDocument/2006/relationships/hyperlink" Target="https://businesscentral.dynamics.com/51a4d646-152a-4a66-8cba-0e38561156f2/Production/?company=Unique%20Packaging%20Limited&amp;report=5801&amp;filter=Item.Field1:FG00240" TargetMode="External"/><Relationship Id="rId184" Type="http://schemas.openxmlformats.org/officeDocument/2006/relationships/hyperlink" Target="https://businesscentral.dynamics.com/51a4d646-152a-4a66-8cba-0e38561156f2/Production/?company=Unique%20Packaging%20Limited&amp;report=5801&amp;filter=Item.Field1:FG00238" TargetMode="External"/><Relationship Id="rId183" Type="http://schemas.openxmlformats.org/officeDocument/2006/relationships/hyperlink" Target="https://businesscentral.dynamics.com/51a4d646-152a-4a66-8cba-0e38561156f2/Production/?company=Unique%20Packaging%20Limited&amp;report=5801&amp;filter=Item.Field1:FG00237" TargetMode="External"/><Relationship Id="rId182" Type="http://schemas.openxmlformats.org/officeDocument/2006/relationships/hyperlink" Target="https://businesscentral.dynamics.com/51a4d646-152a-4a66-8cba-0e38561156f2/Production/?company=Unique%20Packaging%20Limited&amp;report=5801&amp;filter=Item.Field1:FG00236" TargetMode="External"/><Relationship Id="rId181" Type="http://schemas.openxmlformats.org/officeDocument/2006/relationships/hyperlink" Target="https://businesscentral.dynamics.com/51a4d646-152a-4a66-8cba-0e38561156f2/Production/?company=Unique%20Packaging%20Limited&amp;report=5801&amp;filter=Item.Field1:FG00234" TargetMode="External"/><Relationship Id="rId180" Type="http://schemas.openxmlformats.org/officeDocument/2006/relationships/hyperlink" Target="https://businesscentral.dynamics.com/51a4d646-152a-4a66-8cba-0e38561156f2/Production/?company=Unique%20Packaging%20Limited&amp;report=5801&amp;filter=Item.Field1:FG00230" TargetMode="External"/><Relationship Id="rId18" Type="http://schemas.openxmlformats.org/officeDocument/2006/relationships/hyperlink" Target="https://businesscentral.dynamics.com/51a4d646-152a-4a66-8cba-0e38561156f2/Production/?company=Unique%20Packaging%20Limited&amp;report=5801&amp;filter=Item.Field1:FG00018" TargetMode="External"/><Relationship Id="rId179" Type="http://schemas.openxmlformats.org/officeDocument/2006/relationships/hyperlink" Target="https://businesscentral.dynamics.com/51a4d646-152a-4a66-8cba-0e38561156f2/Production/?company=Unique%20Packaging%20Limited&amp;report=5801&amp;filter=Item.Field1:FG00229" TargetMode="External"/><Relationship Id="rId178" Type="http://schemas.openxmlformats.org/officeDocument/2006/relationships/hyperlink" Target="https://businesscentral.dynamics.com/51a4d646-152a-4a66-8cba-0e38561156f2/Production/?company=Unique%20Packaging%20Limited&amp;report=5801&amp;filter=Item.Field1:FG00228" TargetMode="External"/><Relationship Id="rId177" Type="http://schemas.openxmlformats.org/officeDocument/2006/relationships/hyperlink" Target="https://businesscentral.dynamics.com/51a4d646-152a-4a66-8cba-0e38561156f2/Production/?company=Unique%20Packaging%20Limited&amp;report=5801&amp;filter=Item.Field1:FG00227" TargetMode="External"/><Relationship Id="rId176" Type="http://schemas.openxmlformats.org/officeDocument/2006/relationships/hyperlink" Target="https://businesscentral.dynamics.com/51a4d646-152a-4a66-8cba-0e38561156f2/Production/?company=Unique%20Packaging%20Limited&amp;report=5801&amp;filter=Item.Field1:FG00226" TargetMode="External"/><Relationship Id="rId175" Type="http://schemas.openxmlformats.org/officeDocument/2006/relationships/hyperlink" Target="https://businesscentral.dynamics.com/51a4d646-152a-4a66-8cba-0e38561156f2/Production/?company=Unique%20Packaging%20Limited&amp;report=5801&amp;filter=Item.Field1:FG00223" TargetMode="External"/><Relationship Id="rId174" Type="http://schemas.openxmlformats.org/officeDocument/2006/relationships/hyperlink" Target="https://businesscentral.dynamics.com/51a4d646-152a-4a66-8cba-0e38561156f2/Production/?company=Unique%20Packaging%20Limited&amp;report=5801&amp;filter=Item.Field1:FG00222" TargetMode="External"/><Relationship Id="rId173" Type="http://schemas.openxmlformats.org/officeDocument/2006/relationships/hyperlink" Target="https://businesscentral.dynamics.com/51a4d646-152a-4a66-8cba-0e38561156f2/Production/?company=Unique%20Packaging%20Limited&amp;report=5801&amp;filter=Item.Field1:FG00221" TargetMode="External"/><Relationship Id="rId172" Type="http://schemas.openxmlformats.org/officeDocument/2006/relationships/hyperlink" Target="https://businesscentral.dynamics.com/51a4d646-152a-4a66-8cba-0e38561156f2/Production/?company=Unique%20Packaging%20Limited&amp;report=5801&amp;filter=Item.Field1:FG00219" TargetMode="External"/><Relationship Id="rId171" Type="http://schemas.openxmlformats.org/officeDocument/2006/relationships/hyperlink" Target="https://businesscentral.dynamics.com/51a4d646-152a-4a66-8cba-0e38561156f2/Production/?company=Unique%20Packaging%20Limited&amp;report=5801&amp;filter=Item.Field1:FG00218" TargetMode="External"/><Relationship Id="rId170" Type="http://schemas.openxmlformats.org/officeDocument/2006/relationships/hyperlink" Target="https://businesscentral.dynamics.com/51a4d646-152a-4a66-8cba-0e38561156f2/Production/?company=Unique%20Packaging%20Limited&amp;report=5801&amp;filter=Item.Field1:FG00217" TargetMode="External"/><Relationship Id="rId17" Type="http://schemas.openxmlformats.org/officeDocument/2006/relationships/hyperlink" Target="https://businesscentral.dynamics.com/51a4d646-152a-4a66-8cba-0e38561156f2/Production/?company=Unique%20Packaging%20Limited&amp;report=5801&amp;filter=Item.Field1:FG00017" TargetMode="External"/><Relationship Id="rId169" Type="http://schemas.openxmlformats.org/officeDocument/2006/relationships/hyperlink" Target="https://businesscentral.dynamics.com/51a4d646-152a-4a66-8cba-0e38561156f2/Production/?company=Unique%20Packaging%20Limited&amp;report=5801&amp;filter=Item.Field1:FG00215" TargetMode="External"/><Relationship Id="rId168" Type="http://schemas.openxmlformats.org/officeDocument/2006/relationships/hyperlink" Target="https://businesscentral.dynamics.com/51a4d646-152a-4a66-8cba-0e38561156f2/Production/?company=Unique%20Packaging%20Limited&amp;report=5801&amp;filter=Item.Field1:FG00214" TargetMode="External"/><Relationship Id="rId167" Type="http://schemas.openxmlformats.org/officeDocument/2006/relationships/hyperlink" Target="https://businesscentral.dynamics.com/51a4d646-152a-4a66-8cba-0e38561156f2/Production/?company=Unique%20Packaging%20Limited&amp;report=5801&amp;filter=Item.Field1:FG00213" TargetMode="External"/><Relationship Id="rId166" Type="http://schemas.openxmlformats.org/officeDocument/2006/relationships/hyperlink" Target="https://businesscentral.dynamics.com/51a4d646-152a-4a66-8cba-0e38561156f2/Production/?company=Unique%20Packaging%20Limited&amp;report=5801&amp;filter=Item.Field1:FG00212" TargetMode="External"/><Relationship Id="rId165" Type="http://schemas.openxmlformats.org/officeDocument/2006/relationships/hyperlink" Target="https://businesscentral.dynamics.com/51a4d646-152a-4a66-8cba-0e38561156f2/Production/?company=Unique%20Packaging%20Limited&amp;report=5801&amp;filter=Item.Field1:FG00211" TargetMode="External"/><Relationship Id="rId164" Type="http://schemas.openxmlformats.org/officeDocument/2006/relationships/hyperlink" Target="https://businesscentral.dynamics.com/51a4d646-152a-4a66-8cba-0e38561156f2/Production/?company=Unique%20Packaging%20Limited&amp;report=5801&amp;filter=Item.Field1:FG00209" TargetMode="External"/><Relationship Id="rId163" Type="http://schemas.openxmlformats.org/officeDocument/2006/relationships/hyperlink" Target="https://businesscentral.dynamics.com/51a4d646-152a-4a66-8cba-0e38561156f2/Production/?company=Unique%20Packaging%20Limited&amp;report=5801&amp;filter=Item.Field1:FG00208" TargetMode="External"/><Relationship Id="rId162" Type="http://schemas.openxmlformats.org/officeDocument/2006/relationships/hyperlink" Target="https://businesscentral.dynamics.com/51a4d646-152a-4a66-8cba-0e38561156f2/Production/?company=Unique%20Packaging%20Limited&amp;report=5801&amp;filter=Item.Field1:FG00207" TargetMode="External"/><Relationship Id="rId161" Type="http://schemas.openxmlformats.org/officeDocument/2006/relationships/hyperlink" Target="https://businesscentral.dynamics.com/51a4d646-152a-4a66-8cba-0e38561156f2/Production/?company=Unique%20Packaging%20Limited&amp;report=5801&amp;filter=Item.Field1:FG00206" TargetMode="External"/><Relationship Id="rId160" Type="http://schemas.openxmlformats.org/officeDocument/2006/relationships/hyperlink" Target="https://businesscentral.dynamics.com/51a4d646-152a-4a66-8cba-0e38561156f2/Production/?company=Unique%20Packaging%20Limited&amp;report=5801&amp;filter=Item.Field1:FG00205" TargetMode="External"/><Relationship Id="rId16" Type="http://schemas.openxmlformats.org/officeDocument/2006/relationships/hyperlink" Target="https://businesscentral.dynamics.com/51a4d646-152a-4a66-8cba-0e38561156f2/Production/?company=Unique%20Packaging%20Limited&amp;report=5801&amp;filter=Item.Field1:FG00016" TargetMode="External"/><Relationship Id="rId159" Type="http://schemas.openxmlformats.org/officeDocument/2006/relationships/hyperlink" Target="https://businesscentral.dynamics.com/51a4d646-152a-4a66-8cba-0e38561156f2/Production/?company=Unique%20Packaging%20Limited&amp;report=5801&amp;filter=Item.Field1:FG00204" TargetMode="External"/><Relationship Id="rId158" Type="http://schemas.openxmlformats.org/officeDocument/2006/relationships/hyperlink" Target="https://businesscentral.dynamics.com/51a4d646-152a-4a66-8cba-0e38561156f2/Production/?company=Unique%20Packaging%20Limited&amp;report=5801&amp;filter=Item.Field1:FG00203" TargetMode="External"/><Relationship Id="rId157" Type="http://schemas.openxmlformats.org/officeDocument/2006/relationships/hyperlink" Target="https://businesscentral.dynamics.com/51a4d646-152a-4a66-8cba-0e38561156f2/Production/?company=Unique%20Packaging%20Limited&amp;report=5801&amp;filter=Item.Field1:FG00202" TargetMode="External"/><Relationship Id="rId156" Type="http://schemas.openxmlformats.org/officeDocument/2006/relationships/hyperlink" Target="https://businesscentral.dynamics.com/51a4d646-152a-4a66-8cba-0e38561156f2/Production/?company=Unique%20Packaging%20Limited&amp;report=5801&amp;filter=Item.Field1:FG00201" TargetMode="External"/><Relationship Id="rId155" Type="http://schemas.openxmlformats.org/officeDocument/2006/relationships/hyperlink" Target="https://businesscentral.dynamics.com/51a4d646-152a-4a66-8cba-0e38561156f2/Production/?company=Unique%20Packaging%20Limited&amp;report=5801&amp;filter=Item.Field1:FG00198" TargetMode="External"/><Relationship Id="rId154" Type="http://schemas.openxmlformats.org/officeDocument/2006/relationships/hyperlink" Target="https://businesscentral.dynamics.com/51a4d646-152a-4a66-8cba-0e38561156f2/Production/?company=Unique%20Packaging%20Limited&amp;report=5801&amp;filter=Item.Field1:FG00197" TargetMode="External"/><Relationship Id="rId153" Type="http://schemas.openxmlformats.org/officeDocument/2006/relationships/hyperlink" Target="https://businesscentral.dynamics.com/51a4d646-152a-4a66-8cba-0e38561156f2/Production/?company=Unique%20Packaging%20Limited&amp;report=5801&amp;filter=Item.Field1:FG00196" TargetMode="External"/><Relationship Id="rId152" Type="http://schemas.openxmlformats.org/officeDocument/2006/relationships/hyperlink" Target="https://businesscentral.dynamics.com/51a4d646-152a-4a66-8cba-0e38561156f2/Production/?company=Unique%20Packaging%20Limited&amp;report=5801&amp;filter=Item.Field1:FG00195" TargetMode="External"/><Relationship Id="rId151" Type="http://schemas.openxmlformats.org/officeDocument/2006/relationships/hyperlink" Target="https://businesscentral.dynamics.com/51a4d646-152a-4a66-8cba-0e38561156f2/Production/?company=Unique%20Packaging%20Limited&amp;report=5801&amp;filter=Item.Field1:FG00194" TargetMode="External"/><Relationship Id="rId150" Type="http://schemas.openxmlformats.org/officeDocument/2006/relationships/hyperlink" Target="https://businesscentral.dynamics.com/51a4d646-152a-4a66-8cba-0e38561156f2/Production/?company=Unique%20Packaging%20Limited&amp;report=5801&amp;filter=Item.Field1:FG00192" TargetMode="External"/><Relationship Id="rId15" Type="http://schemas.openxmlformats.org/officeDocument/2006/relationships/hyperlink" Target="https://businesscentral.dynamics.com/51a4d646-152a-4a66-8cba-0e38561156f2/Production/?company=Unique%20Packaging%20Limited&amp;report=5801&amp;filter=Item.Field1:FG00015" TargetMode="External"/><Relationship Id="rId149" Type="http://schemas.openxmlformats.org/officeDocument/2006/relationships/hyperlink" Target="https://businesscentral.dynamics.com/51a4d646-152a-4a66-8cba-0e38561156f2/Production/?company=Unique%20Packaging%20Limited&amp;report=5801&amp;filter=Item.Field1:FG00190" TargetMode="External"/><Relationship Id="rId148" Type="http://schemas.openxmlformats.org/officeDocument/2006/relationships/hyperlink" Target="https://businesscentral.dynamics.com/51a4d646-152a-4a66-8cba-0e38561156f2/Production/?company=Unique%20Packaging%20Limited&amp;report=5801&amp;filter=Item.Field1:FG00186" TargetMode="External"/><Relationship Id="rId147" Type="http://schemas.openxmlformats.org/officeDocument/2006/relationships/hyperlink" Target="https://businesscentral.dynamics.com/51a4d646-152a-4a66-8cba-0e38561156f2/Production/?company=Unique%20Packaging%20Limited&amp;report=5801&amp;filter=Item.Field1:FG00185" TargetMode="External"/><Relationship Id="rId146" Type="http://schemas.openxmlformats.org/officeDocument/2006/relationships/hyperlink" Target="https://businesscentral.dynamics.com/51a4d646-152a-4a66-8cba-0e38561156f2/Production/?company=Unique%20Packaging%20Limited&amp;report=5801&amp;filter=Item.Field1:FG00184" TargetMode="External"/><Relationship Id="rId145" Type="http://schemas.openxmlformats.org/officeDocument/2006/relationships/hyperlink" Target="https://businesscentral.dynamics.com/51a4d646-152a-4a66-8cba-0e38561156f2/Production/?company=Unique%20Packaging%20Limited&amp;report=5801&amp;filter=Item.Field1:FG00183" TargetMode="External"/><Relationship Id="rId144" Type="http://schemas.openxmlformats.org/officeDocument/2006/relationships/hyperlink" Target="https://businesscentral.dynamics.com/51a4d646-152a-4a66-8cba-0e38561156f2/Production/?company=Unique%20Packaging%20Limited&amp;report=5801&amp;filter=Item.Field1:FG00182" TargetMode="External"/><Relationship Id="rId143" Type="http://schemas.openxmlformats.org/officeDocument/2006/relationships/hyperlink" Target="https://businesscentral.dynamics.com/51a4d646-152a-4a66-8cba-0e38561156f2/Production/?company=Unique%20Packaging%20Limited&amp;report=5801&amp;filter=Item.Field1:FG00181" TargetMode="External"/><Relationship Id="rId142" Type="http://schemas.openxmlformats.org/officeDocument/2006/relationships/hyperlink" Target="https://businesscentral.dynamics.com/51a4d646-152a-4a66-8cba-0e38561156f2/Production/?company=Unique%20Packaging%20Limited&amp;report=5801&amp;filter=Item.Field1:FG00179" TargetMode="External"/><Relationship Id="rId141" Type="http://schemas.openxmlformats.org/officeDocument/2006/relationships/hyperlink" Target="https://businesscentral.dynamics.com/51a4d646-152a-4a66-8cba-0e38561156f2/Production/?company=Unique%20Packaging%20Limited&amp;report=5801&amp;filter=Item.Field1:FG00177" TargetMode="External"/><Relationship Id="rId140" Type="http://schemas.openxmlformats.org/officeDocument/2006/relationships/hyperlink" Target="https://businesscentral.dynamics.com/51a4d646-152a-4a66-8cba-0e38561156f2/Production/?company=Unique%20Packaging%20Limited&amp;report=5801&amp;filter=Item.Field1:FG00176" TargetMode="External"/><Relationship Id="rId14" Type="http://schemas.openxmlformats.org/officeDocument/2006/relationships/hyperlink" Target="https://businesscentral.dynamics.com/51a4d646-152a-4a66-8cba-0e38561156f2/Production/?company=Unique%20Packaging%20Limited&amp;report=5801&amp;filter=Item.Field1:FG00014" TargetMode="External"/><Relationship Id="rId139" Type="http://schemas.openxmlformats.org/officeDocument/2006/relationships/hyperlink" Target="https://businesscentral.dynamics.com/51a4d646-152a-4a66-8cba-0e38561156f2/Production/?company=Unique%20Packaging%20Limited&amp;report=5801&amp;filter=Item.Field1:FG00175" TargetMode="External"/><Relationship Id="rId138" Type="http://schemas.openxmlformats.org/officeDocument/2006/relationships/hyperlink" Target="https://businesscentral.dynamics.com/51a4d646-152a-4a66-8cba-0e38561156f2/Production/?company=Unique%20Packaging%20Limited&amp;report=5801&amp;filter=Item.Field1:FG00174" TargetMode="External"/><Relationship Id="rId137" Type="http://schemas.openxmlformats.org/officeDocument/2006/relationships/hyperlink" Target="https://businesscentral.dynamics.com/51a4d646-152a-4a66-8cba-0e38561156f2/Production/?company=Unique%20Packaging%20Limited&amp;report=5801&amp;filter=Item.Field1:FG00173" TargetMode="External"/><Relationship Id="rId136" Type="http://schemas.openxmlformats.org/officeDocument/2006/relationships/hyperlink" Target="https://businesscentral.dynamics.com/51a4d646-152a-4a66-8cba-0e38561156f2/Production/?company=Unique%20Packaging%20Limited&amp;report=5801&amp;filter=Item.Field1:FG00172" TargetMode="External"/><Relationship Id="rId135" Type="http://schemas.openxmlformats.org/officeDocument/2006/relationships/hyperlink" Target="https://businesscentral.dynamics.com/51a4d646-152a-4a66-8cba-0e38561156f2/Production/?company=Unique%20Packaging%20Limited&amp;report=5801&amp;filter=Item.Field1:FG00171" TargetMode="External"/><Relationship Id="rId134" Type="http://schemas.openxmlformats.org/officeDocument/2006/relationships/hyperlink" Target="https://businesscentral.dynamics.com/51a4d646-152a-4a66-8cba-0e38561156f2/Production/?company=Unique%20Packaging%20Limited&amp;report=5801&amp;filter=Item.Field1:FG00170" TargetMode="External"/><Relationship Id="rId133" Type="http://schemas.openxmlformats.org/officeDocument/2006/relationships/hyperlink" Target="https://businesscentral.dynamics.com/51a4d646-152a-4a66-8cba-0e38561156f2/Production/?company=Unique%20Packaging%20Limited&amp;report=5801&amp;filter=Item.Field1:FG00168" TargetMode="External"/><Relationship Id="rId132" Type="http://schemas.openxmlformats.org/officeDocument/2006/relationships/hyperlink" Target="https://businesscentral.dynamics.com/51a4d646-152a-4a66-8cba-0e38561156f2/Production/?company=Unique%20Packaging%20Limited&amp;report=5801&amp;filter=Item.Field1:FG00166" TargetMode="External"/><Relationship Id="rId131" Type="http://schemas.openxmlformats.org/officeDocument/2006/relationships/hyperlink" Target="https://businesscentral.dynamics.com/51a4d646-152a-4a66-8cba-0e38561156f2/Production/?company=Unique%20Packaging%20Limited&amp;report=5801&amp;filter=Item.Field1:FG00164" TargetMode="External"/><Relationship Id="rId130" Type="http://schemas.openxmlformats.org/officeDocument/2006/relationships/hyperlink" Target="https://businesscentral.dynamics.com/51a4d646-152a-4a66-8cba-0e38561156f2/Production/?company=Unique%20Packaging%20Limited&amp;report=5801&amp;filter=Item.Field1:FG00163" TargetMode="External"/><Relationship Id="rId13" Type="http://schemas.openxmlformats.org/officeDocument/2006/relationships/hyperlink" Target="https://businesscentral.dynamics.com/51a4d646-152a-4a66-8cba-0e38561156f2/Production/?company=Unique%20Packaging%20Limited&amp;report=5801&amp;filter=Item.Field1:FG00013" TargetMode="External"/><Relationship Id="rId129" Type="http://schemas.openxmlformats.org/officeDocument/2006/relationships/hyperlink" Target="https://businesscentral.dynamics.com/51a4d646-152a-4a66-8cba-0e38561156f2/Production/?company=Unique%20Packaging%20Limited&amp;report=5801&amp;filter=Item.Field1:FG00162" TargetMode="External"/><Relationship Id="rId128" Type="http://schemas.openxmlformats.org/officeDocument/2006/relationships/hyperlink" Target="https://businesscentral.dynamics.com/51a4d646-152a-4a66-8cba-0e38561156f2/Production/?company=Unique%20Packaging%20Limited&amp;report=5801&amp;filter=Item.Field1:FG00158" TargetMode="External"/><Relationship Id="rId127" Type="http://schemas.openxmlformats.org/officeDocument/2006/relationships/hyperlink" Target="https://businesscentral.dynamics.com/51a4d646-152a-4a66-8cba-0e38561156f2/Production/?company=Unique%20Packaging%20Limited&amp;report=5801&amp;filter=Item.Field1:FG00157" TargetMode="External"/><Relationship Id="rId126" Type="http://schemas.openxmlformats.org/officeDocument/2006/relationships/hyperlink" Target="https://businesscentral.dynamics.com/51a4d646-152a-4a66-8cba-0e38561156f2/Production/?company=Unique%20Packaging%20Limited&amp;report=5801&amp;filter=Item.Field1:FG00151" TargetMode="External"/><Relationship Id="rId125" Type="http://schemas.openxmlformats.org/officeDocument/2006/relationships/hyperlink" Target="https://businesscentral.dynamics.com/51a4d646-152a-4a66-8cba-0e38561156f2/Production/?company=Unique%20Packaging%20Limited&amp;report=5801&amp;filter=Item.Field1:FG00150" TargetMode="External"/><Relationship Id="rId124" Type="http://schemas.openxmlformats.org/officeDocument/2006/relationships/hyperlink" Target="https://businesscentral.dynamics.com/51a4d646-152a-4a66-8cba-0e38561156f2/Production/?company=Unique%20Packaging%20Limited&amp;report=5801&amp;filter=Item.Field1:FG00149" TargetMode="External"/><Relationship Id="rId123" Type="http://schemas.openxmlformats.org/officeDocument/2006/relationships/hyperlink" Target="https://businesscentral.dynamics.com/51a4d646-152a-4a66-8cba-0e38561156f2/Production/?company=Unique%20Packaging%20Limited&amp;report=5801&amp;filter=Item.Field1:FG00148" TargetMode="External"/><Relationship Id="rId122" Type="http://schemas.openxmlformats.org/officeDocument/2006/relationships/hyperlink" Target="https://businesscentral.dynamics.com/51a4d646-152a-4a66-8cba-0e38561156f2/Production/?company=Unique%20Packaging%20Limited&amp;report=5801&amp;filter=Item.Field1:FG00147" TargetMode="External"/><Relationship Id="rId121" Type="http://schemas.openxmlformats.org/officeDocument/2006/relationships/hyperlink" Target="https://businesscentral.dynamics.com/51a4d646-152a-4a66-8cba-0e38561156f2/Production/?company=Unique%20Packaging%20Limited&amp;report=5801&amp;filter=Item.Field1:FG00146" TargetMode="External"/><Relationship Id="rId120" Type="http://schemas.openxmlformats.org/officeDocument/2006/relationships/hyperlink" Target="https://businesscentral.dynamics.com/51a4d646-152a-4a66-8cba-0e38561156f2/Production/?company=Unique%20Packaging%20Limited&amp;report=5801&amp;filter=Item.Field1:FG00145" TargetMode="External"/><Relationship Id="rId12" Type="http://schemas.openxmlformats.org/officeDocument/2006/relationships/hyperlink" Target="https://businesscentral.dynamics.com/51a4d646-152a-4a66-8cba-0e38561156f2/Production/?company=Unique%20Packaging%20Limited&amp;report=5801&amp;filter=Item.Field1:FG00012" TargetMode="External"/><Relationship Id="rId119" Type="http://schemas.openxmlformats.org/officeDocument/2006/relationships/hyperlink" Target="https://businesscentral.dynamics.com/51a4d646-152a-4a66-8cba-0e38561156f2/Production/?company=Unique%20Packaging%20Limited&amp;report=5801&amp;filter=Item.Field1:FG00144" TargetMode="External"/><Relationship Id="rId118" Type="http://schemas.openxmlformats.org/officeDocument/2006/relationships/hyperlink" Target="https://businesscentral.dynamics.com/51a4d646-152a-4a66-8cba-0e38561156f2/Production/?company=Unique%20Packaging%20Limited&amp;report=5801&amp;filter=Item.Field1:FG00143" TargetMode="External"/><Relationship Id="rId117" Type="http://schemas.openxmlformats.org/officeDocument/2006/relationships/hyperlink" Target="https://businesscentral.dynamics.com/51a4d646-152a-4a66-8cba-0e38561156f2/Production/?company=Unique%20Packaging%20Limited&amp;report=5801&amp;filter=Item.Field1:FG00142" TargetMode="External"/><Relationship Id="rId116" Type="http://schemas.openxmlformats.org/officeDocument/2006/relationships/hyperlink" Target="https://businesscentral.dynamics.com/51a4d646-152a-4a66-8cba-0e38561156f2/Production/?company=Unique%20Packaging%20Limited&amp;report=5801&amp;filter=Item.Field1:FG00141" TargetMode="External"/><Relationship Id="rId115" Type="http://schemas.openxmlformats.org/officeDocument/2006/relationships/hyperlink" Target="https://businesscentral.dynamics.com/51a4d646-152a-4a66-8cba-0e38561156f2/Production/?company=Unique%20Packaging%20Limited&amp;report=5801&amp;filter=Item.Field1:FG00140" TargetMode="External"/><Relationship Id="rId114" Type="http://schemas.openxmlformats.org/officeDocument/2006/relationships/hyperlink" Target="https://businesscentral.dynamics.com/51a4d646-152a-4a66-8cba-0e38561156f2/Production/?company=Unique%20Packaging%20Limited&amp;report=5801&amp;filter=Item.Field1:FG00139" TargetMode="External"/><Relationship Id="rId113" Type="http://schemas.openxmlformats.org/officeDocument/2006/relationships/hyperlink" Target="https://businesscentral.dynamics.com/51a4d646-152a-4a66-8cba-0e38561156f2/Production/?company=Unique%20Packaging%20Limited&amp;report=5801&amp;filter=Item.Field1:FG00138" TargetMode="External"/><Relationship Id="rId112" Type="http://schemas.openxmlformats.org/officeDocument/2006/relationships/hyperlink" Target="https://businesscentral.dynamics.com/51a4d646-152a-4a66-8cba-0e38561156f2/Production/?company=Unique%20Packaging%20Limited&amp;report=5801&amp;filter=Item.Field1:FG00137" TargetMode="External"/><Relationship Id="rId111" Type="http://schemas.openxmlformats.org/officeDocument/2006/relationships/hyperlink" Target="https://businesscentral.dynamics.com/51a4d646-152a-4a66-8cba-0e38561156f2/Production/?company=Unique%20Packaging%20Limited&amp;report=5801&amp;filter=Item.Field1:FG00136" TargetMode="External"/><Relationship Id="rId110" Type="http://schemas.openxmlformats.org/officeDocument/2006/relationships/hyperlink" Target="https://businesscentral.dynamics.com/51a4d646-152a-4a66-8cba-0e38561156f2/Production/?company=Unique%20Packaging%20Limited&amp;report=5801&amp;filter=Item.Field1:FG00135" TargetMode="External"/><Relationship Id="rId11" Type="http://schemas.openxmlformats.org/officeDocument/2006/relationships/hyperlink" Target="https://businesscentral.dynamics.com/51a4d646-152a-4a66-8cba-0e38561156f2/Production/?company=Unique%20Packaging%20Limited&amp;report=5801&amp;filter=Item.Field1:FG00011" TargetMode="External"/><Relationship Id="rId109" Type="http://schemas.openxmlformats.org/officeDocument/2006/relationships/hyperlink" Target="https://businesscentral.dynamics.com/51a4d646-152a-4a66-8cba-0e38561156f2/Production/?company=Unique%20Packaging%20Limited&amp;report=5801&amp;filter=Item.Field1:FG00134" TargetMode="External"/><Relationship Id="rId108" Type="http://schemas.openxmlformats.org/officeDocument/2006/relationships/hyperlink" Target="https://businesscentral.dynamics.com/51a4d646-152a-4a66-8cba-0e38561156f2/Production/?company=Unique%20Packaging%20Limited&amp;report=5801&amp;filter=Item.Field1:FG00133" TargetMode="External"/><Relationship Id="rId107" Type="http://schemas.openxmlformats.org/officeDocument/2006/relationships/hyperlink" Target="https://businesscentral.dynamics.com/51a4d646-152a-4a66-8cba-0e38561156f2/Production/?company=Unique%20Packaging%20Limited&amp;report=5801&amp;filter=Item.Field1:FG00132" TargetMode="External"/><Relationship Id="rId106" Type="http://schemas.openxmlformats.org/officeDocument/2006/relationships/hyperlink" Target="https://businesscentral.dynamics.com/51a4d646-152a-4a66-8cba-0e38561156f2/Production/?company=Unique%20Packaging%20Limited&amp;report=5801&amp;filter=Item.Field1:FG00131" TargetMode="External"/><Relationship Id="rId105" Type="http://schemas.openxmlformats.org/officeDocument/2006/relationships/hyperlink" Target="https://businesscentral.dynamics.com/51a4d646-152a-4a66-8cba-0e38561156f2/Production/?company=Unique%20Packaging%20Limited&amp;report=5801&amp;filter=Item.Field1:FG00130" TargetMode="External"/><Relationship Id="rId104" Type="http://schemas.openxmlformats.org/officeDocument/2006/relationships/hyperlink" Target="https://businesscentral.dynamics.com/51a4d646-152a-4a66-8cba-0e38561156f2/Production/?company=Unique%20Packaging%20Limited&amp;report=5801&amp;filter=Item.Field1:FG00129" TargetMode="External"/><Relationship Id="rId103" Type="http://schemas.openxmlformats.org/officeDocument/2006/relationships/hyperlink" Target="https://businesscentral.dynamics.com/51a4d646-152a-4a66-8cba-0e38561156f2/Production/?company=Unique%20Packaging%20Limited&amp;report=5801&amp;filter=Item.Field1:FG00128" TargetMode="External"/><Relationship Id="rId102" Type="http://schemas.openxmlformats.org/officeDocument/2006/relationships/hyperlink" Target="https://businesscentral.dynamics.com/51a4d646-152a-4a66-8cba-0e38561156f2/Production/?company=Unique%20Packaging%20Limited&amp;report=5801&amp;filter=Item.Field1:FG00127" TargetMode="External"/><Relationship Id="rId101" Type="http://schemas.openxmlformats.org/officeDocument/2006/relationships/hyperlink" Target="https://businesscentral.dynamics.com/51a4d646-152a-4a66-8cba-0e38561156f2/Production/?company=Unique%20Packaging%20Limited&amp;report=5801&amp;filter=Item.Field1:FG00126" TargetMode="External"/><Relationship Id="rId100" Type="http://schemas.openxmlformats.org/officeDocument/2006/relationships/hyperlink" Target="https://businesscentral.dynamics.com/51a4d646-152a-4a66-8cba-0e38561156f2/Production/?company=Unique%20Packaging%20Limited&amp;report=5801&amp;filter=Item.Field1:FG00125" TargetMode="External"/><Relationship Id="rId10" Type="http://schemas.openxmlformats.org/officeDocument/2006/relationships/hyperlink" Target="https://businesscentral.dynamics.com/51a4d646-152a-4a66-8cba-0e38561156f2/Production/?company=Unique%20Packaging%20Limited&amp;report=5801&amp;filter=Item.Field1:FG00010" TargetMode="External"/><Relationship Id="rId1" Type="http://schemas.openxmlformats.org/officeDocument/2006/relationships/hyperlink" Target="https://businesscentral.dynamics.com/51a4d646-152a-4a66-8cba-0e38561156f2/Production/?company=Unique%20Packaging%20Limited&amp;report=5801&amp;filter=Item.Field1:FG0000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9.81818181818182" defaultRowHeight="14.5" outlineLevelRow="7"/>
  <cols>
    <col min="1" max="1" width="8.27272727272727" style="45" customWidth="1"/>
    <col min="2" max="2" width="27.4545454545455" style="45" customWidth="1"/>
    <col min="3" max="3" width="10" style="46" customWidth="1"/>
    <col min="4" max="4" width="16.5454545454545" style="45" customWidth="1"/>
    <col min="5" max="5" width="11.3636363636364" style="47" customWidth="1"/>
    <col min="6" max="6" width="9.81818181818182" style="45"/>
    <col min="7" max="7" width="14" style="46" hidden="1" customWidth="1"/>
    <col min="8" max="9" width="13.4545454545455" style="46" hidden="1" customWidth="1"/>
    <col min="10" max="16384" width="9.81818181818182" style="45"/>
  </cols>
  <sheetData>
    <row r="1" spans="1:5">
      <c r="A1" s="48" t="s">
        <v>0</v>
      </c>
      <c r="B1" s="48" t="s">
        <v>1</v>
      </c>
      <c r="C1" s="45" t="s">
        <v>2</v>
      </c>
      <c r="D1" s="45" t="s">
        <v>3</v>
      </c>
      <c r="E1" s="49" t="s">
        <v>4</v>
      </c>
    </row>
    <row r="2" spans="1:9">
      <c r="A2" s="50" t="s">
        <v>5</v>
      </c>
      <c r="B2" s="50" t="s">
        <v>6</v>
      </c>
      <c r="C2" s="51">
        <v>6167146.41</v>
      </c>
      <c r="D2" s="51">
        <f>Report!S516</f>
        <v>6161728.12</v>
      </c>
      <c r="E2" s="51">
        <f>C2-D2</f>
        <v>5418.29000000004</v>
      </c>
      <c r="G2" s="46">
        <f>C2-H2</f>
        <v>0</v>
      </c>
      <c r="H2" s="52">
        <v>6167146.41</v>
      </c>
      <c r="I2" s="52">
        <v>6167146.41</v>
      </c>
    </row>
    <row r="3" spans="1:9">
      <c r="A3" s="50" t="s">
        <v>7</v>
      </c>
      <c r="B3" s="50" t="s">
        <v>8</v>
      </c>
      <c r="C3" s="51">
        <v>127035.78</v>
      </c>
      <c r="D3" s="51">
        <f>Report!S461</f>
        <v>118797.82</v>
      </c>
      <c r="E3" s="53">
        <f>C3-D3</f>
        <v>8237.95999999999</v>
      </c>
      <c r="G3" s="46">
        <f>C3-H3</f>
        <v>0</v>
      </c>
      <c r="H3" s="54">
        <v>127035.78</v>
      </c>
      <c r="I3" s="54">
        <v>127035.78</v>
      </c>
    </row>
    <row r="4" spans="1:9">
      <c r="A4" s="55" t="s">
        <v>9</v>
      </c>
      <c r="B4" s="55" t="s">
        <v>10</v>
      </c>
      <c r="C4" s="53">
        <v>2278.59</v>
      </c>
      <c r="D4" s="53"/>
      <c r="E4" s="53">
        <f>C4-D4</f>
        <v>2278.59</v>
      </c>
      <c r="F4" s="51" t="s">
        <v>11</v>
      </c>
      <c r="G4" s="46">
        <f>C4-H4</f>
        <v>0</v>
      </c>
      <c r="H4" s="52">
        <v>2278.59</v>
      </c>
      <c r="I4" s="52">
        <v>2278.59</v>
      </c>
    </row>
    <row r="5" spans="1:9">
      <c r="A5" s="50" t="s">
        <v>12</v>
      </c>
      <c r="B5" s="50" t="s">
        <v>13</v>
      </c>
      <c r="C5" s="51">
        <v>3232597.22</v>
      </c>
      <c r="D5" s="51">
        <f>Report!S267</f>
        <v>3516136.42</v>
      </c>
      <c r="E5" s="51">
        <f>C5-D5</f>
        <v>-283539.2</v>
      </c>
      <c r="G5" s="46">
        <f>C5-H5</f>
        <v>0</v>
      </c>
      <c r="H5" s="52">
        <v>3232597.22</v>
      </c>
      <c r="I5" s="52">
        <v>3121590.39</v>
      </c>
    </row>
    <row r="6" spans="1:9">
      <c r="A6" s="55" t="s">
        <v>14</v>
      </c>
      <c r="B6" s="55" t="s">
        <v>15</v>
      </c>
      <c r="C6" s="53">
        <v>295707.99</v>
      </c>
      <c r="D6" s="53"/>
      <c r="E6" s="53">
        <f>C6-D6</f>
        <v>295707.99</v>
      </c>
      <c r="F6" s="45" t="s">
        <v>11</v>
      </c>
      <c r="G6" s="46">
        <f>C6-H6</f>
        <v>0</v>
      </c>
      <c r="H6" s="52">
        <v>295707.99</v>
      </c>
      <c r="I6" s="52">
        <v>295707.99</v>
      </c>
    </row>
    <row r="7" spans="1:9">
      <c r="A7" s="50"/>
      <c r="B7" s="50"/>
      <c r="C7" s="51"/>
      <c r="D7" s="51"/>
      <c r="E7" s="51"/>
      <c r="H7" s="52"/>
      <c r="I7" s="52"/>
    </row>
    <row r="8" spans="1:9">
      <c r="A8" s="56"/>
      <c r="B8" s="56" t="s">
        <v>4</v>
      </c>
      <c r="C8" s="57"/>
      <c r="D8" s="56"/>
      <c r="E8" s="58">
        <f>SUM(E2:E6)</f>
        <v>28103.6300000003</v>
      </c>
      <c r="G8" s="46">
        <f>C8-H8</f>
        <v>-13925028.4</v>
      </c>
      <c r="H8" s="52">
        <v>13925028.4</v>
      </c>
      <c r="I8" s="52">
        <v>13984021.57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0"/>
  <sheetViews>
    <sheetView workbookViewId="0">
      <pane ySplit="1" topLeftCell="A5" activePane="bottomLeft" state="frozen"/>
      <selection/>
      <selection pane="bottomLeft" activeCell="N15" sqref="N15"/>
    </sheetView>
  </sheetViews>
  <sheetFormatPr defaultColWidth="9.81818181818182" defaultRowHeight="14.5"/>
  <cols>
    <col min="1" max="1" width="13.8636363636364" style="1" customWidth="1"/>
    <col min="2" max="2" width="13" style="1" hidden="1" customWidth="1"/>
    <col min="3" max="3" width="11.4545454545455" style="1" customWidth="1"/>
    <col min="4" max="4" width="13" style="1" hidden="1" customWidth="1"/>
    <col min="5" max="5" width="16.6363636363636" style="1" hidden="1" customWidth="1"/>
    <col min="6" max="6" width="15.4818181818182" style="1" customWidth="1"/>
    <col min="7" max="7" width="17.0272727272727" style="1" hidden="1" customWidth="1"/>
    <col min="8" max="8" width="12.7818181818182" style="1" customWidth="1"/>
    <col min="9" max="9" width="8.36363636363636" style="1" hidden="1" customWidth="1"/>
    <col min="10" max="10" width="14.3636363636364" style="1" customWidth="1"/>
    <col min="11" max="11" width="21.5363636363636" style="1" hidden="1" customWidth="1"/>
    <col min="12" max="12" width="25.8727272727273" style="1" hidden="1" customWidth="1"/>
    <col min="13" max="13" width="19.5454545454545" style="1" customWidth="1"/>
    <col min="14" max="14" width="13.3636363636364" style="1" customWidth="1"/>
    <col min="15" max="15" width="26.5363636363636" style="1" hidden="1" customWidth="1"/>
    <col min="16" max="16" width="17" style="1" hidden="1" customWidth="1"/>
    <col min="17" max="17" width="18.3090909090909" style="1" hidden="1" customWidth="1"/>
    <col min="18" max="18" width="14.2818181818182" style="1" hidden="1" customWidth="1"/>
    <col min="19" max="19" width="19.5272727272727" style="1" hidden="1" customWidth="1"/>
    <col min="20" max="20" width="10.3818181818182" style="1" hidden="1" customWidth="1"/>
    <col min="21" max="21" width="24.0090909090909" style="1" hidden="1" customWidth="1"/>
    <col min="22" max="22" width="24.9909090909091" style="1" hidden="1" customWidth="1"/>
    <col min="23" max="23" width="18.4272727272727" style="1" hidden="1" customWidth="1"/>
    <col min="24" max="24" width="18.7363636363636" style="1" hidden="1" customWidth="1"/>
    <col min="25" max="25" width="13.4727272727273" style="1" hidden="1" customWidth="1"/>
    <col min="26" max="26" width="12.3090909090909" style="1" hidden="1" customWidth="1"/>
    <col min="27" max="27" width="23.1727272727273" style="1" hidden="1" customWidth="1"/>
    <col min="28" max="28" width="12.6090909090909" style="1" hidden="1" customWidth="1"/>
    <col min="29" max="29" width="23.4909090909091" style="1" hidden="1" customWidth="1"/>
    <col min="30" max="30" width="21.9545454545455" style="1" hidden="1" customWidth="1"/>
    <col min="31" max="31" width="25.3363636363636" style="1" hidden="1" customWidth="1"/>
    <col min="32" max="32" width="10.9454545454545" style="1" hidden="1" customWidth="1"/>
    <col min="33" max="94" width="9.81818181818182" style="1" hidden="1" customWidth="1"/>
    <col min="95" max="16384" width="9.81818181818182" style="1"/>
  </cols>
  <sheetData>
    <row r="1" spans="1:3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</row>
    <row r="2" spans="1:32">
      <c r="A2" s="3">
        <v>45883</v>
      </c>
      <c r="B2" s="4" t="s">
        <v>48</v>
      </c>
      <c r="C2" s="4" t="s">
        <v>49</v>
      </c>
      <c r="D2" s="6" t="b">
        <f t="shared" ref="D2:D20" si="0">FALSE()</f>
        <v>0</v>
      </c>
      <c r="E2" s="4" t="s">
        <v>50</v>
      </c>
      <c r="F2" s="4" t="s">
        <v>51</v>
      </c>
      <c r="G2" s="4" t="s">
        <v>52</v>
      </c>
      <c r="H2" s="4" t="s">
        <v>52</v>
      </c>
      <c r="I2" s="5">
        <v>0</v>
      </c>
      <c r="J2" s="5">
        <v>0</v>
      </c>
      <c r="K2" s="5">
        <v>-151.29</v>
      </c>
      <c r="L2" s="5">
        <v>0</v>
      </c>
      <c r="M2" s="8">
        <v>-151.29</v>
      </c>
      <c r="N2" s="40"/>
      <c r="O2" s="41">
        <v>0</v>
      </c>
      <c r="P2" s="41">
        <v>33700</v>
      </c>
      <c r="Q2" s="41">
        <v>0</v>
      </c>
      <c r="R2" s="44">
        <v>-0.00449</v>
      </c>
      <c r="S2" s="44">
        <v>0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53</v>
      </c>
      <c r="AA2" s="4" t="s">
        <v>52</v>
      </c>
      <c r="AB2" s="4" t="s">
        <v>59</v>
      </c>
      <c r="AC2" s="6" t="b">
        <f t="shared" ref="AC2:AC20" si="1">FALSE()</f>
        <v>0</v>
      </c>
      <c r="AD2" s="6">
        <v>24239</v>
      </c>
      <c r="AE2" s="6">
        <v>0</v>
      </c>
      <c r="AF2" s="6">
        <v>49785</v>
      </c>
    </row>
    <row r="3" spans="1:32">
      <c r="A3" s="3">
        <v>45883</v>
      </c>
      <c r="B3" s="4" t="s">
        <v>48</v>
      </c>
      <c r="C3" s="4" t="s">
        <v>49</v>
      </c>
      <c r="D3" s="6" t="b">
        <f t="shared" si="0"/>
        <v>0</v>
      </c>
      <c r="E3" s="4" t="s">
        <v>50</v>
      </c>
      <c r="F3" s="4" t="s">
        <v>51</v>
      </c>
      <c r="G3" s="4" t="s">
        <v>52</v>
      </c>
      <c r="H3" s="4" t="s">
        <v>52</v>
      </c>
      <c r="I3" s="5">
        <v>0</v>
      </c>
      <c r="J3" s="5">
        <v>0</v>
      </c>
      <c r="K3" s="5">
        <v>0.18</v>
      </c>
      <c r="L3" s="5">
        <v>0</v>
      </c>
      <c r="M3" s="8">
        <v>0.18</v>
      </c>
      <c r="N3" s="40"/>
      <c r="O3" s="41">
        <v>0</v>
      </c>
      <c r="P3" s="41">
        <v>33700</v>
      </c>
      <c r="Q3" s="41">
        <v>0</v>
      </c>
      <c r="R3" s="44">
        <v>1e-5</v>
      </c>
      <c r="S3" s="44">
        <v>0</v>
      </c>
      <c r="T3" s="4" t="s">
        <v>53</v>
      </c>
      <c r="U3" s="4" t="s">
        <v>54</v>
      </c>
      <c r="V3" s="4" t="s">
        <v>55</v>
      </c>
      <c r="W3" s="4" t="s">
        <v>56</v>
      </c>
      <c r="X3" s="4" t="s">
        <v>57</v>
      </c>
      <c r="Y3" s="4" t="s">
        <v>58</v>
      </c>
      <c r="Z3" s="4" t="s">
        <v>53</v>
      </c>
      <c r="AA3" s="4" t="s">
        <v>52</v>
      </c>
      <c r="AB3" s="4" t="s">
        <v>59</v>
      </c>
      <c r="AC3" s="6" t="b">
        <f t="shared" si="1"/>
        <v>0</v>
      </c>
      <c r="AD3" s="6">
        <v>24239</v>
      </c>
      <c r="AE3" s="6">
        <v>0</v>
      </c>
      <c r="AF3" s="6">
        <v>49784</v>
      </c>
    </row>
    <row r="4" spans="1:32">
      <c r="A4" s="3">
        <v>45883</v>
      </c>
      <c r="B4" s="4" t="s">
        <v>48</v>
      </c>
      <c r="C4" s="4" t="s">
        <v>49</v>
      </c>
      <c r="D4" s="6" t="b">
        <f t="shared" si="0"/>
        <v>0</v>
      </c>
      <c r="E4" s="4" t="s">
        <v>50</v>
      </c>
      <c r="F4" s="4" t="s">
        <v>51</v>
      </c>
      <c r="G4" s="4" t="s">
        <v>52</v>
      </c>
      <c r="H4" s="4" t="s">
        <v>52</v>
      </c>
      <c r="I4" s="5">
        <v>0</v>
      </c>
      <c r="J4" s="5">
        <v>0</v>
      </c>
      <c r="K4" s="5">
        <v>-3148.82</v>
      </c>
      <c r="L4" s="5">
        <v>0</v>
      </c>
      <c r="M4" s="8">
        <v>-3148.82</v>
      </c>
      <c r="N4" s="40"/>
      <c r="O4" s="41">
        <v>0</v>
      </c>
      <c r="P4" s="41">
        <v>33700</v>
      </c>
      <c r="Q4" s="41">
        <v>0</v>
      </c>
      <c r="R4" s="44">
        <v>-0.09344</v>
      </c>
      <c r="S4" s="44">
        <v>0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58</v>
      </c>
      <c r="Z4" s="4" t="s">
        <v>53</v>
      </c>
      <c r="AA4" s="4" t="s">
        <v>52</v>
      </c>
      <c r="AB4" s="4" t="s">
        <v>59</v>
      </c>
      <c r="AC4" s="6" t="b">
        <f t="shared" si="1"/>
        <v>0</v>
      </c>
      <c r="AD4" s="6">
        <v>24239</v>
      </c>
      <c r="AE4" s="6">
        <v>0</v>
      </c>
      <c r="AF4" s="6">
        <v>49783</v>
      </c>
    </row>
    <row r="5" spans="1:32">
      <c r="A5" s="3">
        <v>45883</v>
      </c>
      <c r="B5" s="4" t="s">
        <v>48</v>
      </c>
      <c r="C5" s="4" t="s">
        <v>60</v>
      </c>
      <c r="D5" s="6" t="b">
        <f t="shared" si="0"/>
        <v>0</v>
      </c>
      <c r="E5" s="4" t="s">
        <v>50</v>
      </c>
      <c r="F5" s="4" t="s">
        <v>51</v>
      </c>
      <c r="G5" s="4" t="s">
        <v>52</v>
      </c>
      <c r="H5" s="4" t="s">
        <v>52</v>
      </c>
      <c r="I5" s="5">
        <v>0</v>
      </c>
      <c r="J5" s="5">
        <v>-8237.97</v>
      </c>
      <c r="K5" s="5">
        <v>11537.89</v>
      </c>
      <c r="L5" s="5">
        <v>0</v>
      </c>
      <c r="M5" s="8">
        <v>11537.89</v>
      </c>
      <c r="N5" s="40">
        <f>SUM(M2:M5)</f>
        <v>8237.96</v>
      </c>
      <c r="O5" s="41">
        <v>0</v>
      </c>
      <c r="P5" s="41">
        <v>33700</v>
      </c>
      <c r="Q5" s="41">
        <v>33700</v>
      </c>
      <c r="R5" s="44">
        <v>0.34237</v>
      </c>
      <c r="S5" s="44">
        <v>0</v>
      </c>
      <c r="T5" s="4" t="s">
        <v>53</v>
      </c>
      <c r="U5" s="4" t="s">
        <v>54</v>
      </c>
      <c r="V5" s="4" t="s">
        <v>55</v>
      </c>
      <c r="W5" s="4" t="s">
        <v>56</v>
      </c>
      <c r="X5" s="4" t="s">
        <v>57</v>
      </c>
      <c r="Y5" s="4" t="s">
        <v>58</v>
      </c>
      <c r="Z5" s="4" t="s">
        <v>53</v>
      </c>
      <c r="AA5" s="4" t="s">
        <v>52</v>
      </c>
      <c r="AB5" s="4" t="s">
        <v>59</v>
      </c>
      <c r="AC5" s="6" t="b">
        <f t="shared" si="1"/>
        <v>0</v>
      </c>
      <c r="AD5" s="6">
        <v>24239</v>
      </c>
      <c r="AE5" s="6">
        <v>0</v>
      </c>
      <c r="AF5" s="6">
        <v>49782</v>
      </c>
    </row>
    <row r="6" spans="1:32">
      <c r="A6" s="3">
        <v>45883</v>
      </c>
      <c r="B6" s="4" t="s">
        <v>50</v>
      </c>
      <c r="C6" s="4" t="s">
        <v>61</v>
      </c>
      <c r="D6" s="6" t="b">
        <f t="shared" si="0"/>
        <v>0</v>
      </c>
      <c r="E6" s="4" t="s">
        <v>50</v>
      </c>
      <c r="F6" s="4" t="s">
        <v>51</v>
      </c>
      <c r="G6" s="4" t="s">
        <v>52</v>
      </c>
      <c r="H6" s="4" t="s">
        <v>62</v>
      </c>
      <c r="I6" s="5">
        <v>0</v>
      </c>
      <c r="J6" s="5">
        <v>0</v>
      </c>
      <c r="K6" s="5">
        <v>96.52</v>
      </c>
      <c r="L6" s="5">
        <v>0</v>
      </c>
      <c r="M6" s="42">
        <v>96.52</v>
      </c>
      <c r="N6" s="40"/>
      <c r="O6" s="41">
        <v>0</v>
      </c>
      <c r="P6" s="41">
        <v>41.114</v>
      </c>
      <c r="Q6" s="41">
        <v>0</v>
      </c>
      <c r="R6" s="44">
        <v>2.34762</v>
      </c>
      <c r="S6" s="44">
        <v>0</v>
      </c>
      <c r="T6" s="4" t="s">
        <v>52</v>
      </c>
      <c r="U6" s="4" t="s">
        <v>54</v>
      </c>
      <c r="V6" s="4" t="s">
        <v>63</v>
      </c>
      <c r="W6" s="4" t="s">
        <v>56</v>
      </c>
      <c r="X6" s="4" t="s">
        <v>57</v>
      </c>
      <c r="Y6" s="4" t="s">
        <v>58</v>
      </c>
      <c r="Z6" s="4" t="s">
        <v>53</v>
      </c>
      <c r="AA6" s="4" t="s">
        <v>52</v>
      </c>
      <c r="AB6" s="4" t="s">
        <v>59</v>
      </c>
      <c r="AC6" s="6" t="b">
        <f t="shared" si="1"/>
        <v>0</v>
      </c>
      <c r="AD6" s="6">
        <v>0</v>
      </c>
      <c r="AE6" s="6">
        <v>10956</v>
      </c>
      <c r="AF6" s="6">
        <v>49781</v>
      </c>
    </row>
    <row r="7" spans="1:32">
      <c r="A7" s="3">
        <v>45883</v>
      </c>
      <c r="B7" s="4" t="s">
        <v>50</v>
      </c>
      <c r="C7" s="4" t="s">
        <v>60</v>
      </c>
      <c r="D7" s="6" t="b">
        <f t="shared" si="0"/>
        <v>0</v>
      </c>
      <c r="E7" s="4" t="s">
        <v>50</v>
      </c>
      <c r="F7" s="4" t="s">
        <v>51</v>
      </c>
      <c r="G7" s="4" t="s">
        <v>52</v>
      </c>
      <c r="H7" s="4" t="s">
        <v>62</v>
      </c>
      <c r="I7" s="5">
        <v>0</v>
      </c>
      <c r="J7" s="5">
        <v>0</v>
      </c>
      <c r="K7" s="5">
        <v>224.07</v>
      </c>
      <c r="L7" s="5">
        <v>0</v>
      </c>
      <c r="M7" s="42">
        <v>224.07</v>
      </c>
      <c r="N7" s="40"/>
      <c r="O7" s="41">
        <v>0</v>
      </c>
      <c r="P7" s="41">
        <v>41.114</v>
      </c>
      <c r="Q7" s="41">
        <v>41.114</v>
      </c>
      <c r="R7" s="44">
        <v>5.44997</v>
      </c>
      <c r="S7" s="44">
        <v>0</v>
      </c>
      <c r="T7" s="4" t="s">
        <v>52</v>
      </c>
      <c r="U7" s="4" t="s">
        <v>54</v>
      </c>
      <c r="V7" s="4" t="s">
        <v>63</v>
      </c>
      <c r="W7" s="4" t="s">
        <v>56</v>
      </c>
      <c r="X7" s="4" t="s">
        <v>57</v>
      </c>
      <c r="Y7" s="4" t="s">
        <v>58</v>
      </c>
      <c r="Z7" s="4" t="s">
        <v>53</v>
      </c>
      <c r="AA7" s="4" t="s">
        <v>52</v>
      </c>
      <c r="AB7" s="4" t="s">
        <v>59</v>
      </c>
      <c r="AC7" s="6" t="b">
        <f t="shared" si="1"/>
        <v>0</v>
      </c>
      <c r="AD7" s="6">
        <v>0</v>
      </c>
      <c r="AE7" s="6">
        <v>10956</v>
      </c>
      <c r="AF7" s="6">
        <v>49780</v>
      </c>
    </row>
    <row r="8" spans="1:32">
      <c r="A8" s="3">
        <v>45883</v>
      </c>
      <c r="B8" s="4" t="s">
        <v>50</v>
      </c>
      <c r="C8" s="4" t="s">
        <v>61</v>
      </c>
      <c r="D8" s="6" t="b">
        <f t="shared" si="0"/>
        <v>0</v>
      </c>
      <c r="E8" s="4" t="s">
        <v>50</v>
      </c>
      <c r="F8" s="4" t="s">
        <v>51</v>
      </c>
      <c r="G8" s="4" t="s">
        <v>52</v>
      </c>
      <c r="H8" s="4" t="s">
        <v>64</v>
      </c>
      <c r="I8" s="5">
        <v>0</v>
      </c>
      <c r="J8" s="5">
        <v>0</v>
      </c>
      <c r="K8" s="5">
        <v>62.74</v>
      </c>
      <c r="L8" s="5">
        <v>0</v>
      </c>
      <c r="M8" s="42">
        <v>62.74</v>
      </c>
      <c r="N8" s="40"/>
      <c r="O8" s="41">
        <v>0</v>
      </c>
      <c r="P8" s="41">
        <v>41.114</v>
      </c>
      <c r="Q8" s="41">
        <v>0</v>
      </c>
      <c r="R8" s="44">
        <v>1.526</v>
      </c>
      <c r="S8" s="44">
        <v>0</v>
      </c>
      <c r="T8" s="4" t="s">
        <v>52</v>
      </c>
      <c r="U8" s="4" t="s">
        <v>54</v>
      </c>
      <c r="V8" s="4" t="s">
        <v>63</v>
      </c>
      <c r="W8" s="4" t="s">
        <v>56</v>
      </c>
      <c r="X8" s="4" t="s">
        <v>57</v>
      </c>
      <c r="Y8" s="4" t="s">
        <v>58</v>
      </c>
      <c r="Z8" s="4" t="s">
        <v>53</v>
      </c>
      <c r="AA8" s="4" t="s">
        <v>52</v>
      </c>
      <c r="AB8" s="4" t="s">
        <v>59</v>
      </c>
      <c r="AC8" s="6" t="b">
        <f t="shared" si="1"/>
        <v>0</v>
      </c>
      <c r="AD8" s="6">
        <v>0</v>
      </c>
      <c r="AE8" s="6">
        <v>10955</v>
      </c>
      <c r="AF8" s="6">
        <v>49779</v>
      </c>
    </row>
    <row r="9" spans="1:32">
      <c r="A9" s="3">
        <v>45883</v>
      </c>
      <c r="B9" s="4" t="s">
        <v>50</v>
      </c>
      <c r="C9" s="4" t="s">
        <v>60</v>
      </c>
      <c r="D9" s="6" t="b">
        <f t="shared" si="0"/>
        <v>0</v>
      </c>
      <c r="E9" s="4" t="s">
        <v>50</v>
      </c>
      <c r="F9" s="4" t="s">
        <v>51</v>
      </c>
      <c r="G9" s="4" t="s">
        <v>52</v>
      </c>
      <c r="H9" s="4" t="s">
        <v>64</v>
      </c>
      <c r="I9" s="5">
        <v>0</v>
      </c>
      <c r="J9" s="5">
        <v>0</v>
      </c>
      <c r="K9" s="5">
        <v>171.44</v>
      </c>
      <c r="L9" s="5">
        <v>0</v>
      </c>
      <c r="M9" s="42">
        <v>171.44</v>
      </c>
      <c r="N9" s="40"/>
      <c r="O9" s="41">
        <v>0</v>
      </c>
      <c r="P9" s="41">
        <v>41.114</v>
      </c>
      <c r="Q9" s="41">
        <v>41.114</v>
      </c>
      <c r="R9" s="44">
        <v>4.16987</v>
      </c>
      <c r="S9" s="44">
        <v>0</v>
      </c>
      <c r="T9" s="4" t="s">
        <v>52</v>
      </c>
      <c r="U9" s="4" t="s">
        <v>54</v>
      </c>
      <c r="V9" s="4" t="s">
        <v>63</v>
      </c>
      <c r="W9" s="4" t="s">
        <v>56</v>
      </c>
      <c r="X9" s="4" t="s">
        <v>57</v>
      </c>
      <c r="Y9" s="4" t="s">
        <v>58</v>
      </c>
      <c r="Z9" s="4" t="s">
        <v>53</v>
      </c>
      <c r="AA9" s="4" t="s">
        <v>52</v>
      </c>
      <c r="AB9" s="4" t="s">
        <v>59</v>
      </c>
      <c r="AC9" s="6" t="b">
        <f t="shared" si="1"/>
        <v>0</v>
      </c>
      <c r="AD9" s="6">
        <v>0</v>
      </c>
      <c r="AE9" s="6">
        <v>10955</v>
      </c>
      <c r="AF9" s="6">
        <v>49778</v>
      </c>
    </row>
    <row r="10" spans="1:32">
      <c r="A10" s="3">
        <v>45883</v>
      </c>
      <c r="B10" s="4" t="s">
        <v>50</v>
      </c>
      <c r="C10" s="4" t="s">
        <v>61</v>
      </c>
      <c r="D10" s="6" t="b">
        <f t="shared" si="0"/>
        <v>0</v>
      </c>
      <c r="E10" s="4" t="s">
        <v>50</v>
      </c>
      <c r="F10" s="4" t="s">
        <v>51</v>
      </c>
      <c r="G10" s="4" t="s">
        <v>52</v>
      </c>
      <c r="H10" s="4" t="s">
        <v>65</v>
      </c>
      <c r="I10" s="5">
        <v>0</v>
      </c>
      <c r="J10" s="5">
        <v>0</v>
      </c>
      <c r="K10" s="5">
        <v>137.81</v>
      </c>
      <c r="L10" s="5">
        <v>0</v>
      </c>
      <c r="M10" s="42">
        <v>137.81</v>
      </c>
      <c r="N10" s="40"/>
      <c r="O10" s="41">
        <v>0</v>
      </c>
      <c r="P10" s="41">
        <v>90.316</v>
      </c>
      <c r="Q10" s="41">
        <v>0</v>
      </c>
      <c r="R10" s="44">
        <v>1.52586</v>
      </c>
      <c r="S10" s="44">
        <v>0</v>
      </c>
      <c r="T10" s="4" t="s">
        <v>52</v>
      </c>
      <c r="U10" s="4" t="s">
        <v>54</v>
      </c>
      <c r="V10" s="4" t="s">
        <v>63</v>
      </c>
      <c r="W10" s="4" t="s">
        <v>56</v>
      </c>
      <c r="X10" s="4" t="s">
        <v>57</v>
      </c>
      <c r="Y10" s="4" t="s">
        <v>58</v>
      </c>
      <c r="Z10" s="4" t="s">
        <v>53</v>
      </c>
      <c r="AA10" s="4" t="s">
        <v>52</v>
      </c>
      <c r="AB10" s="4" t="s">
        <v>59</v>
      </c>
      <c r="AC10" s="6" t="b">
        <f t="shared" si="1"/>
        <v>0</v>
      </c>
      <c r="AD10" s="6">
        <v>0</v>
      </c>
      <c r="AE10" s="6">
        <v>10954</v>
      </c>
      <c r="AF10" s="6">
        <v>49777</v>
      </c>
    </row>
    <row r="11" spans="1:32">
      <c r="A11" s="3">
        <v>45883</v>
      </c>
      <c r="B11" s="4" t="s">
        <v>50</v>
      </c>
      <c r="C11" s="4" t="s">
        <v>60</v>
      </c>
      <c r="D11" s="6" t="b">
        <f t="shared" si="0"/>
        <v>0</v>
      </c>
      <c r="E11" s="4" t="s">
        <v>50</v>
      </c>
      <c r="F11" s="4" t="s">
        <v>51</v>
      </c>
      <c r="G11" s="4" t="s">
        <v>52</v>
      </c>
      <c r="H11" s="4" t="s">
        <v>65</v>
      </c>
      <c r="I11" s="5">
        <v>0</v>
      </c>
      <c r="J11" s="5">
        <v>0</v>
      </c>
      <c r="K11" s="5">
        <v>376.62</v>
      </c>
      <c r="L11" s="5">
        <v>0</v>
      </c>
      <c r="M11" s="42">
        <v>376.62</v>
      </c>
      <c r="N11" s="40"/>
      <c r="O11" s="41">
        <v>0</v>
      </c>
      <c r="P11" s="41">
        <v>90.316</v>
      </c>
      <c r="Q11" s="41">
        <v>90.316</v>
      </c>
      <c r="R11" s="44">
        <v>4.17003</v>
      </c>
      <c r="S11" s="44">
        <v>0</v>
      </c>
      <c r="T11" s="4" t="s">
        <v>52</v>
      </c>
      <c r="U11" s="4" t="s">
        <v>54</v>
      </c>
      <c r="V11" s="4" t="s">
        <v>63</v>
      </c>
      <c r="W11" s="4" t="s">
        <v>56</v>
      </c>
      <c r="X11" s="4" t="s">
        <v>57</v>
      </c>
      <c r="Y11" s="4" t="s">
        <v>58</v>
      </c>
      <c r="Z11" s="4" t="s">
        <v>53</v>
      </c>
      <c r="AA11" s="4" t="s">
        <v>52</v>
      </c>
      <c r="AB11" s="4" t="s">
        <v>59</v>
      </c>
      <c r="AC11" s="6" t="b">
        <f t="shared" si="1"/>
        <v>0</v>
      </c>
      <c r="AD11" s="6">
        <v>0</v>
      </c>
      <c r="AE11" s="6">
        <v>10954</v>
      </c>
      <c r="AF11" s="6">
        <v>49776</v>
      </c>
    </row>
    <row r="12" spans="1:32">
      <c r="A12" s="3">
        <v>45883</v>
      </c>
      <c r="B12" s="4" t="s">
        <v>50</v>
      </c>
      <c r="C12" s="4" t="s">
        <v>61</v>
      </c>
      <c r="D12" s="6" t="b">
        <f t="shared" si="0"/>
        <v>0</v>
      </c>
      <c r="E12" s="4" t="s">
        <v>50</v>
      </c>
      <c r="F12" s="4" t="s">
        <v>51</v>
      </c>
      <c r="G12" s="4" t="s">
        <v>52</v>
      </c>
      <c r="H12" s="4" t="s">
        <v>66</v>
      </c>
      <c r="I12" s="5">
        <v>0</v>
      </c>
      <c r="J12" s="5">
        <v>0</v>
      </c>
      <c r="K12" s="5">
        <v>135.68</v>
      </c>
      <c r="L12" s="5">
        <v>0</v>
      </c>
      <c r="M12" s="42">
        <v>135.68</v>
      </c>
      <c r="N12" s="40"/>
      <c r="O12" s="41">
        <v>0</v>
      </c>
      <c r="P12" s="41">
        <v>41.114</v>
      </c>
      <c r="Q12" s="41">
        <v>0</v>
      </c>
      <c r="R12" s="44">
        <v>3.30009</v>
      </c>
      <c r="S12" s="44">
        <v>0</v>
      </c>
      <c r="T12" s="4" t="s">
        <v>52</v>
      </c>
      <c r="U12" s="4" t="s">
        <v>54</v>
      </c>
      <c r="V12" s="4" t="s">
        <v>67</v>
      </c>
      <c r="W12" s="4" t="s">
        <v>56</v>
      </c>
      <c r="X12" s="4" t="s">
        <v>57</v>
      </c>
      <c r="Y12" s="4" t="s">
        <v>58</v>
      </c>
      <c r="Z12" s="4" t="s">
        <v>53</v>
      </c>
      <c r="AA12" s="4" t="s">
        <v>52</v>
      </c>
      <c r="AB12" s="4" t="s">
        <v>59</v>
      </c>
      <c r="AC12" s="6" t="b">
        <f t="shared" si="1"/>
        <v>0</v>
      </c>
      <c r="AD12" s="6">
        <v>0</v>
      </c>
      <c r="AE12" s="6">
        <v>10952</v>
      </c>
      <c r="AF12" s="6">
        <v>49775</v>
      </c>
    </row>
    <row r="13" spans="1:32">
      <c r="A13" s="3">
        <v>45883</v>
      </c>
      <c r="B13" s="4" t="s">
        <v>50</v>
      </c>
      <c r="C13" s="4" t="s">
        <v>60</v>
      </c>
      <c r="D13" s="6" t="b">
        <f t="shared" si="0"/>
        <v>0</v>
      </c>
      <c r="E13" s="4" t="s">
        <v>50</v>
      </c>
      <c r="F13" s="4" t="s">
        <v>51</v>
      </c>
      <c r="G13" s="4" t="s">
        <v>52</v>
      </c>
      <c r="H13" s="4" t="s">
        <v>66</v>
      </c>
      <c r="I13" s="5">
        <v>0</v>
      </c>
      <c r="J13" s="5">
        <v>0</v>
      </c>
      <c r="K13" s="5">
        <v>290.67</v>
      </c>
      <c r="L13" s="5">
        <v>0</v>
      </c>
      <c r="M13" s="42">
        <v>290.67</v>
      </c>
      <c r="N13" s="40"/>
      <c r="O13" s="41">
        <v>0</v>
      </c>
      <c r="P13" s="41">
        <v>41.114</v>
      </c>
      <c r="Q13" s="41">
        <v>41.114</v>
      </c>
      <c r="R13" s="44">
        <v>7.06985</v>
      </c>
      <c r="S13" s="44">
        <v>0</v>
      </c>
      <c r="T13" s="4" t="s">
        <v>52</v>
      </c>
      <c r="U13" s="4" t="s">
        <v>54</v>
      </c>
      <c r="V13" s="4" t="s">
        <v>67</v>
      </c>
      <c r="W13" s="4" t="s">
        <v>56</v>
      </c>
      <c r="X13" s="4" t="s">
        <v>57</v>
      </c>
      <c r="Y13" s="4" t="s">
        <v>58</v>
      </c>
      <c r="Z13" s="4" t="s">
        <v>53</v>
      </c>
      <c r="AA13" s="4" t="s">
        <v>52</v>
      </c>
      <c r="AB13" s="4" t="s">
        <v>59</v>
      </c>
      <c r="AC13" s="6" t="b">
        <f t="shared" si="1"/>
        <v>0</v>
      </c>
      <c r="AD13" s="6">
        <v>0</v>
      </c>
      <c r="AE13" s="6">
        <v>10952</v>
      </c>
      <c r="AF13" s="6">
        <v>49774</v>
      </c>
    </row>
    <row r="14" spans="1:32">
      <c r="A14" s="3">
        <v>45883</v>
      </c>
      <c r="B14" s="4" t="s">
        <v>48</v>
      </c>
      <c r="C14" s="4" t="s">
        <v>60</v>
      </c>
      <c r="D14" s="6" t="b">
        <f t="shared" si="0"/>
        <v>0</v>
      </c>
      <c r="E14" s="4" t="s">
        <v>50</v>
      </c>
      <c r="F14" s="4" t="s">
        <v>51</v>
      </c>
      <c r="G14" s="4" t="s">
        <v>52</v>
      </c>
      <c r="H14" s="4" t="s">
        <v>52</v>
      </c>
      <c r="I14" s="5">
        <v>0</v>
      </c>
      <c r="J14" s="5">
        <v>8237.97</v>
      </c>
      <c r="K14" s="5">
        <v>0</v>
      </c>
      <c r="L14" s="5">
        <v>0</v>
      </c>
      <c r="M14" s="42">
        <v>0</v>
      </c>
      <c r="N14" s="40"/>
      <c r="O14" s="41">
        <v>33700</v>
      </c>
      <c r="P14" s="41">
        <v>33700</v>
      </c>
      <c r="Q14" s="41">
        <v>0</v>
      </c>
      <c r="R14" s="44">
        <v>0</v>
      </c>
      <c r="S14" s="44">
        <v>0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58</v>
      </c>
      <c r="Z14" s="4" t="s">
        <v>53</v>
      </c>
      <c r="AA14" s="4" t="s">
        <v>52</v>
      </c>
      <c r="AB14" s="4" t="s">
        <v>59</v>
      </c>
      <c r="AC14" s="6" t="b">
        <f t="shared" si="1"/>
        <v>0</v>
      </c>
      <c r="AD14" s="6">
        <v>24239</v>
      </c>
      <c r="AE14" s="6">
        <v>0</v>
      </c>
      <c r="AF14" s="6">
        <v>49773</v>
      </c>
    </row>
    <row r="15" spans="1:32">
      <c r="A15" s="3">
        <v>45883</v>
      </c>
      <c r="B15" s="4" t="s">
        <v>50</v>
      </c>
      <c r="C15" s="4" t="s">
        <v>61</v>
      </c>
      <c r="D15" s="6" t="b">
        <f t="shared" si="0"/>
        <v>0</v>
      </c>
      <c r="E15" s="4" t="s">
        <v>50</v>
      </c>
      <c r="F15" s="4" t="s">
        <v>51</v>
      </c>
      <c r="G15" s="4" t="s">
        <v>52</v>
      </c>
      <c r="H15" s="4" t="s">
        <v>68</v>
      </c>
      <c r="I15" s="5">
        <v>0</v>
      </c>
      <c r="J15" s="5">
        <v>0</v>
      </c>
      <c r="K15" s="5">
        <v>144.51</v>
      </c>
      <c r="L15" s="5">
        <v>0</v>
      </c>
      <c r="M15" s="42">
        <v>144.51</v>
      </c>
      <c r="N15" s="40"/>
      <c r="O15" s="41">
        <v>0</v>
      </c>
      <c r="P15" s="41">
        <v>90.316</v>
      </c>
      <c r="Q15" s="41">
        <v>0</v>
      </c>
      <c r="R15" s="44">
        <v>1.60005</v>
      </c>
      <c r="S15" s="44">
        <v>0</v>
      </c>
      <c r="T15" s="4" t="s">
        <v>52</v>
      </c>
      <c r="U15" s="4" t="s">
        <v>54</v>
      </c>
      <c r="V15" s="4" t="s">
        <v>67</v>
      </c>
      <c r="W15" s="4" t="s">
        <v>56</v>
      </c>
      <c r="X15" s="4" t="s">
        <v>57</v>
      </c>
      <c r="Y15" s="4" t="s">
        <v>58</v>
      </c>
      <c r="Z15" s="4" t="s">
        <v>53</v>
      </c>
      <c r="AA15" s="4" t="s">
        <v>52</v>
      </c>
      <c r="AB15" s="4" t="s">
        <v>59</v>
      </c>
      <c r="AC15" s="6" t="b">
        <f t="shared" si="1"/>
        <v>0</v>
      </c>
      <c r="AD15" s="6">
        <v>0</v>
      </c>
      <c r="AE15" s="6">
        <v>10951</v>
      </c>
      <c r="AF15" s="6">
        <v>49772</v>
      </c>
    </row>
    <row r="16" s="39" customFormat="1" spans="1:105">
      <c r="A16" s="1">
        <v>45883</v>
      </c>
      <c r="B16" s="1" t="s">
        <v>50</v>
      </c>
      <c r="C16" s="1" t="s">
        <v>60</v>
      </c>
      <c r="D16" s="1" t="b">
        <f t="shared" si="0"/>
        <v>0</v>
      </c>
      <c r="E16" s="1" t="s">
        <v>50</v>
      </c>
      <c r="F16" s="1" t="s">
        <v>51</v>
      </c>
      <c r="G16" s="1" t="s">
        <v>52</v>
      </c>
      <c r="H16" s="1" t="s">
        <v>68</v>
      </c>
      <c r="I16" s="1">
        <v>0</v>
      </c>
      <c r="J16" s="1">
        <v>0</v>
      </c>
      <c r="K16" s="1">
        <v>638.53</v>
      </c>
      <c r="L16" s="1">
        <v>0</v>
      </c>
      <c r="M16" s="43">
        <v>638.53</v>
      </c>
      <c r="N16" s="40">
        <f>SUM(M6:M16)</f>
        <v>2278.59</v>
      </c>
      <c r="O16" s="1">
        <v>0</v>
      </c>
      <c r="P16" s="1">
        <v>90.316</v>
      </c>
      <c r="Q16" s="1">
        <v>90.316</v>
      </c>
      <c r="R16" s="1">
        <v>7.06995</v>
      </c>
      <c r="S16" s="1">
        <v>0</v>
      </c>
      <c r="T16" s="1" t="s">
        <v>52</v>
      </c>
      <c r="U16" s="1" t="s">
        <v>54</v>
      </c>
      <c r="V16" s="1" t="s">
        <v>67</v>
      </c>
      <c r="W16" s="1" t="s">
        <v>56</v>
      </c>
      <c r="X16" s="1" t="s">
        <v>57</v>
      </c>
      <c r="Y16" s="1" t="s">
        <v>58</v>
      </c>
      <c r="Z16" s="1" t="s">
        <v>53</v>
      </c>
      <c r="AA16" s="1" t="s">
        <v>52</v>
      </c>
      <c r="AB16" s="1" t="s">
        <v>59</v>
      </c>
      <c r="AC16" s="1" t="b">
        <f t="shared" si="1"/>
        <v>0</v>
      </c>
      <c r="AD16" s="1">
        <v>0</v>
      </c>
      <c r="AE16" s="1">
        <v>10951</v>
      </c>
      <c r="AF16" s="1">
        <v>49771</v>
      </c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32">
      <c r="A17" s="3">
        <v>45869</v>
      </c>
      <c r="B17" s="4" t="s">
        <v>69</v>
      </c>
      <c r="C17" s="4" t="s">
        <v>60</v>
      </c>
      <c r="D17" s="6" t="b">
        <f t="shared" si="0"/>
        <v>0</v>
      </c>
      <c r="E17" s="4" t="s">
        <v>50</v>
      </c>
      <c r="F17" s="4" t="s">
        <v>51</v>
      </c>
      <c r="G17" s="4" t="s">
        <v>52</v>
      </c>
      <c r="H17" s="4" t="s">
        <v>52</v>
      </c>
      <c r="I17" s="5">
        <v>0</v>
      </c>
      <c r="J17" s="5">
        <v>0</v>
      </c>
      <c r="K17" s="5">
        <v>-26</v>
      </c>
      <c r="L17" s="5">
        <v>0</v>
      </c>
      <c r="M17" s="5">
        <v>-26</v>
      </c>
      <c r="N17" s="40"/>
      <c r="O17" s="41">
        <v>-10</v>
      </c>
      <c r="P17" s="41">
        <v>-10</v>
      </c>
      <c r="Q17" s="41">
        <v>-10</v>
      </c>
      <c r="R17" s="44">
        <v>2.6</v>
      </c>
      <c r="S17" s="44">
        <v>0</v>
      </c>
      <c r="T17" s="4" t="s">
        <v>70</v>
      </c>
      <c r="U17" s="4" t="s">
        <v>71</v>
      </c>
      <c r="V17" s="4" t="s">
        <v>72</v>
      </c>
      <c r="W17" s="4" t="s">
        <v>56</v>
      </c>
      <c r="X17" s="4" t="s">
        <v>57</v>
      </c>
      <c r="Y17" s="4" t="s">
        <v>58</v>
      </c>
      <c r="Z17" s="4" t="s">
        <v>53</v>
      </c>
      <c r="AA17" s="4" t="s">
        <v>52</v>
      </c>
      <c r="AB17" s="4" t="s">
        <v>59</v>
      </c>
      <c r="AC17" s="6" t="b">
        <f t="shared" si="1"/>
        <v>0</v>
      </c>
      <c r="AD17" s="6">
        <v>23946</v>
      </c>
      <c r="AE17" s="6">
        <v>0</v>
      </c>
      <c r="AF17" s="6">
        <v>49207</v>
      </c>
    </row>
    <row r="18" spans="1:32">
      <c r="A18" s="3">
        <v>45869</v>
      </c>
      <c r="B18" s="4" t="s">
        <v>69</v>
      </c>
      <c r="C18" s="4" t="s">
        <v>60</v>
      </c>
      <c r="D18" s="6" t="b">
        <f t="shared" si="0"/>
        <v>0</v>
      </c>
      <c r="E18" s="4" t="s">
        <v>50</v>
      </c>
      <c r="F18" s="4" t="s">
        <v>51</v>
      </c>
      <c r="G18" s="4" t="s">
        <v>52</v>
      </c>
      <c r="H18" s="4" t="s">
        <v>52</v>
      </c>
      <c r="I18" s="5">
        <v>0</v>
      </c>
      <c r="J18" s="5">
        <v>0</v>
      </c>
      <c r="K18" s="5">
        <v>-96.2</v>
      </c>
      <c r="L18" s="5">
        <v>0</v>
      </c>
      <c r="M18" s="5">
        <v>-96.2</v>
      </c>
      <c r="N18" s="40"/>
      <c r="O18" s="41">
        <v>-37</v>
      </c>
      <c r="P18" s="41">
        <v>-37</v>
      </c>
      <c r="Q18" s="41">
        <v>-37</v>
      </c>
      <c r="R18" s="44">
        <v>2.6</v>
      </c>
      <c r="S18" s="44">
        <v>0</v>
      </c>
      <c r="T18" s="4" t="s">
        <v>73</v>
      </c>
      <c r="U18" s="4" t="s">
        <v>71</v>
      </c>
      <c r="V18" s="4" t="s">
        <v>72</v>
      </c>
      <c r="W18" s="4" t="s">
        <v>56</v>
      </c>
      <c r="X18" s="4" t="s">
        <v>57</v>
      </c>
      <c r="Y18" s="4" t="s">
        <v>58</v>
      </c>
      <c r="Z18" s="4" t="s">
        <v>53</v>
      </c>
      <c r="AA18" s="4" t="s">
        <v>52</v>
      </c>
      <c r="AB18" s="4" t="s">
        <v>59</v>
      </c>
      <c r="AC18" s="6" t="b">
        <f t="shared" si="1"/>
        <v>0</v>
      </c>
      <c r="AD18" s="6">
        <v>23945</v>
      </c>
      <c r="AE18" s="6">
        <v>0</v>
      </c>
      <c r="AF18" s="6">
        <v>49206</v>
      </c>
    </row>
    <row r="19" spans="1:32">
      <c r="A19" s="3">
        <v>45869</v>
      </c>
      <c r="B19" s="4" t="s">
        <v>69</v>
      </c>
      <c r="C19" s="4" t="s">
        <v>60</v>
      </c>
      <c r="D19" s="6" t="b">
        <f t="shared" si="0"/>
        <v>0</v>
      </c>
      <c r="E19" s="4" t="s">
        <v>50</v>
      </c>
      <c r="F19" s="4" t="s">
        <v>51</v>
      </c>
      <c r="G19" s="4" t="s">
        <v>52</v>
      </c>
      <c r="H19" s="4" t="s">
        <v>52</v>
      </c>
      <c r="I19" s="5">
        <v>0</v>
      </c>
      <c r="J19" s="5">
        <v>0</v>
      </c>
      <c r="K19" s="5">
        <v>-3342.1</v>
      </c>
      <c r="L19" s="5">
        <v>0</v>
      </c>
      <c r="M19" s="5">
        <v>-3342.1</v>
      </c>
      <c r="N19" s="40"/>
      <c r="O19" s="41">
        <v>-70.36</v>
      </c>
      <c r="P19" s="41">
        <v>-70.36</v>
      </c>
      <c r="Q19" s="41">
        <v>-70.36</v>
      </c>
      <c r="R19" s="44">
        <v>47.5</v>
      </c>
      <c r="S19" s="44">
        <v>0</v>
      </c>
      <c r="T19" s="4" t="s">
        <v>74</v>
      </c>
      <c r="U19" s="4" t="s">
        <v>71</v>
      </c>
      <c r="V19" s="4" t="s">
        <v>75</v>
      </c>
      <c r="W19" s="4" t="s">
        <v>56</v>
      </c>
      <c r="X19" s="4" t="s">
        <v>57</v>
      </c>
      <c r="Y19" s="4" t="s">
        <v>58</v>
      </c>
      <c r="Z19" s="4" t="s">
        <v>53</v>
      </c>
      <c r="AA19" s="4" t="s">
        <v>52</v>
      </c>
      <c r="AB19" s="4" t="s">
        <v>59</v>
      </c>
      <c r="AC19" s="6" t="b">
        <f t="shared" si="1"/>
        <v>0</v>
      </c>
      <c r="AD19" s="6">
        <v>23944</v>
      </c>
      <c r="AE19" s="6">
        <v>0</v>
      </c>
      <c r="AF19" s="6">
        <v>49205</v>
      </c>
    </row>
    <row r="20" spans="1:32">
      <c r="A20" s="3">
        <v>45869</v>
      </c>
      <c r="B20" s="4" t="s">
        <v>69</v>
      </c>
      <c r="C20" s="4" t="s">
        <v>60</v>
      </c>
      <c r="D20" s="6" t="b">
        <f t="shared" si="0"/>
        <v>0</v>
      </c>
      <c r="E20" s="4" t="s">
        <v>50</v>
      </c>
      <c r="F20" s="4" t="s">
        <v>51</v>
      </c>
      <c r="G20" s="4" t="s">
        <v>52</v>
      </c>
      <c r="H20" s="4" t="s">
        <v>52</v>
      </c>
      <c r="I20" s="5">
        <v>0</v>
      </c>
      <c r="J20" s="5">
        <v>0</v>
      </c>
      <c r="K20" s="5">
        <v>-5795</v>
      </c>
      <c r="L20" s="5">
        <v>0</v>
      </c>
      <c r="M20" s="5">
        <v>-5795</v>
      </c>
      <c r="N20" s="40"/>
      <c r="O20" s="41">
        <v>-122</v>
      </c>
      <c r="P20" s="41">
        <v>-122</v>
      </c>
      <c r="Q20" s="41">
        <v>-122</v>
      </c>
      <c r="R20" s="44">
        <v>47.5</v>
      </c>
      <c r="S20" s="44">
        <v>0</v>
      </c>
      <c r="T20" s="4" t="s">
        <v>74</v>
      </c>
      <c r="U20" s="4" t="s">
        <v>71</v>
      </c>
      <c r="V20" s="4" t="s">
        <v>75</v>
      </c>
      <c r="W20" s="4" t="s">
        <v>56</v>
      </c>
      <c r="X20" s="4" t="s">
        <v>57</v>
      </c>
      <c r="Y20" s="4" t="s">
        <v>58</v>
      </c>
      <c r="Z20" s="4" t="s">
        <v>53</v>
      </c>
      <c r="AA20" s="4" t="s">
        <v>52</v>
      </c>
      <c r="AB20" s="4" t="s">
        <v>59</v>
      </c>
      <c r="AC20" s="6" t="b">
        <f t="shared" si="1"/>
        <v>0</v>
      </c>
      <c r="AD20" s="6">
        <v>23943</v>
      </c>
      <c r="AE20" s="6">
        <v>0</v>
      </c>
      <c r="AF20" s="6">
        <v>49204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1"/>
  <sheetViews>
    <sheetView showGridLines="0" workbookViewId="0">
      <pane ySplit="12" topLeftCell="A247" activePane="bottomLeft" state="frozen"/>
      <selection/>
      <selection pane="bottomLeft" activeCell="I12" sqref="I12"/>
    </sheetView>
  </sheetViews>
  <sheetFormatPr defaultColWidth="9.81818181818182" defaultRowHeight="14.5"/>
  <cols>
    <col min="1" max="1" width="12" customWidth="1"/>
    <col min="2" max="2" width="26.7181818181818" customWidth="1"/>
    <col min="3" max="3" width="5.13636363636364" customWidth="1"/>
    <col min="4" max="4" width="0.954545454545455" customWidth="1"/>
    <col min="5" max="5" width="9.63636363636364" customWidth="1"/>
    <col min="6" max="6" width="11.3727272727273" customWidth="1"/>
    <col min="7" max="7" width="0.954545454545455" customWidth="1"/>
    <col min="8" max="8" width="0.7" customWidth="1"/>
    <col min="9" max="9" width="8.95454545454546" customWidth="1"/>
    <col min="10" max="10" width="11.3636363636364" customWidth="1"/>
    <col min="11" max="11" width="0.954545454545455" customWidth="1"/>
    <col min="12" max="12" width="9.63636363636364" customWidth="1"/>
    <col min="13" max="13" width="11.3727272727273" customWidth="1"/>
    <col min="14" max="14" width="0.763636363636364" customWidth="1"/>
    <col min="15" max="15" width="0.2" customWidth="1"/>
    <col min="16" max="16" width="9.63636363636364" customWidth="1"/>
    <col min="17" max="17" width="11.3636363636364" customWidth="1"/>
    <col min="18" max="18" width="0.954545454545455" customWidth="1"/>
    <col min="19" max="19" width="13.8909090909091" customWidth="1"/>
    <col min="20" max="20" width="0.0272727272727273" customWidth="1"/>
    <col min="21" max="21" width="0.0818181818181818" customWidth="1"/>
  </cols>
  <sheetData>
    <row r="1" ht="2" customHeight="1" spans="1:15">
      <c r="A1" s="11" t="s">
        <v>76</v>
      </c>
      <c r="O1" s="31" t="s">
        <v>52</v>
      </c>
    </row>
    <row r="2" ht="11" customHeight="1" spans="15:15">
      <c r="O2" s="32" t="s">
        <v>77</v>
      </c>
    </row>
    <row r="3" ht="0.95" customHeight="1"/>
    <row r="4" ht="6.05" customHeight="1" spans="15:15">
      <c r="O4" s="32" t="s">
        <v>78</v>
      </c>
    </row>
    <row r="5" spans="1:1">
      <c r="A5" s="12" t="s">
        <v>52</v>
      </c>
    </row>
    <row r="7" spans="15:15">
      <c r="O7" s="32" t="s">
        <v>79</v>
      </c>
    </row>
    <row r="8" spans="1:1">
      <c r="A8" s="13" t="s">
        <v>80</v>
      </c>
    </row>
    <row r="10" ht="4" customHeight="1"/>
    <row r="11" ht="0.05" customHeight="1"/>
    <row r="12" ht="20" customHeight="1" spans="1:1">
      <c r="A12" s="14" t="s">
        <v>52</v>
      </c>
    </row>
    <row r="13" spans="1:19">
      <c r="A13" s="15" t="s">
        <v>81</v>
      </c>
      <c r="C13" s="16" t="s">
        <v>52</v>
      </c>
      <c r="D13" s="16" t="s">
        <v>52</v>
      </c>
      <c r="E13" s="17" t="s">
        <v>82</v>
      </c>
      <c r="G13" s="16" t="s">
        <v>52</v>
      </c>
      <c r="H13" s="17" t="s">
        <v>83</v>
      </c>
      <c r="K13" s="16" t="s">
        <v>52</v>
      </c>
      <c r="L13" s="17" t="s">
        <v>84</v>
      </c>
      <c r="N13" s="16" t="s">
        <v>52</v>
      </c>
      <c r="P13" s="17" t="s">
        <v>85</v>
      </c>
      <c r="R13" s="16" t="s">
        <v>52</v>
      </c>
      <c r="S13" s="18" t="s">
        <v>52</v>
      </c>
    </row>
    <row r="14" ht="7" customHeight="1" spans="1:1">
      <c r="A14" s="16" t="s">
        <v>52</v>
      </c>
    </row>
    <row r="15" ht="23" spans="1:19">
      <c r="A15" s="16" t="s">
        <v>35</v>
      </c>
      <c r="B15" s="16" t="s">
        <v>23</v>
      </c>
      <c r="C15" s="16" t="s">
        <v>86</v>
      </c>
      <c r="D15" s="18" t="s">
        <v>52</v>
      </c>
      <c r="E15" s="18" t="s">
        <v>87</v>
      </c>
      <c r="F15" s="18" t="s">
        <v>88</v>
      </c>
      <c r="G15" s="18" t="s">
        <v>52</v>
      </c>
      <c r="H15" s="18" t="s">
        <v>87</v>
      </c>
      <c r="J15" s="18" t="s">
        <v>88</v>
      </c>
      <c r="K15" s="18" t="s">
        <v>52</v>
      </c>
      <c r="L15" s="18" t="s">
        <v>87</v>
      </c>
      <c r="M15" s="18" t="s">
        <v>88</v>
      </c>
      <c r="N15" s="18" t="s">
        <v>52</v>
      </c>
      <c r="P15" s="18" t="s">
        <v>87</v>
      </c>
      <c r="Q15" s="18" t="s">
        <v>88</v>
      </c>
      <c r="R15" s="18" t="s">
        <v>52</v>
      </c>
      <c r="S15" s="18" t="s">
        <v>28</v>
      </c>
    </row>
    <row r="16" ht="7" customHeight="1" spans="1:19">
      <c r="A16" s="19" t="s">
        <v>52</v>
      </c>
      <c r="B16" s="20" t="s">
        <v>52</v>
      </c>
      <c r="C16" s="20" t="s">
        <v>52</v>
      </c>
      <c r="D16" s="20" t="s">
        <v>52</v>
      </c>
      <c r="E16" s="20" t="s">
        <v>52</v>
      </c>
      <c r="F16" s="20" t="s">
        <v>52</v>
      </c>
      <c r="G16" s="20" t="s">
        <v>52</v>
      </c>
      <c r="H16" s="20" t="s">
        <v>52</v>
      </c>
      <c r="I16" s="20" t="s">
        <v>52</v>
      </c>
      <c r="J16" s="20" t="s">
        <v>52</v>
      </c>
      <c r="K16" s="20" t="s">
        <v>52</v>
      </c>
      <c r="L16" s="20" t="s">
        <v>52</v>
      </c>
      <c r="M16" s="20" t="s">
        <v>52</v>
      </c>
      <c r="N16" s="20" t="s">
        <v>52</v>
      </c>
      <c r="O16" s="20" t="s">
        <v>52</v>
      </c>
      <c r="P16" s="20" t="s">
        <v>52</v>
      </c>
      <c r="Q16" s="20" t="s">
        <v>52</v>
      </c>
      <c r="R16" s="20" t="s">
        <v>52</v>
      </c>
      <c r="S16" s="20" t="s">
        <v>52</v>
      </c>
    </row>
    <row r="17" ht="7" customHeight="1" spans="1:1">
      <c r="A17" s="21" t="s">
        <v>52</v>
      </c>
    </row>
    <row r="18" spans="1:19">
      <c r="A18" s="22" t="s">
        <v>55</v>
      </c>
      <c r="C18" s="13" t="s">
        <v>52</v>
      </c>
      <c r="D18" s="13" t="s">
        <v>52</v>
      </c>
      <c r="E18" s="23" t="s">
        <v>52</v>
      </c>
      <c r="F18" s="23" t="s">
        <v>52</v>
      </c>
      <c r="G18" s="13" t="s">
        <v>52</v>
      </c>
      <c r="H18" s="23" t="s">
        <v>52</v>
      </c>
      <c r="J18" s="23" t="s">
        <v>52</v>
      </c>
      <c r="K18" s="13" t="s">
        <v>52</v>
      </c>
      <c r="L18" s="23" t="s">
        <v>52</v>
      </c>
      <c r="M18" s="23" t="s">
        <v>52</v>
      </c>
      <c r="N18" s="13" t="s">
        <v>52</v>
      </c>
      <c r="P18" s="23" t="s">
        <v>52</v>
      </c>
      <c r="Q18" s="23" t="s">
        <v>52</v>
      </c>
      <c r="R18" s="13" t="s">
        <v>52</v>
      </c>
      <c r="S18" s="23" t="s">
        <v>52</v>
      </c>
    </row>
    <row r="19" ht="7" customHeight="1" spans="1:1">
      <c r="A19" s="24" t="s">
        <v>52</v>
      </c>
    </row>
    <row r="20" spans="1:19">
      <c r="A20" s="25" t="s">
        <v>89</v>
      </c>
      <c r="B20" s="26" t="s">
        <v>90</v>
      </c>
      <c r="C20" s="26" t="s">
        <v>91</v>
      </c>
      <c r="D20" s="13" t="s">
        <v>52</v>
      </c>
      <c r="E20" s="27">
        <v>44620</v>
      </c>
      <c r="F20" s="28">
        <v>49483.84</v>
      </c>
      <c r="G20" s="13" t="s">
        <v>52</v>
      </c>
      <c r="H20" s="27">
        <v>20629656</v>
      </c>
      <c r="J20" s="28">
        <v>23728222.31</v>
      </c>
      <c r="K20" s="13" t="s">
        <v>52</v>
      </c>
      <c r="L20" s="27">
        <v>20607370</v>
      </c>
      <c r="M20" s="28">
        <v>23697135.26</v>
      </c>
      <c r="N20" s="13" t="s">
        <v>52</v>
      </c>
      <c r="P20" s="27">
        <v>66906</v>
      </c>
      <c r="Q20" s="28">
        <v>80570.89</v>
      </c>
      <c r="R20" s="13" t="s">
        <v>52</v>
      </c>
      <c r="S20" s="28">
        <v>80570.89</v>
      </c>
    </row>
    <row r="21" spans="1:19">
      <c r="A21" s="29" t="s">
        <v>92</v>
      </c>
      <c r="B21" s="26" t="s">
        <v>93</v>
      </c>
      <c r="C21" s="26" t="s">
        <v>91</v>
      </c>
      <c r="D21" s="13" t="s">
        <v>52</v>
      </c>
      <c r="E21" s="27">
        <v>9222</v>
      </c>
      <c r="F21" s="28">
        <v>10294.43</v>
      </c>
      <c r="G21" s="13" t="s">
        <v>52</v>
      </c>
      <c r="H21" s="27">
        <v>4973791</v>
      </c>
      <c r="J21" s="28">
        <v>5837758.48</v>
      </c>
      <c r="K21" s="13" t="s">
        <v>52</v>
      </c>
      <c r="L21" s="27">
        <v>4961713</v>
      </c>
      <c r="M21" s="28">
        <v>5822957.04</v>
      </c>
      <c r="N21" s="13" t="s">
        <v>52</v>
      </c>
      <c r="P21" s="27">
        <v>21300</v>
      </c>
      <c r="Q21" s="28">
        <v>25095.87</v>
      </c>
      <c r="R21" s="13" t="s">
        <v>52</v>
      </c>
      <c r="S21" s="28">
        <v>25095.87</v>
      </c>
    </row>
    <row r="22" spans="1:19">
      <c r="A22" s="29" t="s">
        <v>94</v>
      </c>
      <c r="B22" s="26" t="s">
        <v>95</v>
      </c>
      <c r="C22" s="26" t="s">
        <v>91</v>
      </c>
      <c r="D22" s="13" t="s">
        <v>52</v>
      </c>
      <c r="E22" s="27">
        <v>18411</v>
      </c>
      <c r="F22" s="28">
        <v>20094.32</v>
      </c>
      <c r="G22" s="13" t="s">
        <v>52</v>
      </c>
      <c r="H22" s="27">
        <v>4840950</v>
      </c>
      <c r="J22" s="28">
        <v>5653411.95</v>
      </c>
      <c r="K22" s="13" t="s">
        <v>52</v>
      </c>
      <c r="L22" s="27">
        <v>4841300</v>
      </c>
      <c r="M22" s="28">
        <v>5652303.02</v>
      </c>
      <c r="N22" s="13" t="s">
        <v>52</v>
      </c>
      <c r="P22" s="27">
        <v>18061</v>
      </c>
      <c r="Q22" s="28">
        <v>21203.25</v>
      </c>
      <c r="R22" s="13" t="s">
        <v>52</v>
      </c>
      <c r="S22" s="28">
        <v>21203.25</v>
      </c>
    </row>
    <row r="23" spans="1:19">
      <c r="A23" s="29" t="s">
        <v>96</v>
      </c>
      <c r="B23" s="26" t="s">
        <v>97</v>
      </c>
      <c r="C23" s="26" t="s">
        <v>91</v>
      </c>
      <c r="D23" s="13" t="s">
        <v>52</v>
      </c>
      <c r="E23" s="27">
        <v>9545</v>
      </c>
      <c r="F23" s="28">
        <v>10498.83</v>
      </c>
      <c r="G23" s="13" t="s">
        <v>52</v>
      </c>
      <c r="H23" s="27">
        <v>772722</v>
      </c>
      <c r="J23" s="28">
        <v>925577.05</v>
      </c>
      <c r="K23" s="13" t="s">
        <v>52</v>
      </c>
      <c r="L23" s="27">
        <v>762340</v>
      </c>
      <c r="M23" s="28">
        <v>910136.51</v>
      </c>
      <c r="N23" s="13" t="s">
        <v>52</v>
      </c>
      <c r="P23" s="27">
        <v>19927</v>
      </c>
      <c r="Q23" s="28">
        <v>25939.37</v>
      </c>
      <c r="R23" s="13" t="s">
        <v>52</v>
      </c>
      <c r="S23" s="28">
        <v>25939.37</v>
      </c>
    </row>
    <row r="24" spans="1:19">
      <c r="A24" s="29" t="s">
        <v>98</v>
      </c>
      <c r="B24" s="26" t="s">
        <v>99</v>
      </c>
      <c r="C24" s="26" t="s">
        <v>91</v>
      </c>
      <c r="D24" s="13" t="s">
        <v>52</v>
      </c>
      <c r="E24" s="27">
        <v>6300</v>
      </c>
      <c r="F24" s="28">
        <v>6876.26</v>
      </c>
      <c r="G24" s="13" t="s">
        <v>52</v>
      </c>
      <c r="H24" s="27">
        <v>1065850</v>
      </c>
      <c r="J24" s="28">
        <v>1242574.11</v>
      </c>
      <c r="K24" s="13" t="s">
        <v>52</v>
      </c>
      <c r="L24" s="27">
        <v>1063500</v>
      </c>
      <c r="M24" s="28">
        <v>1238867.87</v>
      </c>
      <c r="N24" s="13" t="s">
        <v>52</v>
      </c>
      <c r="P24" s="27">
        <v>8650</v>
      </c>
      <c r="Q24" s="28">
        <v>10582.5</v>
      </c>
      <c r="R24" s="13" t="s">
        <v>52</v>
      </c>
      <c r="S24" s="28">
        <v>10582.5</v>
      </c>
    </row>
    <row r="25" spans="1:19">
      <c r="A25" s="29" t="s">
        <v>100</v>
      </c>
      <c r="B25" s="26" t="s">
        <v>101</v>
      </c>
      <c r="C25" s="26" t="s">
        <v>91</v>
      </c>
      <c r="D25" s="13" t="s">
        <v>52</v>
      </c>
      <c r="E25" s="27">
        <v>1238</v>
      </c>
      <c r="F25" s="28">
        <v>1436.95</v>
      </c>
      <c r="G25" s="13" t="s">
        <v>52</v>
      </c>
      <c r="H25" s="27">
        <v>206</v>
      </c>
      <c r="J25" s="28">
        <v>218.03</v>
      </c>
      <c r="K25" s="13" t="s">
        <v>52</v>
      </c>
      <c r="L25" s="30" t="s">
        <v>52</v>
      </c>
      <c r="M25" s="30" t="s">
        <v>52</v>
      </c>
      <c r="N25" s="13" t="s">
        <v>52</v>
      </c>
      <c r="P25" s="27">
        <v>1444</v>
      </c>
      <c r="Q25" s="28">
        <v>1654.98</v>
      </c>
      <c r="R25" s="13" t="s">
        <v>52</v>
      </c>
      <c r="S25" s="28">
        <v>1654.98</v>
      </c>
    </row>
    <row r="26" spans="1:19">
      <c r="A26" s="29" t="s">
        <v>102</v>
      </c>
      <c r="B26" s="26" t="s">
        <v>103</v>
      </c>
      <c r="C26" s="26" t="s">
        <v>91</v>
      </c>
      <c r="D26" s="13" t="s">
        <v>52</v>
      </c>
      <c r="E26" s="27">
        <v>34200</v>
      </c>
      <c r="F26" s="28">
        <v>21561.39</v>
      </c>
      <c r="G26" s="13" t="s">
        <v>52</v>
      </c>
      <c r="H26" s="27">
        <v>4262050</v>
      </c>
      <c r="J26" s="28">
        <v>2822416.41</v>
      </c>
      <c r="K26" s="13" t="s">
        <v>52</v>
      </c>
      <c r="L26" s="27">
        <v>4293250</v>
      </c>
      <c r="M26" s="28">
        <v>2842074.09</v>
      </c>
      <c r="N26" s="13" t="s">
        <v>52</v>
      </c>
      <c r="P26" s="27">
        <v>3000</v>
      </c>
      <c r="Q26" s="28">
        <v>1903.71</v>
      </c>
      <c r="R26" s="13" t="s">
        <v>52</v>
      </c>
      <c r="S26" s="28">
        <v>1903.71</v>
      </c>
    </row>
    <row r="27" spans="1:19">
      <c r="A27" s="29" t="s">
        <v>104</v>
      </c>
      <c r="B27" s="26" t="s">
        <v>105</v>
      </c>
      <c r="C27" s="26" t="s">
        <v>91</v>
      </c>
      <c r="D27" s="13" t="s">
        <v>52</v>
      </c>
      <c r="E27" s="27">
        <v>14662</v>
      </c>
      <c r="F27" s="28">
        <v>9602.69</v>
      </c>
      <c r="G27" s="13" t="s">
        <v>52</v>
      </c>
      <c r="H27" s="27">
        <v>5080478</v>
      </c>
      <c r="J27" s="28">
        <v>3474431.28</v>
      </c>
      <c r="K27" s="13" t="s">
        <v>52</v>
      </c>
      <c r="L27" s="27">
        <v>5060940</v>
      </c>
      <c r="M27" s="28">
        <v>3461691.62</v>
      </c>
      <c r="N27" s="13" t="s">
        <v>52</v>
      </c>
      <c r="P27" s="27">
        <v>34200</v>
      </c>
      <c r="Q27" s="28">
        <v>22342.35</v>
      </c>
      <c r="R27" s="13" t="s">
        <v>52</v>
      </c>
      <c r="S27" s="28">
        <v>22342.35</v>
      </c>
    </row>
    <row r="28" spans="1:19">
      <c r="A28" s="29" t="s">
        <v>106</v>
      </c>
      <c r="B28" s="26" t="s">
        <v>107</v>
      </c>
      <c r="C28" s="26" t="s">
        <v>91</v>
      </c>
      <c r="D28" s="13" t="s">
        <v>52</v>
      </c>
      <c r="E28" s="27">
        <v>26200</v>
      </c>
      <c r="F28" s="28">
        <v>16349.19</v>
      </c>
      <c r="G28" s="13" t="s">
        <v>52</v>
      </c>
      <c r="H28" s="27">
        <v>6080400</v>
      </c>
      <c r="J28" s="28">
        <v>4048852.97</v>
      </c>
      <c r="K28" s="13" t="s">
        <v>52</v>
      </c>
      <c r="L28" s="27">
        <v>6014700</v>
      </c>
      <c r="M28" s="28">
        <v>4003218.53</v>
      </c>
      <c r="N28" s="13" t="s">
        <v>52</v>
      </c>
      <c r="P28" s="27">
        <v>91900</v>
      </c>
      <c r="Q28" s="28">
        <v>61983.63</v>
      </c>
      <c r="R28" s="13" t="s">
        <v>52</v>
      </c>
      <c r="S28" s="28">
        <v>61983.63</v>
      </c>
    </row>
    <row r="29" spans="1:19">
      <c r="A29" s="29" t="s">
        <v>108</v>
      </c>
      <c r="B29" s="26" t="s">
        <v>109</v>
      </c>
      <c r="C29" s="26" t="s">
        <v>91</v>
      </c>
      <c r="D29" s="13" t="s">
        <v>52</v>
      </c>
      <c r="E29" s="27">
        <v>6140</v>
      </c>
      <c r="F29" s="28">
        <v>3930.95</v>
      </c>
      <c r="G29" s="13" t="s">
        <v>52</v>
      </c>
      <c r="H29" s="27">
        <v>350550</v>
      </c>
      <c r="J29" s="28">
        <v>244111.68</v>
      </c>
      <c r="K29" s="13" t="s">
        <v>52</v>
      </c>
      <c r="L29" s="27">
        <v>342500</v>
      </c>
      <c r="M29" s="28">
        <v>237243.33</v>
      </c>
      <c r="N29" s="13" t="s">
        <v>52</v>
      </c>
      <c r="P29" s="27">
        <v>14190</v>
      </c>
      <c r="Q29" s="28">
        <v>10799.3</v>
      </c>
      <c r="R29" s="13" t="s">
        <v>52</v>
      </c>
      <c r="S29" s="28">
        <v>10799.3</v>
      </c>
    </row>
    <row r="30" spans="1:19">
      <c r="A30" s="29" t="s">
        <v>110</v>
      </c>
      <c r="B30" s="26" t="s">
        <v>111</v>
      </c>
      <c r="C30" s="26" t="s">
        <v>91</v>
      </c>
      <c r="D30" s="13" t="s">
        <v>52</v>
      </c>
      <c r="E30" s="27">
        <v>18442</v>
      </c>
      <c r="F30" s="28">
        <v>11819.29</v>
      </c>
      <c r="G30" s="13" t="s">
        <v>52</v>
      </c>
      <c r="H30" s="27">
        <v>524500</v>
      </c>
      <c r="J30" s="28">
        <v>367699.5</v>
      </c>
      <c r="K30" s="13" t="s">
        <v>52</v>
      </c>
      <c r="L30" s="27">
        <v>512500</v>
      </c>
      <c r="M30" s="28">
        <v>356302.5</v>
      </c>
      <c r="N30" s="13" t="s">
        <v>52</v>
      </c>
      <c r="P30" s="27">
        <v>30442</v>
      </c>
      <c r="Q30" s="28">
        <v>23216.29</v>
      </c>
      <c r="R30" s="13" t="s">
        <v>52</v>
      </c>
      <c r="S30" s="28">
        <v>23216.29</v>
      </c>
    </row>
    <row r="31" spans="1:19">
      <c r="A31" s="29" t="s">
        <v>112</v>
      </c>
      <c r="B31" s="26" t="s">
        <v>113</v>
      </c>
      <c r="C31" s="26" t="s">
        <v>91</v>
      </c>
      <c r="D31" s="13" t="s">
        <v>52</v>
      </c>
      <c r="E31" s="27">
        <v>3234</v>
      </c>
      <c r="F31" s="28">
        <v>1574.51</v>
      </c>
      <c r="G31" s="13" t="s">
        <v>52</v>
      </c>
      <c r="H31" s="30" t="s">
        <v>52</v>
      </c>
      <c r="J31" s="30" t="s">
        <v>52</v>
      </c>
      <c r="K31" s="13" t="s">
        <v>52</v>
      </c>
      <c r="L31" s="30" t="s">
        <v>52</v>
      </c>
      <c r="M31" s="30" t="s">
        <v>52</v>
      </c>
      <c r="N31" s="13" t="s">
        <v>52</v>
      </c>
      <c r="P31" s="27">
        <v>3234</v>
      </c>
      <c r="Q31" s="28">
        <v>1574.51</v>
      </c>
      <c r="R31" s="13" t="s">
        <v>52</v>
      </c>
      <c r="S31" s="28">
        <v>1574.51</v>
      </c>
    </row>
    <row r="32" spans="1:19">
      <c r="A32" s="29" t="s">
        <v>114</v>
      </c>
      <c r="B32" s="26" t="s">
        <v>115</v>
      </c>
      <c r="C32" s="26" t="s">
        <v>91</v>
      </c>
      <c r="D32" s="13" t="s">
        <v>52</v>
      </c>
      <c r="E32" s="27">
        <v>3700</v>
      </c>
      <c r="F32" s="28">
        <v>4253.59</v>
      </c>
      <c r="G32" s="13" t="s">
        <v>52</v>
      </c>
      <c r="H32" s="27">
        <v>1052800</v>
      </c>
      <c r="J32" s="28">
        <v>1324761.41</v>
      </c>
      <c r="K32" s="13" t="s">
        <v>52</v>
      </c>
      <c r="L32" s="27">
        <v>940200</v>
      </c>
      <c r="M32" s="28">
        <v>1186383.68</v>
      </c>
      <c r="N32" s="13" t="s">
        <v>52</v>
      </c>
      <c r="P32" s="27">
        <v>116300</v>
      </c>
      <c r="Q32" s="28">
        <v>142631.32</v>
      </c>
      <c r="R32" s="13" t="s">
        <v>52</v>
      </c>
      <c r="S32" s="28">
        <v>142631.32</v>
      </c>
    </row>
    <row r="33" spans="1:19">
      <c r="A33" s="29" t="s">
        <v>116</v>
      </c>
      <c r="B33" s="26" t="s">
        <v>117</v>
      </c>
      <c r="C33" s="26" t="s">
        <v>91</v>
      </c>
      <c r="D33" s="13" t="s">
        <v>52</v>
      </c>
      <c r="E33" s="27">
        <v>585</v>
      </c>
      <c r="F33" s="28">
        <v>713.16</v>
      </c>
      <c r="G33" s="13" t="s">
        <v>52</v>
      </c>
      <c r="H33" s="27">
        <v>299980</v>
      </c>
      <c r="J33" s="28">
        <v>403725.17</v>
      </c>
      <c r="K33" s="13" t="s">
        <v>52</v>
      </c>
      <c r="L33" s="27">
        <v>299360</v>
      </c>
      <c r="M33" s="28">
        <v>402804.94</v>
      </c>
      <c r="N33" s="13" t="s">
        <v>52</v>
      </c>
      <c r="P33" s="27">
        <v>1205</v>
      </c>
      <c r="Q33" s="28">
        <v>1633.39</v>
      </c>
      <c r="R33" s="13" t="s">
        <v>52</v>
      </c>
      <c r="S33" s="28">
        <v>1633.39</v>
      </c>
    </row>
    <row r="34" spans="1:19">
      <c r="A34" s="29" t="s">
        <v>118</v>
      </c>
      <c r="B34" s="26" t="s">
        <v>119</v>
      </c>
      <c r="C34" s="26" t="s">
        <v>91</v>
      </c>
      <c r="D34" s="13" t="s">
        <v>52</v>
      </c>
      <c r="E34" s="27">
        <v>10391</v>
      </c>
      <c r="F34" s="28">
        <v>7334.18</v>
      </c>
      <c r="G34" s="13" t="s">
        <v>52</v>
      </c>
      <c r="H34" s="27">
        <v>3542</v>
      </c>
      <c r="J34" s="28">
        <v>2500.01</v>
      </c>
      <c r="K34" s="13" t="s">
        <v>52</v>
      </c>
      <c r="L34" s="27">
        <v>-137600</v>
      </c>
      <c r="M34" s="28">
        <v>-97120.83</v>
      </c>
      <c r="N34" s="13" t="s">
        <v>52</v>
      </c>
      <c r="P34" s="27">
        <v>151533</v>
      </c>
      <c r="Q34" s="28">
        <v>106955.02</v>
      </c>
      <c r="R34" s="13" t="s">
        <v>52</v>
      </c>
      <c r="S34" s="28">
        <v>106955.02</v>
      </c>
    </row>
    <row r="35" spans="1:19">
      <c r="A35" s="29" t="s">
        <v>120</v>
      </c>
      <c r="B35" s="26" t="s">
        <v>121</v>
      </c>
      <c r="C35" s="26" t="s">
        <v>91</v>
      </c>
      <c r="D35" s="13" t="s">
        <v>52</v>
      </c>
      <c r="E35" s="27">
        <v>2100</v>
      </c>
      <c r="F35" s="28">
        <v>1309.08</v>
      </c>
      <c r="G35" s="13" t="s">
        <v>52</v>
      </c>
      <c r="H35" s="30" t="s">
        <v>52</v>
      </c>
      <c r="J35" s="30" t="s">
        <v>52</v>
      </c>
      <c r="K35" s="13" t="s">
        <v>52</v>
      </c>
      <c r="L35" s="27">
        <v>-31100</v>
      </c>
      <c r="M35" s="28">
        <v>-19386.81</v>
      </c>
      <c r="N35" s="13" t="s">
        <v>52</v>
      </c>
      <c r="P35" s="27">
        <v>33200</v>
      </c>
      <c r="Q35" s="28">
        <v>20695.89</v>
      </c>
      <c r="R35" s="13" t="s">
        <v>52</v>
      </c>
      <c r="S35" s="28">
        <v>20695.89</v>
      </c>
    </row>
    <row r="36" spans="1:19">
      <c r="A36" s="29" t="s">
        <v>122</v>
      </c>
      <c r="B36" s="26" t="s">
        <v>123</v>
      </c>
      <c r="C36" s="26" t="s">
        <v>91</v>
      </c>
      <c r="D36" s="13" t="s">
        <v>52</v>
      </c>
      <c r="E36" s="27">
        <v>2460</v>
      </c>
      <c r="F36" s="28">
        <v>2669.59</v>
      </c>
      <c r="G36" s="13" t="s">
        <v>52</v>
      </c>
      <c r="H36" s="27">
        <v>176400</v>
      </c>
      <c r="J36" s="28">
        <v>232227.07</v>
      </c>
      <c r="K36" s="13" t="s">
        <v>52</v>
      </c>
      <c r="L36" s="27">
        <v>176000</v>
      </c>
      <c r="M36" s="28">
        <v>231131.54</v>
      </c>
      <c r="N36" s="13" t="s">
        <v>52</v>
      </c>
      <c r="P36" s="27">
        <v>2860</v>
      </c>
      <c r="Q36" s="28">
        <v>3765.12</v>
      </c>
      <c r="R36" s="13" t="s">
        <v>52</v>
      </c>
      <c r="S36" s="28">
        <v>3765.12</v>
      </c>
    </row>
    <row r="37" spans="1:19">
      <c r="A37" s="29" t="s">
        <v>124</v>
      </c>
      <c r="B37" s="26" t="s">
        <v>125</v>
      </c>
      <c r="C37" s="26" t="s">
        <v>91</v>
      </c>
      <c r="D37" s="13" t="s">
        <v>52</v>
      </c>
      <c r="E37" s="27">
        <v>7460</v>
      </c>
      <c r="F37" s="28">
        <v>4756.42</v>
      </c>
      <c r="G37" s="13" t="s">
        <v>52</v>
      </c>
      <c r="H37" s="27">
        <v>550839</v>
      </c>
      <c r="J37" s="28">
        <v>390534.84</v>
      </c>
      <c r="K37" s="13" t="s">
        <v>52</v>
      </c>
      <c r="L37" s="27">
        <v>554999</v>
      </c>
      <c r="M37" s="28">
        <v>393117.13</v>
      </c>
      <c r="N37" s="13" t="s">
        <v>52</v>
      </c>
      <c r="P37" s="27">
        <v>3300</v>
      </c>
      <c r="Q37" s="28">
        <v>2174.13</v>
      </c>
      <c r="R37" s="13" t="s">
        <v>52</v>
      </c>
      <c r="S37" s="28">
        <v>2174.13</v>
      </c>
    </row>
    <row r="38" spans="1:19">
      <c r="A38" s="29" t="s">
        <v>126</v>
      </c>
      <c r="B38" s="26" t="s">
        <v>127</v>
      </c>
      <c r="C38" s="26" t="s">
        <v>91</v>
      </c>
      <c r="D38" s="13" t="s">
        <v>52</v>
      </c>
      <c r="E38" s="27">
        <v>1000</v>
      </c>
      <c r="F38" s="28">
        <v>901.03</v>
      </c>
      <c r="G38" s="13" t="s">
        <v>52</v>
      </c>
      <c r="H38" s="30" t="s">
        <v>52</v>
      </c>
      <c r="J38" s="30" t="s">
        <v>52</v>
      </c>
      <c r="K38" s="13" t="s">
        <v>52</v>
      </c>
      <c r="L38" s="30" t="s">
        <v>52</v>
      </c>
      <c r="M38" s="30" t="s">
        <v>52</v>
      </c>
      <c r="N38" s="13" t="s">
        <v>52</v>
      </c>
      <c r="P38" s="27">
        <v>1000</v>
      </c>
      <c r="Q38" s="28">
        <v>901.03</v>
      </c>
      <c r="R38" s="13" t="s">
        <v>52</v>
      </c>
      <c r="S38" s="28">
        <v>901.03</v>
      </c>
    </row>
    <row r="39" spans="1:19">
      <c r="A39" s="29" t="s">
        <v>128</v>
      </c>
      <c r="B39" s="26" t="s">
        <v>129</v>
      </c>
      <c r="C39" s="26" t="s">
        <v>91</v>
      </c>
      <c r="D39" s="13" t="s">
        <v>52</v>
      </c>
      <c r="E39" s="27">
        <v>2000</v>
      </c>
      <c r="F39" s="28">
        <v>1800.38</v>
      </c>
      <c r="G39" s="13" t="s">
        <v>52</v>
      </c>
      <c r="H39" s="30" t="s">
        <v>52</v>
      </c>
      <c r="J39" s="30" t="s">
        <v>52</v>
      </c>
      <c r="K39" s="13" t="s">
        <v>52</v>
      </c>
      <c r="L39" s="30" t="s">
        <v>52</v>
      </c>
      <c r="M39" s="30" t="s">
        <v>52</v>
      </c>
      <c r="N39" s="13" t="s">
        <v>52</v>
      </c>
      <c r="P39" s="27">
        <v>2000</v>
      </c>
      <c r="Q39" s="28">
        <v>1800.38</v>
      </c>
      <c r="R39" s="13" t="s">
        <v>52</v>
      </c>
      <c r="S39" s="28">
        <v>1800.38</v>
      </c>
    </row>
    <row r="40" spans="1:19">
      <c r="A40" s="29" t="s">
        <v>130</v>
      </c>
      <c r="B40" s="26" t="s">
        <v>131</v>
      </c>
      <c r="C40" s="26" t="s">
        <v>91</v>
      </c>
      <c r="D40" s="13" t="s">
        <v>52</v>
      </c>
      <c r="E40" s="27">
        <v>1176</v>
      </c>
      <c r="F40" s="28">
        <v>617.21</v>
      </c>
      <c r="G40" s="13" t="s">
        <v>52</v>
      </c>
      <c r="H40" s="30" t="s">
        <v>52</v>
      </c>
      <c r="J40" s="30" t="s">
        <v>52</v>
      </c>
      <c r="K40" s="13" t="s">
        <v>52</v>
      </c>
      <c r="L40" s="30" t="s">
        <v>52</v>
      </c>
      <c r="M40" s="30" t="s">
        <v>52</v>
      </c>
      <c r="N40" s="13" t="s">
        <v>52</v>
      </c>
      <c r="P40" s="27">
        <v>1176</v>
      </c>
      <c r="Q40" s="28">
        <v>617.21</v>
      </c>
      <c r="R40" s="13" t="s">
        <v>52</v>
      </c>
      <c r="S40" s="28">
        <v>617.21</v>
      </c>
    </row>
    <row r="41" spans="1:19">
      <c r="A41" s="29" t="s">
        <v>132</v>
      </c>
      <c r="B41" s="26" t="s">
        <v>133</v>
      </c>
      <c r="C41" s="26" t="s">
        <v>91</v>
      </c>
      <c r="D41" s="13" t="s">
        <v>52</v>
      </c>
      <c r="E41" s="27">
        <v>1904.76</v>
      </c>
      <c r="F41" s="28">
        <v>1687.02</v>
      </c>
      <c r="G41" s="13" t="s">
        <v>52</v>
      </c>
      <c r="H41" s="27">
        <v>0.24</v>
      </c>
      <c r="J41" s="28">
        <v>0.21</v>
      </c>
      <c r="K41" s="13" t="s">
        <v>52</v>
      </c>
      <c r="L41" s="30" t="s">
        <v>52</v>
      </c>
      <c r="M41" s="30" t="s">
        <v>52</v>
      </c>
      <c r="N41" s="13" t="s">
        <v>52</v>
      </c>
      <c r="P41" s="27">
        <v>1905</v>
      </c>
      <c r="Q41" s="28">
        <v>1687.23</v>
      </c>
      <c r="R41" s="13" t="s">
        <v>52</v>
      </c>
      <c r="S41" s="28">
        <v>1687.23</v>
      </c>
    </row>
    <row r="42" spans="1:19">
      <c r="A42" s="29" t="s">
        <v>134</v>
      </c>
      <c r="B42" s="26" t="s">
        <v>135</v>
      </c>
      <c r="C42" s="26" t="s">
        <v>91</v>
      </c>
      <c r="D42" s="13" t="s">
        <v>52</v>
      </c>
      <c r="E42" s="27">
        <v>4083</v>
      </c>
      <c r="F42" s="28">
        <v>2142.91</v>
      </c>
      <c r="G42" s="13" t="s">
        <v>52</v>
      </c>
      <c r="H42" s="30" t="s">
        <v>52</v>
      </c>
      <c r="J42" s="30" t="s">
        <v>52</v>
      </c>
      <c r="K42" s="13" t="s">
        <v>52</v>
      </c>
      <c r="L42" s="30" t="s">
        <v>52</v>
      </c>
      <c r="M42" s="30" t="s">
        <v>52</v>
      </c>
      <c r="N42" s="13" t="s">
        <v>52</v>
      </c>
      <c r="P42" s="27">
        <v>4083</v>
      </c>
      <c r="Q42" s="28">
        <v>2142.91</v>
      </c>
      <c r="R42" s="13" t="s">
        <v>52</v>
      </c>
      <c r="S42" s="28">
        <v>2142.91</v>
      </c>
    </row>
    <row r="43" spans="1:19">
      <c r="A43" s="29" t="s">
        <v>136</v>
      </c>
      <c r="B43" s="26" t="s">
        <v>137</v>
      </c>
      <c r="C43" s="26" t="s">
        <v>91</v>
      </c>
      <c r="D43" s="13" t="s">
        <v>52</v>
      </c>
      <c r="E43" s="27">
        <v>1457.14</v>
      </c>
      <c r="F43" s="28">
        <v>1290.58</v>
      </c>
      <c r="G43" s="13" t="s">
        <v>52</v>
      </c>
      <c r="H43" s="30" t="s">
        <v>52</v>
      </c>
      <c r="J43" s="30" t="s">
        <v>52</v>
      </c>
      <c r="K43" s="13" t="s">
        <v>52</v>
      </c>
      <c r="L43" s="30" t="s">
        <v>52</v>
      </c>
      <c r="M43" s="30" t="s">
        <v>52</v>
      </c>
      <c r="N43" s="13" t="s">
        <v>52</v>
      </c>
      <c r="P43" s="27">
        <v>1457.14</v>
      </c>
      <c r="Q43" s="28">
        <v>1290.58</v>
      </c>
      <c r="R43" s="13" t="s">
        <v>52</v>
      </c>
      <c r="S43" s="28">
        <v>1290.58</v>
      </c>
    </row>
    <row r="44" spans="1:19">
      <c r="A44" s="29" t="s">
        <v>138</v>
      </c>
      <c r="B44" s="26" t="s">
        <v>139</v>
      </c>
      <c r="C44" s="26" t="s">
        <v>91</v>
      </c>
      <c r="D44" s="13" t="s">
        <v>52</v>
      </c>
      <c r="E44" s="27">
        <v>1495</v>
      </c>
      <c r="F44" s="28">
        <v>1258.74</v>
      </c>
      <c r="G44" s="13" t="s">
        <v>52</v>
      </c>
      <c r="H44" s="30" t="s">
        <v>52</v>
      </c>
      <c r="J44" s="30" t="s">
        <v>52</v>
      </c>
      <c r="K44" s="13" t="s">
        <v>52</v>
      </c>
      <c r="L44" s="27">
        <v>1495</v>
      </c>
      <c r="M44" s="28">
        <v>1258.74</v>
      </c>
      <c r="N44" s="13" t="s">
        <v>52</v>
      </c>
      <c r="P44" s="27">
        <v>0</v>
      </c>
      <c r="Q44" s="28">
        <v>0</v>
      </c>
      <c r="R44" s="13" t="s">
        <v>52</v>
      </c>
      <c r="S44" s="28">
        <v>0</v>
      </c>
    </row>
    <row r="45" spans="1:19">
      <c r="A45" s="29" t="s">
        <v>140</v>
      </c>
      <c r="B45" s="26" t="s">
        <v>141</v>
      </c>
      <c r="C45" s="26" t="s">
        <v>91</v>
      </c>
      <c r="D45" s="13" t="s">
        <v>52</v>
      </c>
      <c r="E45" s="27">
        <v>2523.8</v>
      </c>
      <c r="F45" s="28">
        <v>3357.75</v>
      </c>
      <c r="G45" s="13" t="s">
        <v>52</v>
      </c>
      <c r="H45" s="27">
        <v>0.2</v>
      </c>
      <c r="J45" s="28">
        <v>0.27</v>
      </c>
      <c r="K45" s="13" t="s">
        <v>52</v>
      </c>
      <c r="L45" s="30" t="s">
        <v>52</v>
      </c>
      <c r="M45" s="30" t="s">
        <v>52</v>
      </c>
      <c r="N45" s="13" t="s">
        <v>52</v>
      </c>
      <c r="P45" s="27">
        <v>2524</v>
      </c>
      <c r="Q45" s="28">
        <v>3358.02</v>
      </c>
      <c r="R45" s="13" t="s">
        <v>52</v>
      </c>
      <c r="S45" s="28">
        <v>3358.02</v>
      </c>
    </row>
    <row r="46" spans="1:19">
      <c r="A46" s="29" t="s">
        <v>142</v>
      </c>
      <c r="B46" s="26" t="s">
        <v>143</v>
      </c>
      <c r="C46" s="26" t="s">
        <v>91</v>
      </c>
      <c r="D46" s="13" t="s">
        <v>52</v>
      </c>
      <c r="E46" s="27">
        <v>4000</v>
      </c>
      <c r="F46" s="28">
        <v>3314.84</v>
      </c>
      <c r="G46" s="13" t="s">
        <v>52</v>
      </c>
      <c r="H46" s="30" t="s">
        <v>52</v>
      </c>
      <c r="J46" s="30" t="s">
        <v>52</v>
      </c>
      <c r="K46" s="13" t="s">
        <v>52</v>
      </c>
      <c r="L46" s="30" t="s">
        <v>52</v>
      </c>
      <c r="M46" s="30" t="s">
        <v>52</v>
      </c>
      <c r="N46" s="13" t="s">
        <v>52</v>
      </c>
      <c r="P46" s="27">
        <v>4000</v>
      </c>
      <c r="Q46" s="28">
        <v>3314.84</v>
      </c>
      <c r="R46" s="13" t="s">
        <v>52</v>
      </c>
      <c r="S46" s="28">
        <v>3314.84</v>
      </c>
    </row>
    <row r="47" spans="1:19">
      <c r="A47" s="29" t="s">
        <v>144</v>
      </c>
      <c r="B47" s="26" t="s">
        <v>145</v>
      </c>
      <c r="C47" s="26" t="s">
        <v>91</v>
      </c>
      <c r="D47" s="13" t="s">
        <v>52</v>
      </c>
      <c r="E47" s="27">
        <v>854.76</v>
      </c>
      <c r="F47" s="28">
        <v>428.42</v>
      </c>
      <c r="G47" s="13" t="s">
        <v>52</v>
      </c>
      <c r="H47" s="27">
        <v>0.24</v>
      </c>
      <c r="J47" s="28">
        <v>0.12</v>
      </c>
      <c r="K47" s="13" t="s">
        <v>52</v>
      </c>
      <c r="L47" s="30" t="s">
        <v>52</v>
      </c>
      <c r="M47" s="30" t="s">
        <v>52</v>
      </c>
      <c r="N47" s="13" t="s">
        <v>52</v>
      </c>
      <c r="P47" s="27">
        <v>855</v>
      </c>
      <c r="Q47" s="28">
        <v>428.54</v>
      </c>
      <c r="R47" s="13" t="s">
        <v>52</v>
      </c>
      <c r="S47" s="28">
        <v>428.54</v>
      </c>
    </row>
    <row r="48" spans="1:19">
      <c r="A48" s="29" t="s">
        <v>146</v>
      </c>
      <c r="B48" s="26" t="s">
        <v>147</v>
      </c>
      <c r="C48" s="26" t="s">
        <v>91</v>
      </c>
      <c r="D48" s="13" t="s">
        <v>52</v>
      </c>
      <c r="E48" s="27">
        <v>2990</v>
      </c>
      <c r="F48" s="28">
        <v>3193.23</v>
      </c>
      <c r="G48" s="13" t="s">
        <v>52</v>
      </c>
      <c r="H48" s="30" t="s">
        <v>52</v>
      </c>
      <c r="J48" s="30" t="s">
        <v>52</v>
      </c>
      <c r="K48" s="13" t="s">
        <v>52</v>
      </c>
      <c r="L48" s="30" t="s">
        <v>52</v>
      </c>
      <c r="M48" s="30" t="s">
        <v>52</v>
      </c>
      <c r="N48" s="13" t="s">
        <v>52</v>
      </c>
      <c r="P48" s="27">
        <v>2990</v>
      </c>
      <c r="Q48" s="28">
        <v>3193.23</v>
      </c>
      <c r="R48" s="13" t="s">
        <v>52</v>
      </c>
      <c r="S48" s="28">
        <v>3193.23</v>
      </c>
    </row>
    <row r="49" spans="1:19">
      <c r="A49" s="29" t="s">
        <v>148</v>
      </c>
      <c r="B49" s="26" t="s">
        <v>149</v>
      </c>
      <c r="C49" s="26" t="s">
        <v>91</v>
      </c>
      <c r="D49" s="13" t="s">
        <v>52</v>
      </c>
      <c r="E49" s="27">
        <v>1640</v>
      </c>
      <c r="F49" s="28">
        <v>2085.53</v>
      </c>
      <c r="G49" s="13" t="s">
        <v>52</v>
      </c>
      <c r="H49" s="30" t="s">
        <v>52</v>
      </c>
      <c r="J49" s="30" t="s">
        <v>52</v>
      </c>
      <c r="K49" s="13" t="s">
        <v>52</v>
      </c>
      <c r="L49" s="30" t="s">
        <v>52</v>
      </c>
      <c r="M49" s="30" t="s">
        <v>52</v>
      </c>
      <c r="N49" s="13" t="s">
        <v>52</v>
      </c>
      <c r="P49" s="27">
        <v>1640</v>
      </c>
      <c r="Q49" s="28">
        <v>2085.53</v>
      </c>
      <c r="R49" s="13" t="s">
        <v>52</v>
      </c>
      <c r="S49" s="28">
        <v>2085.53</v>
      </c>
    </row>
    <row r="50" spans="1:19">
      <c r="A50" s="29" t="s">
        <v>150</v>
      </c>
      <c r="B50" s="26" t="s">
        <v>151</v>
      </c>
      <c r="C50" s="26" t="s">
        <v>91</v>
      </c>
      <c r="D50" s="13" t="s">
        <v>52</v>
      </c>
      <c r="E50" s="27">
        <v>448619</v>
      </c>
      <c r="F50" s="28">
        <v>279879.94</v>
      </c>
      <c r="G50" s="13" t="s">
        <v>52</v>
      </c>
      <c r="H50" s="27">
        <v>1375</v>
      </c>
      <c r="J50" s="28">
        <v>857.82</v>
      </c>
      <c r="K50" s="13" t="s">
        <v>52</v>
      </c>
      <c r="L50" s="30" t="s">
        <v>52</v>
      </c>
      <c r="M50" s="30" t="s">
        <v>52</v>
      </c>
      <c r="N50" s="13" t="s">
        <v>52</v>
      </c>
      <c r="P50" s="27">
        <v>449994</v>
      </c>
      <c r="Q50" s="28">
        <v>280737.76</v>
      </c>
      <c r="R50" s="13" t="s">
        <v>52</v>
      </c>
      <c r="S50" s="28">
        <v>280737.76</v>
      </c>
    </row>
    <row r="51" spans="1:19">
      <c r="A51" s="29" t="s">
        <v>152</v>
      </c>
      <c r="B51" s="26" t="s">
        <v>153</v>
      </c>
      <c r="C51" s="26" t="s">
        <v>91</v>
      </c>
      <c r="D51" s="13" t="s">
        <v>52</v>
      </c>
      <c r="E51" s="27">
        <v>53082</v>
      </c>
      <c r="F51" s="28">
        <v>40524.92</v>
      </c>
      <c r="G51" s="13" t="s">
        <v>52</v>
      </c>
      <c r="H51" s="30" t="s">
        <v>52</v>
      </c>
      <c r="J51" s="30" t="s">
        <v>52</v>
      </c>
      <c r="K51" s="13" t="s">
        <v>52</v>
      </c>
      <c r="L51" s="30" t="s">
        <v>52</v>
      </c>
      <c r="M51" s="30" t="s">
        <v>52</v>
      </c>
      <c r="N51" s="13" t="s">
        <v>52</v>
      </c>
      <c r="P51" s="27">
        <v>53082</v>
      </c>
      <c r="Q51" s="28">
        <v>40524.92</v>
      </c>
      <c r="R51" s="13" t="s">
        <v>52</v>
      </c>
      <c r="S51" s="28">
        <v>40524.92</v>
      </c>
    </row>
    <row r="52" spans="1:19">
      <c r="A52" s="29" t="s">
        <v>154</v>
      </c>
      <c r="B52" s="26" t="s">
        <v>155</v>
      </c>
      <c r="C52" s="26" t="s">
        <v>91</v>
      </c>
      <c r="D52" s="13" t="s">
        <v>52</v>
      </c>
      <c r="E52" s="27">
        <v>1328</v>
      </c>
      <c r="F52" s="28">
        <v>642.25</v>
      </c>
      <c r="G52" s="13" t="s">
        <v>52</v>
      </c>
      <c r="H52" s="30" t="s">
        <v>52</v>
      </c>
      <c r="J52" s="30" t="s">
        <v>52</v>
      </c>
      <c r="K52" s="13" t="s">
        <v>52</v>
      </c>
      <c r="L52" s="30" t="s">
        <v>52</v>
      </c>
      <c r="M52" s="30" t="s">
        <v>52</v>
      </c>
      <c r="N52" s="13" t="s">
        <v>52</v>
      </c>
      <c r="P52" s="27">
        <v>1328</v>
      </c>
      <c r="Q52" s="28">
        <v>642.25</v>
      </c>
      <c r="R52" s="13" t="s">
        <v>52</v>
      </c>
      <c r="S52" s="28">
        <v>642.25</v>
      </c>
    </row>
    <row r="53" spans="1:19">
      <c r="A53" s="29" t="s">
        <v>156</v>
      </c>
      <c r="B53" s="26" t="s">
        <v>157</v>
      </c>
      <c r="C53" s="26" t="s">
        <v>91</v>
      </c>
      <c r="D53" s="13" t="s">
        <v>52</v>
      </c>
      <c r="E53" s="27">
        <v>2000</v>
      </c>
      <c r="F53" s="28">
        <v>1634.23</v>
      </c>
      <c r="G53" s="13" t="s">
        <v>52</v>
      </c>
      <c r="H53" s="30" t="s">
        <v>52</v>
      </c>
      <c r="J53" s="30" t="s">
        <v>52</v>
      </c>
      <c r="K53" s="13" t="s">
        <v>52</v>
      </c>
      <c r="L53" s="30" t="s">
        <v>52</v>
      </c>
      <c r="M53" s="30" t="s">
        <v>52</v>
      </c>
      <c r="N53" s="13" t="s">
        <v>52</v>
      </c>
      <c r="P53" s="27">
        <v>2000</v>
      </c>
      <c r="Q53" s="28">
        <v>1634.23</v>
      </c>
      <c r="R53" s="13" t="s">
        <v>52</v>
      </c>
      <c r="S53" s="28">
        <v>1634.23</v>
      </c>
    </row>
    <row r="54" spans="1:19">
      <c r="A54" s="29" t="s">
        <v>158</v>
      </c>
      <c r="B54" s="26" t="s">
        <v>159</v>
      </c>
      <c r="C54" s="26" t="s">
        <v>91</v>
      </c>
      <c r="D54" s="13" t="s">
        <v>52</v>
      </c>
      <c r="E54" s="27">
        <v>1321.42</v>
      </c>
      <c r="F54" s="28">
        <v>1028.02</v>
      </c>
      <c r="G54" s="13" t="s">
        <v>52</v>
      </c>
      <c r="H54" s="30" t="s">
        <v>52</v>
      </c>
      <c r="J54" s="30" t="s">
        <v>52</v>
      </c>
      <c r="K54" s="13" t="s">
        <v>52</v>
      </c>
      <c r="L54" s="30" t="s">
        <v>52</v>
      </c>
      <c r="M54" s="30" t="s">
        <v>52</v>
      </c>
      <c r="N54" s="13" t="s">
        <v>52</v>
      </c>
      <c r="P54" s="27">
        <v>1321.42</v>
      </c>
      <c r="Q54" s="28">
        <v>1028.02</v>
      </c>
      <c r="R54" s="13" t="s">
        <v>52</v>
      </c>
      <c r="S54" s="28">
        <v>1028.02</v>
      </c>
    </row>
    <row r="55" spans="1:19">
      <c r="A55" s="29" t="s">
        <v>160</v>
      </c>
      <c r="B55" s="26" t="s">
        <v>161</v>
      </c>
      <c r="C55" s="26" t="s">
        <v>91</v>
      </c>
      <c r="D55" s="13" t="s">
        <v>52</v>
      </c>
      <c r="E55" s="27">
        <v>1854</v>
      </c>
      <c r="F55" s="28">
        <v>1432.32</v>
      </c>
      <c r="G55" s="13" t="s">
        <v>52</v>
      </c>
      <c r="H55" s="30" t="s">
        <v>52</v>
      </c>
      <c r="J55" s="30" t="s">
        <v>52</v>
      </c>
      <c r="K55" s="13" t="s">
        <v>52</v>
      </c>
      <c r="L55" s="30" t="s">
        <v>52</v>
      </c>
      <c r="M55" s="30" t="s">
        <v>52</v>
      </c>
      <c r="N55" s="13" t="s">
        <v>52</v>
      </c>
      <c r="P55" s="27">
        <v>1854</v>
      </c>
      <c r="Q55" s="28">
        <v>1432.32</v>
      </c>
      <c r="R55" s="13" t="s">
        <v>52</v>
      </c>
      <c r="S55" s="28">
        <v>1432.32</v>
      </c>
    </row>
    <row r="56" spans="1:19">
      <c r="A56" s="29" t="s">
        <v>162</v>
      </c>
      <c r="B56" s="26" t="s">
        <v>163</v>
      </c>
      <c r="C56" s="26" t="s">
        <v>91</v>
      </c>
      <c r="D56" s="13" t="s">
        <v>52</v>
      </c>
      <c r="E56" s="27">
        <v>2031</v>
      </c>
      <c r="F56" s="28">
        <v>2160</v>
      </c>
      <c r="G56" s="13" t="s">
        <v>52</v>
      </c>
      <c r="H56" s="27">
        <v>397150</v>
      </c>
      <c r="J56" s="28">
        <v>474681.41</v>
      </c>
      <c r="K56" s="13" t="s">
        <v>52</v>
      </c>
      <c r="L56" s="27">
        <v>396175</v>
      </c>
      <c r="M56" s="28">
        <v>472905.35</v>
      </c>
      <c r="N56" s="13" t="s">
        <v>52</v>
      </c>
      <c r="P56" s="27">
        <v>3006</v>
      </c>
      <c r="Q56" s="28">
        <v>3936.06</v>
      </c>
      <c r="R56" s="13" t="s">
        <v>52</v>
      </c>
      <c r="S56" s="28">
        <v>3936.06</v>
      </c>
    </row>
    <row r="57" spans="1:19">
      <c r="A57" s="29" t="s">
        <v>164</v>
      </c>
      <c r="B57" s="26" t="s">
        <v>165</v>
      </c>
      <c r="C57" s="26" t="s">
        <v>91</v>
      </c>
      <c r="D57" s="13" t="s">
        <v>52</v>
      </c>
      <c r="E57" s="27">
        <v>871</v>
      </c>
      <c r="F57" s="28">
        <v>555.63</v>
      </c>
      <c r="G57" s="13" t="s">
        <v>52</v>
      </c>
      <c r="H57" s="27">
        <v>1522750</v>
      </c>
      <c r="J57" s="28">
        <v>1127717.25</v>
      </c>
      <c r="K57" s="13" t="s">
        <v>52</v>
      </c>
      <c r="L57" s="27">
        <v>1509900</v>
      </c>
      <c r="M57" s="28">
        <v>1117677.25</v>
      </c>
      <c r="N57" s="13" t="s">
        <v>52</v>
      </c>
      <c r="P57" s="27">
        <v>13721</v>
      </c>
      <c r="Q57" s="28">
        <v>10595.63</v>
      </c>
      <c r="R57" s="13" t="s">
        <v>52</v>
      </c>
      <c r="S57" s="28">
        <v>10595.63</v>
      </c>
    </row>
    <row r="58" spans="1:19">
      <c r="A58" s="29" t="s">
        <v>166</v>
      </c>
      <c r="B58" s="26" t="s">
        <v>167</v>
      </c>
      <c r="C58" s="26" t="s">
        <v>91</v>
      </c>
      <c r="D58" s="13" t="s">
        <v>52</v>
      </c>
      <c r="E58" s="27">
        <v>12569</v>
      </c>
      <c r="F58" s="28">
        <v>14031.98</v>
      </c>
      <c r="G58" s="13" t="s">
        <v>52</v>
      </c>
      <c r="H58" s="27">
        <v>9549373</v>
      </c>
      <c r="J58" s="28">
        <v>11221405.89</v>
      </c>
      <c r="K58" s="13" t="s">
        <v>52</v>
      </c>
      <c r="L58" s="27">
        <v>9516142</v>
      </c>
      <c r="M58" s="28">
        <v>11175816.83</v>
      </c>
      <c r="N58" s="13" t="s">
        <v>52</v>
      </c>
      <c r="P58" s="27">
        <v>45800</v>
      </c>
      <c r="Q58" s="28">
        <v>59621.04</v>
      </c>
      <c r="R58" s="13" t="s">
        <v>52</v>
      </c>
      <c r="S58" s="28">
        <v>59621.04</v>
      </c>
    </row>
    <row r="59" spans="1:19">
      <c r="A59" s="29" t="s">
        <v>168</v>
      </c>
      <c r="B59" s="26" t="s">
        <v>169</v>
      </c>
      <c r="C59" s="26" t="s">
        <v>91</v>
      </c>
      <c r="D59" s="13" t="s">
        <v>52</v>
      </c>
      <c r="E59" s="27">
        <v>21049</v>
      </c>
      <c r="F59" s="28">
        <v>11672.09</v>
      </c>
      <c r="G59" s="13" t="s">
        <v>52</v>
      </c>
      <c r="H59" s="27">
        <v>6397090</v>
      </c>
      <c r="J59" s="28">
        <v>4506168.71</v>
      </c>
      <c r="K59" s="13" t="s">
        <v>52</v>
      </c>
      <c r="L59" s="27">
        <v>5418400</v>
      </c>
      <c r="M59" s="28">
        <v>3735980.41</v>
      </c>
      <c r="N59" s="13" t="s">
        <v>52</v>
      </c>
      <c r="P59" s="27">
        <v>999739</v>
      </c>
      <c r="Q59" s="28">
        <v>781860.39</v>
      </c>
      <c r="R59" s="13" t="s">
        <v>52</v>
      </c>
      <c r="S59" s="28">
        <v>781860.39</v>
      </c>
    </row>
    <row r="60" spans="1:19">
      <c r="A60" s="29" t="s">
        <v>170</v>
      </c>
      <c r="B60" s="26" t="s">
        <v>171</v>
      </c>
      <c r="C60" s="26" t="s">
        <v>172</v>
      </c>
      <c r="D60" s="13" t="s">
        <v>52</v>
      </c>
      <c r="E60" s="27">
        <v>1440</v>
      </c>
      <c r="F60" s="28">
        <v>2682.37</v>
      </c>
      <c r="G60" s="13" t="s">
        <v>52</v>
      </c>
      <c r="H60" s="30" t="s">
        <v>52</v>
      </c>
      <c r="J60" s="30" t="s">
        <v>52</v>
      </c>
      <c r="K60" s="13" t="s">
        <v>52</v>
      </c>
      <c r="L60" s="30" t="s">
        <v>52</v>
      </c>
      <c r="M60" s="30" t="s">
        <v>52</v>
      </c>
      <c r="N60" s="13" t="s">
        <v>52</v>
      </c>
      <c r="P60" s="27">
        <v>1440</v>
      </c>
      <c r="Q60" s="28">
        <v>2682.37</v>
      </c>
      <c r="R60" s="13" t="s">
        <v>52</v>
      </c>
      <c r="S60" s="28">
        <v>2682.37</v>
      </c>
    </row>
    <row r="61" spans="1:19">
      <c r="A61" s="29" t="s">
        <v>173</v>
      </c>
      <c r="B61" s="26" t="s">
        <v>174</v>
      </c>
      <c r="C61" s="26" t="s">
        <v>172</v>
      </c>
      <c r="D61" s="13" t="s">
        <v>52</v>
      </c>
      <c r="E61" s="27">
        <v>32560</v>
      </c>
      <c r="F61" s="28">
        <v>67660.5</v>
      </c>
      <c r="G61" s="13" t="s">
        <v>52</v>
      </c>
      <c r="H61" s="27">
        <v>810</v>
      </c>
      <c r="J61" s="28">
        <v>1683.19</v>
      </c>
      <c r="K61" s="13" t="s">
        <v>52</v>
      </c>
      <c r="L61" s="27">
        <v>1080</v>
      </c>
      <c r="M61" s="28">
        <v>2244.25</v>
      </c>
      <c r="N61" s="13" t="s">
        <v>52</v>
      </c>
      <c r="P61" s="27">
        <v>32290</v>
      </c>
      <c r="Q61" s="28">
        <v>67099.44</v>
      </c>
      <c r="R61" s="13" t="s">
        <v>52</v>
      </c>
      <c r="S61" s="28">
        <v>67099.44</v>
      </c>
    </row>
    <row r="62" spans="1:19">
      <c r="A62" s="29" t="s">
        <v>175</v>
      </c>
      <c r="B62" s="26" t="s">
        <v>176</v>
      </c>
      <c r="C62" s="26" t="s">
        <v>172</v>
      </c>
      <c r="D62" s="13" t="s">
        <v>52</v>
      </c>
      <c r="E62" s="27">
        <v>8120</v>
      </c>
      <c r="F62" s="28">
        <v>16768.88</v>
      </c>
      <c r="G62" s="13" t="s">
        <v>52</v>
      </c>
      <c r="H62" s="27">
        <v>280</v>
      </c>
      <c r="J62" s="28">
        <v>578.71</v>
      </c>
      <c r="K62" s="13" t="s">
        <v>52</v>
      </c>
      <c r="L62" s="27">
        <v>280</v>
      </c>
      <c r="M62" s="28">
        <v>575.51</v>
      </c>
      <c r="N62" s="13" t="s">
        <v>52</v>
      </c>
      <c r="P62" s="27">
        <v>8120</v>
      </c>
      <c r="Q62" s="28">
        <v>16772.08</v>
      </c>
      <c r="R62" s="13" t="s">
        <v>52</v>
      </c>
      <c r="S62" s="28">
        <v>16772.08</v>
      </c>
    </row>
    <row r="63" spans="1:19">
      <c r="A63" s="29" t="s">
        <v>177</v>
      </c>
      <c r="B63" s="26" t="s">
        <v>178</v>
      </c>
      <c r="C63" s="26" t="s">
        <v>172</v>
      </c>
      <c r="D63" s="13" t="s">
        <v>52</v>
      </c>
      <c r="E63" s="27">
        <v>0</v>
      </c>
      <c r="F63" s="28">
        <v>0</v>
      </c>
      <c r="G63" s="13" t="s">
        <v>52</v>
      </c>
      <c r="H63" s="27">
        <v>180800</v>
      </c>
      <c r="J63" s="28">
        <v>100817.7</v>
      </c>
      <c r="K63" s="13" t="s">
        <v>52</v>
      </c>
      <c r="L63" s="27">
        <v>180800</v>
      </c>
      <c r="M63" s="28">
        <v>100817.7</v>
      </c>
      <c r="N63" s="13" t="s">
        <v>52</v>
      </c>
      <c r="P63" s="27">
        <v>0</v>
      </c>
      <c r="Q63" s="28">
        <v>0</v>
      </c>
      <c r="R63" s="13" t="s">
        <v>52</v>
      </c>
      <c r="S63" s="28">
        <v>0</v>
      </c>
    </row>
    <row r="64" spans="1:19">
      <c r="A64" s="29" t="s">
        <v>179</v>
      </c>
      <c r="B64" s="26" t="s">
        <v>180</v>
      </c>
      <c r="C64" s="26" t="s">
        <v>172</v>
      </c>
      <c r="D64" s="13" t="s">
        <v>52</v>
      </c>
      <c r="E64" s="27">
        <v>1</v>
      </c>
      <c r="F64" s="28">
        <v>0.56</v>
      </c>
      <c r="G64" s="13" t="s">
        <v>52</v>
      </c>
      <c r="H64" s="27">
        <v>431340</v>
      </c>
      <c r="J64" s="28">
        <v>241412.37</v>
      </c>
      <c r="K64" s="13" t="s">
        <v>52</v>
      </c>
      <c r="L64" s="27">
        <v>331141</v>
      </c>
      <c r="M64" s="28">
        <v>185333</v>
      </c>
      <c r="N64" s="13" t="s">
        <v>52</v>
      </c>
      <c r="P64" s="27">
        <v>100200</v>
      </c>
      <c r="Q64" s="28">
        <v>56079.93</v>
      </c>
      <c r="R64" s="13" t="s">
        <v>52</v>
      </c>
      <c r="S64" s="28">
        <v>56079.93</v>
      </c>
    </row>
    <row r="65" spans="1:19">
      <c r="A65" s="29" t="s">
        <v>181</v>
      </c>
      <c r="B65" s="26" t="s">
        <v>182</v>
      </c>
      <c r="C65" s="26" t="s">
        <v>172</v>
      </c>
      <c r="D65" s="13" t="s">
        <v>52</v>
      </c>
      <c r="E65" s="27">
        <v>0</v>
      </c>
      <c r="F65" s="28">
        <v>0</v>
      </c>
      <c r="G65" s="13" t="s">
        <v>52</v>
      </c>
      <c r="H65" s="27">
        <v>196200</v>
      </c>
      <c r="J65" s="28">
        <v>108033.6</v>
      </c>
      <c r="K65" s="13" t="s">
        <v>52</v>
      </c>
      <c r="L65" s="27">
        <v>196200</v>
      </c>
      <c r="M65" s="28">
        <v>108033.6</v>
      </c>
      <c r="N65" s="13" t="s">
        <v>52</v>
      </c>
      <c r="P65" s="27">
        <v>0</v>
      </c>
      <c r="Q65" s="28">
        <v>0</v>
      </c>
      <c r="R65" s="13" t="s">
        <v>52</v>
      </c>
      <c r="S65" s="28">
        <v>0</v>
      </c>
    </row>
    <row r="66" spans="1:19">
      <c r="A66" s="29" t="s">
        <v>183</v>
      </c>
      <c r="B66" s="26" t="s">
        <v>184</v>
      </c>
      <c r="C66" s="26" t="s">
        <v>172</v>
      </c>
      <c r="D66" s="13" t="s">
        <v>52</v>
      </c>
      <c r="E66" s="27">
        <v>0</v>
      </c>
      <c r="F66" s="28">
        <v>0</v>
      </c>
      <c r="G66" s="13" t="s">
        <v>52</v>
      </c>
      <c r="H66" s="27">
        <v>43100</v>
      </c>
      <c r="J66" s="28">
        <v>20615.16</v>
      </c>
      <c r="K66" s="13" t="s">
        <v>52</v>
      </c>
      <c r="L66" s="27">
        <v>40000</v>
      </c>
      <c r="M66" s="28">
        <v>19132.4</v>
      </c>
      <c r="N66" s="13" t="s">
        <v>52</v>
      </c>
      <c r="P66" s="27">
        <v>3100</v>
      </c>
      <c r="Q66" s="28">
        <v>1482.76</v>
      </c>
      <c r="R66" s="13" t="s">
        <v>52</v>
      </c>
      <c r="S66" s="28">
        <v>1482.76</v>
      </c>
    </row>
    <row r="67" spans="1:19">
      <c r="A67" s="29" t="s">
        <v>185</v>
      </c>
      <c r="B67" s="26" t="s">
        <v>186</v>
      </c>
      <c r="C67" s="26" t="s">
        <v>172</v>
      </c>
      <c r="D67" s="13" t="s">
        <v>52</v>
      </c>
      <c r="E67" s="27">
        <v>0</v>
      </c>
      <c r="F67" s="28">
        <v>0</v>
      </c>
      <c r="G67" s="13" t="s">
        <v>52</v>
      </c>
      <c r="H67" s="27">
        <v>104360</v>
      </c>
      <c r="J67" s="28">
        <v>48305.12</v>
      </c>
      <c r="K67" s="13" t="s">
        <v>52</v>
      </c>
      <c r="L67" s="27">
        <v>104360</v>
      </c>
      <c r="M67" s="28">
        <v>48305.12</v>
      </c>
      <c r="N67" s="13" t="s">
        <v>52</v>
      </c>
      <c r="P67" s="27">
        <v>0</v>
      </c>
      <c r="Q67" s="28">
        <v>0</v>
      </c>
      <c r="R67" s="13" t="s">
        <v>52</v>
      </c>
      <c r="S67" s="28">
        <v>0</v>
      </c>
    </row>
    <row r="68" spans="1:19">
      <c r="A68" s="29" t="s">
        <v>187</v>
      </c>
      <c r="B68" s="26" t="s">
        <v>188</v>
      </c>
      <c r="C68" s="26" t="s">
        <v>172</v>
      </c>
      <c r="D68" s="13" t="s">
        <v>52</v>
      </c>
      <c r="E68" s="27">
        <v>0</v>
      </c>
      <c r="F68" s="28">
        <v>0</v>
      </c>
      <c r="G68" s="13" t="s">
        <v>52</v>
      </c>
      <c r="H68" s="27">
        <v>71700</v>
      </c>
      <c r="J68" s="28">
        <v>46815.07</v>
      </c>
      <c r="K68" s="13" t="s">
        <v>52</v>
      </c>
      <c r="L68" s="27">
        <v>71700</v>
      </c>
      <c r="M68" s="28">
        <v>46815.07</v>
      </c>
      <c r="N68" s="13" t="s">
        <v>52</v>
      </c>
      <c r="P68" s="27">
        <v>0</v>
      </c>
      <c r="Q68" s="28">
        <v>0</v>
      </c>
      <c r="R68" s="13" t="s">
        <v>52</v>
      </c>
      <c r="S68" s="28">
        <v>0</v>
      </c>
    </row>
    <row r="69" spans="1:19">
      <c r="A69" s="29" t="s">
        <v>189</v>
      </c>
      <c r="B69" s="26" t="s">
        <v>190</v>
      </c>
      <c r="C69" s="26" t="s">
        <v>172</v>
      </c>
      <c r="D69" s="13" t="s">
        <v>52</v>
      </c>
      <c r="E69" s="27">
        <v>0</v>
      </c>
      <c r="F69" s="28">
        <v>0</v>
      </c>
      <c r="G69" s="13" t="s">
        <v>52</v>
      </c>
      <c r="H69" s="27">
        <v>52200</v>
      </c>
      <c r="J69" s="28">
        <v>44790.21</v>
      </c>
      <c r="K69" s="13" t="s">
        <v>52</v>
      </c>
      <c r="L69" s="27">
        <v>52200</v>
      </c>
      <c r="M69" s="28">
        <v>44790.21</v>
      </c>
      <c r="N69" s="13" t="s">
        <v>52</v>
      </c>
      <c r="P69" s="27">
        <v>0</v>
      </c>
      <c r="Q69" s="28">
        <v>0</v>
      </c>
      <c r="R69" s="13" t="s">
        <v>52</v>
      </c>
      <c r="S69" s="28">
        <v>0</v>
      </c>
    </row>
    <row r="70" spans="1:19">
      <c r="A70" s="29" t="s">
        <v>191</v>
      </c>
      <c r="B70" s="26" t="s">
        <v>192</v>
      </c>
      <c r="C70" s="26" t="s">
        <v>172</v>
      </c>
      <c r="D70" s="13" t="s">
        <v>52</v>
      </c>
      <c r="E70" s="27">
        <v>0</v>
      </c>
      <c r="F70" s="28">
        <v>0</v>
      </c>
      <c r="G70" s="13" t="s">
        <v>52</v>
      </c>
      <c r="H70" s="27">
        <v>30200</v>
      </c>
      <c r="J70" s="28">
        <v>49097.72</v>
      </c>
      <c r="K70" s="13" t="s">
        <v>52</v>
      </c>
      <c r="L70" s="27">
        <v>20000</v>
      </c>
      <c r="M70" s="28">
        <v>29834.4</v>
      </c>
      <c r="N70" s="13" t="s">
        <v>52</v>
      </c>
      <c r="P70" s="27">
        <v>10200</v>
      </c>
      <c r="Q70" s="28">
        <v>19263.32</v>
      </c>
      <c r="R70" s="13" t="s">
        <v>52</v>
      </c>
      <c r="S70" s="28">
        <v>19263.32</v>
      </c>
    </row>
    <row r="71" spans="1:19">
      <c r="A71" s="29" t="s">
        <v>193</v>
      </c>
      <c r="B71" s="26" t="s">
        <v>194</v>
      </c>
      <c r="C71" s="26" t="s">
        <v>172</v>
      </c>
      <c r="D71" s="13" t="s">
        <v>52</v>
      </c>
      <c r="E71" s="27">
        <v>12500</v>
      </c>
      <c r="F71" s="28">
        <v>10719.62</v>
      </c>
      <c r="G71" s="13" t="s">
        <v>52</v>
      </c>
      <c r="H71" s="27">
        <v>51450</v>
      </c>
      <c r="J71" s="28">
        <v>44121.98</v>
      </c>
      <c r="K71" s="13" t="s">
        <v>52</v>
      </c>
      <c r="L71" s="27">
        <v>63950</v>
      </c>
      <c r="M71" s="28">
        <v>54841.6</v>
      </c>
      <c r="N71" s="13" t="s">
        <v>52</v>
      </c>
      <c r="P71" s="27">
        <v>0</v>
      </c>
      <c r="Q71" s="28">
        <v>0</v>
      </c>
      <c r="R71" s="13" t="s">
        <v>52</v>
      </c>
      <c r="S71" s="28">
        <v>0</v>
      </c>
    </row>
    <row r="72" spans="1:19">
      <c r="A72" s="29" t="s">
        <v>195</v>
      </c>
      <c r="B72" s="26" t="s">
        <v>196</v>
      </c>
      <c r="C72" s="26" t="s">
        <v>172</v>
      </c>
      <c r="D72" s="13" t="s">
        <v>52</v>
      </c>
      <c r="E72" s="27">
        <v>10400</v>
      </c>
      <c r="F72" s="28">
        <v>11126.85</v>
      </c>
      <c r="G72" s="13" t="s">
        <v>52</v>
      </c>
      <c r="H72" s="27">
        <v>32600</v>
      </c>
      <c r="J72" s="28">
        <v>34878.41</v>
      </c>
      <c r="K72" s="13" t="s">
        <v>52</v>
      </c>
      <c r="L72" s="27">
        <v>43000</v>
      </c>
      <c r="M72" s="28">
        <v>46005.26</v>
      </c>
      <c r="N72" s="13" t="s">
        <v>52</v>
      </c>
      <c r="P72" s="27">
        <v>0</v>
      </c>
      <c r="Q72" s="28">
        <v>0</v>
      </c>
      <c r="R72" s="13" t="s">
        <v>52</v>
      </c>
      <c r="S72" s="28">
        <v>0</v>
      </c>
    </row>
    <row r="73" spans="1:19">
      <c r="A73" s="29" t="s">
        <v>197</v>
      </c>
      <c r="B73" s="26" t="s">
        <v>198</v>
      </c>
      <c r="C73" s="26" t="s">
        <v>172</v>
      </c>
      <c r="D73" s="13" t="s">
        <v>52</v>
      </c>
      <c r="E73" s="27">
        <v>0</v>
      </c>
      <c r="F73" s="28">
        <v>0</v>
      </c>
      <c r="G73" s="13" t="s">
        <v>52</v>
      </c>
      <c r="H73" s="27">
        <v>22200</v>
      </c>
      <c r="J73" s="28">
        <v>23991.09</v>
      </c>
      <c r="K73" s="13" t="s">
        <v>52</v>
      </c>
      <c r="L73" s="27">
        <v>22200</v>
      </c>
      <c r="M73" s="28">
        <v>23991.09</v>
      </c>
      <c r="N73" s="13" t="s">
        <v>52</v>
      </c>
      <c r="P73" s="27">
        <v>0</v>
      </c>
      <c r="Q73" s="28">
        <v>0</v>
      </c>
      <c r="R73" s="13" t="s">
        <v>52</v>
      </c>
      <c r="S73" s="28">
        <v>0</v>
      </c>
    </row>
    <row r="74" spans="1:19">
      <c r="A74" s="29" t="s">
        <v>199</v>
      </c>
      <c r="B74" s="26" t="s">
        <v>200</v>
      </c>
      <c r="C74" s="26" t="s">
        <v>172</v>
      </c>
      <c r="D74" s="13" t="s">
        <v>52</v>
      </c>
      <c r="E74" s="27">
        <v>0</v>
      </c>
      <c r="F74" s="28">
        <v>0</v>
      </c>
      <c r="G74" s="13" t="s">
        <v>52</v>
      </c>
      <c r="H74" s="27">
        <v>21000</v>
      </c>
      <c r="J74" s="28">
        <v>27774.21</v>
      </c>
      <c r="K74" s="13" t="s">
        <v>52</v>
      </c>
      <c r="L74" s="27">
        <v>21000</v>
      </c>
      <c r="M74" s="28">
        <v>27774.21</v>
      </c>
      <c r="N74" s="13" t="s">
        <v>52</v>
      </c>
      <c r="P74" s="27">
        <v>0</v>
      </c>
      <c r="Q74" s="28">
        <v>0</v>
      </c>
      <c r="R74" s="13" t="s">
        <v>52</v>
      </c>
      <c r="S74" s="28">
        <v>0</v>
      </c>
    </row>
    <row r="75" spans="1:19">
      <c r="A75" s="29" t="s">
        <v>201</v>
      </c>
      <c r="B75" s="26" t="s">
        <v>202</v>
      </c>
      <c r="C75" s="26" t="s">
        <v>172</v>
      </c>
      <c r="D75" s="13" t="s">
        <v>52</v>
      </c>
      <c r="E75" s="27">
        <v>10800</v>
      </c>
      <c r="F75" s="28">
        <v>10621.65</v>
      </c>
      <c r="G75" s="13" t="s">
        <v>52</v>
      </c>
      <c r="H75" s="27">
        <v>11200</v>
      </c>
      <c r="J75" s="28">
        <v>15289.01</v>
      </c>
      <c r="K75" s="13" t="s">
        <v>52</v>
      </c>
      <c r="L75" s="27">
        <v>22000</v>
      </c>
      <c r="M75" s="28">
        <v>25910.66</v>
      </c>
      <c r="N75" s="13" t="s">
        <v>52</v>
      </c>
      <c r="P75" s="27">
        <v>0</v>
      </c>
      <c r="Q75" s="28">
        <v>0</v>
      </c>
      <c r="R75" s="13" t="s">
        <v>52</v>
      </c>
      <c r="S75" s="28">
        <v>0</v>
      </c>
    </row>
    <row r="76" spans="1:19">
      <c r="A76" s="29" t="s">
        <v>203</v>
      </c>
      <c r="B76" s="26" t="s">
        <v>204</v>
      </c>
      <c r="C76" s="26" t="s">
        <v>172</v>
      </c>
      <c r="D76" s="13" t="s">
        <v>52</v>
      </c>
      <c r="E76" s="27">
        <v>0</v>
      </c>
      <c r="F76" s="28">
        <v>0</v>
      </c>
      <c r="G76" s="13" t="s">
        <v>52</v>
      </c>
      <c r="H76" s="27">
        <v>11300</v>
      </c>
      <c r="J76" s="28">
        <v>14821.76</v>
      </c>
      <c r="K76" s="13" t="s">
        <v>52</v>
      </c>
      <c r="L76" s="27">
        <v>11300</v>
      </c>
      <c r="M76" s="28">
        <v>14821.76</v>
      </c>
      <c r="N76" s="13" t="s">
        <v>52</v>
      </c>
      <c r="P76" s="27">
        <v>0</v>
      </c>
      <c r="Q76" s="28">
        <v>0</v>
      </c>
      <c r="R76" s="13" t="s">
        <v>52</v>
      </c>
      <c r="S76" s="28">
        <v>0</v>
      </c>
    </row>
    <row r="77" spans="1:19">
      <c r="A77" s="29" t="s">
        <v>205</v>
      </c>
      <c r="B77" s="26" t="s">
        <v>206</v>
      </c>
      <c r="C77" s="26" t="s">
        <v>172</v>
      </c>
      <c r="D77" s="13" t="s">
        <v>52</v>
      </c>
      <c r="E77" s="27">
        <v>0</v>
      </c>
      <c r="F77" s="28">
        <v>0</v>
      </c>
      <c r="G77" s="13" t="s">
        <v>52</v>
      </c>
      <c r="H77" s="27">
        <v>44200</v>
      </c>
      <c r="J77" s="28">
        <v>17949.19</v>
      </c>
      <c r="K77" s="13" t="s">
        <v>52</v>
      </c>
      <c r="L77" s="27">
        <v>43200</v>
      </c>
      <c r="M77" s="28">
        <v>17565.98</v>
      </c>
      <c r="N77" s="13" t="s">
        <v>52</v>
      </c>
      <c r="P77" s="27">
        <v>1000</v>
      </c>
      <c r="Q77" s="28">
        <v>383.21</v>
      </c>
      <c r="R77" s="13" t="s">
        <v>52</v>
      </c>
      <c r="S77" s="28">
        <v>383.21</v>
      </c>
    </row>
    <row r="78" spans="1:19">
      <c r="A78" s="29" t="s">
        <v>207</v>
      </c>
      <c r="B78" s="26" t="s">
        <v>208</v>
      </c>
      <c r="C78" s="26" t="s">
        <v>172</v>
      </c>
      <c r="D78" s="13" t="s">
        <v>52</v>
      </c>
      <c r="E78" s="27">
        <v>0</v>
      </c>
      <c r="F78" s="28">
        <v>0</v>
      </c>
      <c r="G78" s="13" t="s">
        <v>52</v>
      </c>
      <c r="H78" s="27">
        <v>22500</v>
      </c>
      <c r="J78" s="28">
        <v>10698.52</v>
      </c>
      <c r="K78" s="13" t="s">
        <v>52</v>
      </c>
      <c r="L78" s="27">
        <v>22500</v>
      </c>
      <c r="M78" s="28">
        <v>10698.52</v>
      </c>
      <c r="N78" s="13" t="s">
        <v>52</v>
      </c>
      <c r="P78" s="27">
        <v>0</v>
      </c>
      <c r="Q78" s="28">
        <v>0</v>
      </c>
      <c r="R78" s="13" t="s">
        <v>52</v>
      </c>
      <c r="S78" s="28">
        <v>0</v>
      </c>
    </row>
    <row r="79" spans="1:19">
      <c r="A79" s="29" t="s">
        <v>209</v>
      </c>
      <c r="B79" s="26" t="s">
        <v>210</v>
      </c>
      <c r="C79" s="26" t="s">
        <v>172</v>
      </c>
      <c r="D79" s="13" t="s">
        <v>52</v>
      </c>
      <c r="E79" s="27">
        <v>0</v>
      </c>
      <c r="F79" s="28">
        <v>0</v>
      </c>
      <c r="G79" s="13" t="s">
        <v>52</v>
      </c>
      <c r="H79" s="27">
        <v>1833570</v>
      </c>
      <c r="J79" s="28">
        <v>75304.72</v>
      </c>
      <c r="K79" s="13" t="s">
        <v>52</v>
      </c>
      <c r="L79" s="27">
        <v>1833570</v>
      </c>
      <c r="M79" s="28">
        <v>75304.72</v>
      </c>
      <c r="N79" s="13" t="s">
        <v>52</v>
      </c>
      <c r="P79" s="27">
        <v>0</v>
      </c>
      <c r="Q79" s="28">
        <v>0</v>
      </c>
      <c r="R79" s="13" t="s">
        <v>52</v>
      </c>
      <c r="S79" s="28">
        <v>0</v>
      </c>
    </row>
    <row r="80" spans="1:19">
      <c r="A80" s="29" t="s">
        <v>211</v>
      </c>
      <c r="B80" s="26" t="s">
        <v>212</v>
      </c>
      <c r="C80" s="26" t="s">
        <v>172</v>
      </c>
      <c r="D80" s="13" t="s">
        <v>52</v>
      </c>
      <c r="E80" s="27">
        <v>0</v>
      </c>
      <c r="F80" s="28">
        <v>0</v>
      </c>
      <c r="G80" s="13" t="s">
        <v>52</v>
      </c>
      <c r="H80" s="27">
        <v>21100</v>
      </c>
      <c r="J80" s="28">
        <v>45065.81</v>
      </c>
      <c r="K80" s="13" t="s">
        <v>52</v>
      </c>
      <c r="L80" s="27">
        <v>21100</v>
      </c>
      <c r="M80" s="28">
        <v>45065.81</v>
      </c>
      <c r="N80" s="13" t="s">
        <v>52</v>
      </c>
      <c r="P80" s="27">
        <v>0</v>
      </c>
      <c r="Q80" s="28">
        <v>0</v>
      </c>
      <c r="R80" s="13" t="s">
        <v>52</v>
      </c>
      <c r="S80" s="28">
        <v>0</v>
      </c>
    </row>
    <row r="81" spans="1:19">
      <c r="A81" s="29" t="s">
        <v>213</v>
      </c>
      <c r="B81" s="26" t="s">
        <v>214</v>
      </c>
      <c r="C81" s="26" t="s">
        <v>172</v>
      </c>
      <c r="D81" s="13" t="s">
        <v>52</v>
      </c>
      <c r="E81" s="27">
        <v>520</v>
      </c>
      <c r="F81" s="28">
        <v>1253.68</v>
      </c>
      <c r="G81" s="13" t="s">
        <v>52</v>
      </c>
      <c r="H81" s="30" t="s">
        <v>52</v>
      </c>
      <c r="J81" s="30" t="s">
        <v>52</v>
      </c>
      <c r="K81" s="13" t="s">
        <v>52</v>
      </c>
      <c r="L81" s="30" t="s">
        <v>52</v>
      </c>
      <c r="M81" s="30" t="s">
        <v>52</v>
      </c>
      <c r="N81" s="13" t="s">
        <v>52</v>
      </c>
      <c r="P81" s="27">
        <v>520</v>
      </c>
      <c r="Q81" s="28">
        <v>1253.68</v>
      </c>
      <c r="R81" s="13" t="s">
        <v>52</v>
      </c>
      <c r="S81" s="28">
        <v>1253.68</v>
      </c>
    </row>
    <row r="82" spans="1:19">
      <c r="A82" s="29" t="s">
        <v>215</v>
      </c>
      <c r="B82" s="26" t="s">
        <v>216</v>
      </c>
      <c r="C82" s="26" t="s">
        <v>172</v>
      </c>
      <c r="D82" s="13" t="s">
        <v>52</v>
      </c>
      <c r="E82" s="27">
        <v>0</v>
      </c>
      <c r="F82" s="28">
        <v>0</v>
      </c>
      <c r="G82" s="13" t="s">
        <v>52</v>
      </c>
      <c r="H82" s="27">
        <v>2500</v>
      </c>
      <c r="J82" s="28">
        <v>2643.1</v>
      </c>
      <c r="K82" s="13" t="s">
        <v>52</v>
      </c>
      <c r="L82" s="27">
        <v>2000</v>
      </c>
      <c r="M82" s="28">
        <v>2114.48</v>
      </c>
      <c r="N82" s="13" t="s">
        <v>52</v>
      </c>
      <c r="P82" s="27">
        <v>500</v>
      </c>
      <c r="Q82" s="28">
        <v>528.62</v>
      </c>
      <c r="R82" s="13" t="s">
        <v>52</v>
      </c>
      <c r="S82" s="28">
        <v>528.62</v>
      </c>
    </row>
    <row r="83" spans="1:19">
      <c r="A83" s="29" t="s">
        <v>217</v>
      </c>
      <c r="B83" s="26" t="s">
        <v>218</v>
      </c>
      <c r="C83" s="26" t="s">
        <v>172</v>
      </c>
      <c r="D83" s="13" t="s">
        <v>52</v>
      </c>
      <c r="E83" s="27">
        <v>0</v>
      </c>
      <c r="F83" s="28">
        <v>0</v>
      </c>
      <c r="G83" s="13" t="s">
        <v>52</v>
      </c>
      <c r="H83" s="27">
        <v>5000</v>
      </c>
      <c r="J83" s="28">
        <v>6867.6</v>
      </c>
      <c r="K83" s="13" t="s">
        <v>52</v>
      </c>
      <c r="L83" s="27">
        <v>4000</v>
      </c>
      <c r="M83" s="28">
        <v>5494.08</v>
      </c>
      <c r="N83" s="13" t="s">
        <v>52</v>
      </c>
      <c r="P83" s="27">
        <v>1000</v>
      </c>
      <c r="Q83" s="28">
        <v>1373.52</v>
      </c>
      <c r="R83" s="13" t="s">
        <v>52</v>
      </c>
      <c r="S83" s="28">
        <v>1373.52</v>
      </c>
    </row>
    <row r="84" spans="1:19">
      <c r="A84" s="29" t="s">
        <v>219</v>
      </c>
      <c r="B84" s="26" t="s">
        <v>220</v>
      </c>
      <c r="C84" s="26" t="s">
        <v>172</v>
      </c>
      <c r="D84" s="13" t="s">
        <v>52</v>
      </c>
      <c r="E84" s="27">
        <v>9600</v>
      </c>
      <c r="F84" s="28">
        <v>5124.29</v>
      </c>
      <c r="G84" s="13" t="s">
        <v>52</v>
      </c>
      <c r="H84" s="30" t="s">
        <v>52</v>
      </c>
      <c r="J84" s="30" t="s">
        <v>52</v>
      </c>
      <c r="K84" s="13" t="s">
        <v>52</v>
      </c>
      <c r="L84" s="30" t="s">
        <v>52</v>
      </c>
      <c r="M84" s="30" t="s">
        <v>52</v>
      </c>
      <c r="N84" s="13" t="s">
        <v>52</v>
      </c>
      <c r="P84" s="27">
        <v>9600</v>
      </c>
      <c r="Q84" s="28">
        <v>5124.29</v>
      </c>
      <c r="R84" s="13" t="s">
        <v>52</v>
      </c>
      <c r="S84" s="28">
        <v>5124.29</v>
      </c>
    </row>
    <row r="85" spans="1:19">
      <c r="A85" s="29" t="s">
        <v>221</v>
      </c>
      <c r="B85" s="26" t="s">
        <v>222</v>
      </c>
      <c r="C85" s="26" t="s">
        <v>172</v>
      </c>
      <c r="D85" s="13" t="s">
        <v>52</v>
      </c>
      <c r="E85" s="27">
        <v>3930</v>
      </c>
      <c r="F85" s="28">
        <v>1407.17</v>
      </c>
      <c r="G85" s="13" t="s">
        <v>52</v>
      </c>
      <c r="H85" s="30" t="s">
        <v>52</v>
      </c>
      <c r="J85" s="30" t="s">
        <v>52</v>
      </c>
      <c r="K85" s="13" t="s">
        <v>52</v>
      </c>
      <c r="L85" s="27">
        <v>2000</v>
      </c>
      <c r="M85" s="28">
        <v>716.11</v>
      </c>
      <c r="N85" s="13" t="s">
        <v>52</v>
      </c>
      <c r="P85" s="27">
        <v>1930</v>
      </c>
      <c r="Q85" s="28">
        <v>691.06</v>
      </c>
      <c r="R85" s="13" t="s">
        <v>52</v>
      </c>
      <c r="S85" s="28">
        <v>691.06</v>
      </c>
    </row>
    <row r="86" spans="1:19">
      <c r="A86" s="29" t="s">
        <v>223</v>
      </c>
      <c r="B86" s="26" t="s">
        <v>224</v>
      </c>
      <c r="C86" s="26" t="s">
        <v>172</v>
      </c>
      <c r="D86" s="13" t="s">
        <v>52</v>
      </c>
      <c r="E86" s="27">
        <v>0</v>
      </c>
      <c r="F86" s="28">
        <v>0</v>
      </c>
      <c r="G86" s="13" t="s">
        <v>52</v>
      </c>
      <c r="H86" s="27">
        <v>107690</v>
      </c>
      <c r="J86" s="28">
        <v>41496.19</v>
      </c>
      <c r="K86" s="13" t="s">
        <v>52</v>
      </c>
      <c r="L86" s="27">
        <v>107690</v>
      </c>
      <c r="M86" s="28">
        <v>41496.19</v>
      </c>
      <c r="N86" s="13" t="s">
        <v>52</v>
      </c>
      <c r="P86" s="27">
        <v>0</v>
      </c>
      <c r="Q86" s="28">
        <v>0</v>
      </c>
      <c r="R86" s="13" t="s">
        <v>52</v>
      </c>
      <c r="S86" s="28">
        <v>0</v>
      </c>
    </row>
    <row r="87" spans="1:19">
      <c r="A87" s="29" t="s">
        <v>225</v>
      </c>
      <c r="B87" s="26" t="s">
        <v>226</v>
      </c>
      <c r="C87" s="26" t="s">
        <v>172</v>
      </c>
      <c r="D87" s="13" t="s">
        <v>52</v>
      </c>
      <c r="E87" s="27">
        <v>0</v>
      </c>
      <c r="F87" s="28">
        <v>0</v>
      </c>
      <c r="G87" s="13" t="s">
        <v>52</v>
      </c>
      <c r="H87" s="27">
        <v>104400</v>
      </c>
      <c r="J87" s="28">
        <v>49871.87</v>
      </c>
      <c r="K87" s="13" t="s">
        <v>52</v>
      </c>
      <c r="L87" s="27">
        <v>104400</v>
      </c>
      <c r="M87" s="28">
        <v>49871.87</v>
      </c>
      <c r="N87" s="13" t="s">
        <v>52</v>
      </c>
      <c r="P87" s="27">
        <v>0</v>
      </c>
      <c r="Q87" s="28">
        <v>0</v>
      </c>
      <c r="R87" s="13" t="s">
        <v>52</v>
      </c>
      <c r="S87" s="28">
        <v>0</v>
      </c>
    </row>
    <row r="88" spans="1:19">
      <c r="A88" s="29" t="s">
        <v>227</v>
      </c>
      <c r="B88" s="26" t="s">
        <v>228</v>
      </c>
      <c r="C88" s="26" t="s">
        <v>172</v>
      </c>
      <c r="D88" s="13" t="s">
        <v>52</v>
      </c>
      <c r="E88" s="27">
        <v>0</v>
      </c>
      <c r="F88" s="28">
        <v>0</v>
      </c>
      <c r="G88" s="13" t="s">
        <v>52</v>
      </c>
      <c r="H88" s="27">
        <v>41000</v>
      </c>
      <c r="J88" s="28">
        <v>23942.77</v>
      </c>
      <c r="K88" s="13" t="s">
        <v>52</v>
      </c>
      <c r="L88" s="27">
        <v>41000</v>
      </c>
      <c r="M88" s="28">
        <v>23942.77</v>
      </c>
      <c r="N88" s="13" t="s">
        <v>52</v>
      </c>
      <c r="P88" s="27">
        <v>0</v>
      </c>
      <c r="Q88" s="28">
        <v>0</v>
      </c>
      <c r="R88" s="13" t="s">
        <v>52</v>
      </c>
      <c r="S88" s="28">
        <v>0</v>
      </c>
    </row>
    <row r="89" spans="1:19">
      <c r="A89" s="29" t="s">
        <v>229</v>
      </c>
      <c r="B89" s="26" t="s">
        <v>230</v>
      </c>
      <c r="C89" s="26" t="s">
        <v>172</v>
      </c>
      <c r="D89" s="13" t="s">
        <v>52</v>
      </c>
      <c r="E89" s="27">
        <v>36500</v>
      </c>
      <c r="F89" s="28">
        <v>8030</v>
      </c>
      <c r="G89" s="13" t="s">
        <v>52</v>
      </c>
      <c r="H89" s="30" t="s">
        <v>52</v>
      </c>
      <c r="J89" s="30" t="s">
        <v>52</v>
      </c>
      <c r="K89" s="13" t="s">
        <v>52</v>
      </c>
      <c r="L89" s="27">
        <v>34400</v>
      </c>
      <c r="M89" s="28">
        <v>7568</v>
      </c>
      <c r="N89" s="13" t="s">
        <v>52</v>
      </c>
      <c r="P89" s="27">
        <v>2100</v>
      </c>
      <c r="Q89" s="28">
        <v>462</v>
      </c>
      <c r="R89" s="13" t="s">
        <v>52</v>
      </c>
      <c r="S89" s="28">
        <v>462</v>
      </c>
    </row>
    <row r="90" spans="1:19">
      <c r="A90" s="29" t="s">
        <v>231</v>
      </c>
      <c r="B90" s="26" t="s">
        <v>232</v>
      </c>
      <c r="C90" s="26" t="s">
        <v>172</v>
      </c>
      <c r="D90" s="13" t="s">
        <v>52</v>
      </c>
      <c r="E90" s="27">
        <v>51600</v>
      </c>
      <c r="F90" s="28">
        <v>23894.41</v>
      </c>
      <c r="G90" s="13" t="s">
        <v>52</v>
      </c>
      <c r="H90" s="30" t="s">
        <v>52</v>
      </c>
      <c r="J90" s="30" t="s">
        <v>52</v>
      </c>
      <c r="K90" s="13" t="s">
        <v>52</v>
      </c>
      <c r="L90" s="27">
        <v>41100</v>
      </c>
      <c r="M90" s="28">
        <v>19032.17</v>
      </c>
      <c r="N90" s="13" t="s">
        <v>52</v>
      </c>
      <c r="P90" s="27">
        <v>10500</v>
      </c>
      <c r="Q90" s="28">
        <v>4862.24</v>
      </c>
      <c r="R90" s="13" t="s">
        <v>52</v>
      </c>
      <c r="S90" s="28">
        <v>4862.24</v>
      </c>
    </row>
    <row r="91" spans="1:19">
      <c r="A91" s="29" t="s">
        <v>233</v>
      </c>
      <c r="B91" s="26" t="s">
        <v>234</v>
      </c>
      <c r="C91" s="26" t="s">
        <v>172</v>
      </c>
      <c r="D91" s="13" t="s">
        <v>52</v>
      </c>
      <c r="E91" s="27">
        <v>590</v>
      </c>
      <c r="F91" s="28">
        <v>109.5</v>
      </c>
      <c r="G91" s="13" t="s">
        <v>52</v>
      </c>
      <c r="H91" s="30" t="s">
        <v>52</v>
      </c>
      <c r="J91" s="30" t="s">
        <v>52</v>
      </c>
      <c r="K91" s="13" t="s">
        <v>52</v>
      </c>
      <c r="L91" s="27">
        <v>590</v>
      </c>
      <c r="M91" s="28">
        <v>109.5</v>
      </c>
      <c r="N91" s="13" t="s">
        <v>52</v>
      </c>
      <c r="P91" s="27">
        <v>0</v>
      </c>
      <c r="Q91" s="28">
        <v>0</v>
      </c>
      <c r="R91" s="13" t="s">
        <v>52</v>
      </c>
      <c r="S91" s="28">
        <v>0</v>
      </c>
    </row>
    <row r="92" spans="1:19">
      <c r="A92" s="29" t="s">
        <v>235</v>
      </c>
      <c r="B92" s="26" t="s">
        <v>236</v>
      </c>
      <c r="C92" s="26" t="s">
        <v>91</v>
      </c>
      <c r="D92" s="13" t="s">
        <v>52</v>
      </c>
      <c r="E92" s="27">
        <v>63351</v>
      </c>
      <c r="F92" s="28">
        <v>28670.58</v>
      </c>
      <c r="G92" s="13" t="s">
        <v>52</v>
      </c>
      <c r="H92" s="30" t="s">
        <v>52</v>
      </c>
      <c r="J92" s="30" t="s">
        <v>52</v>
      </c>
      <c r="K92" s="13" t="s">
        <v>52</v>
      </c>
      <c r="L92" s="30" t="s">
        <v>52</v>
      </c>
      <c r="M92" s="30" t="s">
        <v>52</v>
      </c>
      <c r="N92" s="13" t="s">
        <v>52</v>
      </c>
      <c r="P92" s="27">
        <v>63351</v>
      </c>
      <c r="Q92" s="28">
        <v>28670.58</v>
      </c>
      <c r="R92" s="13" t="s">
        <v>52</v>
      </c>
      <c r="S92" s="28">
        <v>28670.58</v>
      </c>
    </row>
    <row r="93" spans="1:19">
      <c r="A93" s="29" t="s">
        <v>237</v>
      </c>
      <c r="B93" s="26" t="s">
        <v>238</v>
      </c>
      <c r="C93" s="26" t="s">
        <v>172</v>
      </c>
      <c r="D93" s="13" t="s">
        <v>52</v>
      </c>
      <c r="E93" s="27">
        <v>820</v>
      </c>
      <c r="F93" s="28">
        <v>978.03</v>
      </c>
      <c r="G93" s="13" t="s">
        <v>52</v>
      </c>
      <c r="H93" s="30" t="s">
        <v>52</v>
      </c>
      <c r="J93" s="30" t="s">
        <v>52</v>
      </c>
      <c r="K93" s="13" t="s">
        <v>52</v>
      </c>
      <c r="L93" s="27">
        <v>820</v>
      </c>
      <c r="M93" s="28">
        <v>978.03</v>
      </c>
      <c r="N93" s="13" t="s">
        <v>52</v>
      </c>
      <c r="P93" s="27">
        <v>0</v>
      </c>
      <c r="Q93" s="28">
        <v>0</v>
      </c>
      <c r="R93" s="13" t="s">
        <v>52</v>
      </c>
      <c r="S93" s="28">
        <v>0</v>
      </c>
    </row>
    <row r="94" spans="1:19">
      <c r="A94" s="29" t="s">
        <v>239</v>
      </c>
      <c r="B94" s="26" t="s">
        <v>240</v>
      </c>
      <c r="C94" s="26" t="s">
        <v>172</v>
      </c>
      <c r="D94" s="13" t="s">
        <v>52</v>
      </c>
      <c r="E94" s="27">
        <v>573</v>
      </c>
      <c r="F94" s="28">
        <v>683.43</v>
      </c>
      <c r="G94" s="13" t="s">
        <v>52</v>
      </c>
      <c r="H94" s="30" t="s">
        <v>52</v>
      </c>
      <c r="J94" s="30" t="s">
        <v>52</v>
      </c>
      <c r="K94" s="13" t="s">
        <v>52</v>
      </c>
      <c r="L94" s="27">
        <v>573</v>
      </c>
      <c r="M94" s="28">
        <v>683.43</v>
      </c>
      <c r="N94" s="13" t="s">
        <v>52</v>
      </c>
      <c r="P94" s="27">
        <v>0</v>
      </c>
      <c r="Q94" s="28">
        <v>0</v>
      </c>
      <c r="R94" s="13" t="s">
        <v>52</v>
      </c>
      <c r="S94" s="28">
        <v>0</v>
      </c>
    </row>
    <row r="95" spans="1:19">
      <c r="A95" s="29" t="s">
        <v>241</v>
      </c>
      <c r="B95" s="26" t="s">
        <v>242</v>
      </c>
      <c r="C95" s="26" t="s">
        <v>172</v>
      </c>
      <c r="D95" s="13" t="s">
        <v>52</v>
      </c>
      <c r="E95" s="27">
        <v>360</v>
      </c>
      <c r="F95" s="28">
        <v>426.44</v>
      </c>
      <c r="G95" s="13" t="s">
        <v>52</v>
      </c>
      <c r="H95" s="30" t="s">
        <v>52</v>
      </c>
      <c r="J95" s="30" t="s">
        <v>52</v>
      </c>
      <c r="K95" s="13" t="s">
        <v>52</v>
      </c>
      <c r="L95" s="27">
        <v>360</v>
      </c>
      <c r="M95" s="28">
        <v>426.44</v>
      </c>
      <c r="N95" s="13" t="s">
        <v>52</v>
      </c>
      <c r="P95" s="27">
        <v>0</v>
      </c>
      <c r="Q95" s="28">
        <v>0</v>
      </c>
      <c r="R95" s="13" t="s">
        <v>52</v>
      </c>
      <c r="S95" s="28">
        <v>0</v>
      </c>
    </row>
    <row r="96" spans="1:19">
      <c r="A96" s="29" t="s">
        <v>243</v>
      </c>
      <c r="B96" s="26" t="s">
        <v>244</v>
      </c>
      <c r="C96" s="26" t="s">
        <v>172</v>
      </c>
      <c r="D96" s="13" t="s">
        <v>52</v>
      </c>
      <c r="E96" s="27">
        <v>540</v>
      </c>
      <c r="F96" s="28">
        <v>339.23</v>
      </c>
      <c r="G96" s="13" t="s">
        <v>52</v>
      </c>
      <c r="H96" s="30" t="s">
        <v>52</v>
      </c>
      <c r="J96" s="30" t="s">
        <v>52</v>
      </c>
      <c r="K96" s="13" t="s">
        <v>52</v>
      </c>
      <c r="L96" s="27">
        <v>540</v>
      </c>
      <c r="M96" s="28">
        <v>339.23</v>
      </c>
      <c r="N96" s="13" t="s">
        <v>52</v>
      </c>
      <c r="P96" s="27">
        <v>0</v>
      </c>
      <c r="Q96" s="28">
        <v>0</v>
      </c>
      <c r="R96" s="13" t="s">
        <v>52</v>
      </c>
      <c r="S96" s="28">
        <v>0</v>
      </c>
    </row>
    <row r="97" spans="1:19">
      <c r="A97" s="29" t="s">
        <v>245</v>
      </c>
      <c r="B97" s="26" t="s">
        <v>246</v>
      </c>
      <c r="C97" s="26" t="s">
        <v>172</v>
      </c>
      <c r="D97" s="13" t="s">
        <v>52</v>
      </c>
      <c r="E97" s="27">
        <v>1040</v>
      </c>
      <c r="F97" s="28">
        <v>1240.43</v>
      </c>
      <c r="G97" s="13" t="s">
        <v>52</v>
      </c>
      <c r="H97" s="30" t="s">
        <v>52</v>
      </c>
      <c r="J97" s="30" t="s">
        <v>52</v>
      </c>
      <c r="K97" s="13" t="s">
        <v>52</v>
      </c>
      <c r="L97" s="27">
        <v>1040</v>
      </c>
      <c r="M97" s="28">
        <v>1240.43</v>
      </c>
      <c r="N97" s="13" t="s">
        <v>52</v>
      </c>
      <c r="P97" s="27">
        <v>0</v>
      </c>
      <c r="Q97" s="28">
        <v>0</v>
      </c>
      <c r="R97" s="13" t="s">
        <v>52</v>
      </c>
      <c r="S97" s="28">
        <v>0</v>
      </c>
    </row>
    <row r="98" spans="1:19">
      <c r="A98" s="29" t="s">
        <v>247</v>
      </c>
      <c r="B98" s="26" t="s">
        <v>248</v>
      </c>
      <c r="C98" s="26" t="s">
        <v>172</v>
      </c>
      <c r="D98" s="13" t="s">
        <v>52</v>
      </c>
      <c r="E98" s="27">
        <v>700</v>
      </c>
      <c r="F98" s="28">
        <v>239.03</v>
      </c>
      <c r="G98" s="13" t="s">
        <v>52</v>
      </c>
      <c r="H98" s="30" t="s">
        <v>52</v>
      </c>
      <c r="J98" s="30" t="s">
        <v>52</v>
      </c>
      <c r="K98" s="13" t="s">
        <v>52</v>
      </c>
      <c r="L98" s="27">
        <v>700</v>
      </c>
      <c r="M98" s="28">
        <v>239.03</v>
      </c>
      <c r="N98" s="13" t="s">
        <v>52</v>
      </c>
      <c r="P98" s="27">
        <v>0</v>
      </c>
      <c r="Q98" s="28">
        <v>0</v>
      </c>
      <c r="R98" s="13" t="s">
        <v>52</v>
      </c>
      <c r="S98" s="28">
        <v>0</v>
      </c>
    </row>
    <row r="99" spans="1:19">
      <c r="A99" s="29" t="s">
        <v>249</v>
      </c>
      <c r="B99" s="26" t="s">
        <v>250</v>
      </c>
      <c r="C99" s="26" t="s">
        <v>172</v>
      </c>
      <c r="D99" s="13" t="s">
        <v>52</v>
      </c>
      <c r="E99" s="27">
        <v>29780</v>
      </c>
      <c r="F99" s="28">
        <v>10169.17</v>
      </c>
      <c r="G99" s="13" t="s">
        <v>52</v>
      </c>
      <c r="H99" s="30" t="s">
        <v>52</v>
      </c>
      <c r="J99" s="30" t="s">
        <v>52</v>
      </c>
      <c r="K99" s="13" t="s">
        <v>52</v>
      </c>
      <c r="L99" s="27">
        <v>29780</v>
      </c>
      <c r="M99" s="28">
        <v>10169.17</v>
      </c>
      <c r="N99" s="13" t="s">
        <v>52</v>
      </c>
      <c r="P99" s="27">
        <v>0</v>
      </c>
      <c r="Q99" s="28">
        <v>0</v>
      </c>
      <c r="R99" s="13" t="s">
        <v>52</v>
      </c>
      <c r="S99" s="28">
        <v>0</v>
      </c>
    </row>
    <row r="100" spans="1:19">
      <c r="A100" s="29" t="s">
        <v>251</v>
      </c>
      <c r="B100" s="26" t="s">
        <v>252</v>
      </c>
      <c r="C100" s="26" t="s">
        <v>172</v>
      </c>
      <c r="D100" s="13" t="s">
        <v>52</v>
      </c>
      <c r="E100" s="27">
        <v>3100</v>
      </c>
      <c r="F100" s="28">
        <v>129.58</v>
      </c>
      <c r="G100" s="13" t="s">
        <v>52</v>
      </c>
      <c r="H100" s="30" t="s">
        <v>52</v>
      </c>
      <c r="J100" s="30" t="s">
        <v>52</v>
      </c>
      <c r="K100" s="13" t="s">
        <v>52</v>
      </c>
      <c r="L100" s="27">
        <v>3100</v>
      </c>
      <c r="M100" s="28">
        <v>129.58</v>
      </c>
      <c r="N100" s="13" t="s">
        <v>52</v>
      </c>
      <c r="P100" s="27">
        <v>0</v>
      </c>
      <c r="Q100" s="28">
        <v>0</v>
      </c>
      <c r="R100" s="13" t="s">
        <v>52</v>
      </c>
      <c r="S100" s="28">
        <v>0</v>
      </c>
    </row>
    <row r="101" spans="1:19">
      <c r="A101" s="29" t="s">
        <v>253</v>
      </c>
      <c r="B101" s="26" t="s">
        <v>254</v>
      </c>
      <c r="C101" s="26" t="s">
        <v>172</v>
      </c>
      <c r="D101" s="13" t="s">
        <v>52</v>
      </c>
      <c r="E101" s="27">
        <v>1160</v>
      </c>
      <c r="F101" s="28">
        <v>2003.45</v>
      </c>
      <c r="G101" s="13" t="s">
        <v>52</v>
      </c>
      <c r="H101" s="30" t="s">
        <v>52</v>
      </c>
      <c r="J101" s="30" t="s">
        <v>52</v>
      </c>
      <c r="K101" s="13" t="s">
        <v>52</v>
      </c>
      <c r="L101" s="27">
        <v>1160</v>
      </c>
      <c r="M101" s="28">
        <v>2003.45</v>
      </c>
      <c r="N101" s="13" t="s">
        <v>52</v>
      </c>
      <c r="P101" s="27">
        <v>0</v>
      </c>
      <c r="Q101" s="28">
        <v>0</v>
      </c>
      <c r="R101" s="13" t="s">
        <v>52</v>
      </c>
      <c r="S101" s="28">
        <v>0</v>
      </c>
    </row>
    <row r="102" spans="1:19">
      <c r="A102" s="29" t="s">
        <v>255</v>
      </c>
      <c r="B102" s="26" t="s">
        <v>256</v>
      </c>
      <c r="C102" s="26" t="s">
        <v>172</v>
      </c>
      <c r="D102" s="13" t="s">
        <v>52</v>
      </c>
      <c r="E102" s="27">
        <v>280</v>
      </c>
      <c r="F102" s="28">
        <v>483.59</v>
      </c>
      <c r="G102" s="13" t="s">
        <v>52</v>
      </c>
      <c r="H102" s="30" t="s">
        <v>52</v>
      </c>
      <c r="J102" s="30" t="s">
        <v>52</v>
      </c>
      <c r="K102" s="13" t="s">
        <v>52</v>
      </c>
      <c r="L102" s="27">
        <v>280</v>
      </c>
      <c r="M102" s="28">
        <v>483.59</v>
      </c>
      <c r="N102" s="13" t="s">
        <v>52</v>
      </c>
      <c r="P102" s="27">
        <v>0</v>
      </c>
      <c r="Q102" s="28">
        <v>0</v>
      </c>
      <c r="R102" s="13" t="s">
        <v>52</v>
      </c>
      <c r="S102" s="28">
        <v>0</v>
      </c>
    </row>
    <row r="103" spans="1:19">
      <c r="A103" s="29" t="s">
        <v>257</v>
      </c>
      <c r="B103" s="26" t="s">
        <v>258</v>
      </c>
      <c r="C103" s="26" t="s">
        <v>172</v>
      </c>
      <c r="D103" s="13" t="s">
        <v>52</v>
      </c>
      <c r="E103" s="27">
        <v>520</v>
      </c>
      <c r="F103" s="28">
        <v>298.9</v>
      </c>
      <c r="G103" s="13" t="s">
        <v>52</v>
      </c>
      <c r="H103" s="30" t="s">
        <v>52</v>
      </c>
      <c r="J103" s="30" t="s">
        <v>52</v>
      </c>
      <c r="K103" s="13" t="s">
        <v>52</v>
      </c>
      <c r="L103" s="27">
        <v>520</v>
      </c>
      <c r="M103" s="28">
        <v>298.9</v>
      </c>
      <c r="N103" s="13" t="s">
        <v>52</v>
      </c>
      <c r="P103" s="27">
        <v>0</v>
      </c>
      <c r="Q103" s="28">
        <v>0</v>
      </c>
      <c r="R103" s="13" t="s">
        <v>52</v>
      </c>
      <c r="S103" s="28">
        <v>0</v>
      </c>
    </row>
    <row r="104" spans="1:19">
      <c r="A104" s="29" t="s">
        <v>259</v>
      </c>
      <c r="B104" s="26" t="s">
        <v>260</v>
      </c>
      <c r="C104" s="26" t="s">
        <v>172</v>
      </c>
      <c r="D104" s="13" t="s">
        <v>52</v>
      </c>
      <c r="E104" s="27">
        <v>350</v>
      </c>
      <c r="F104" s="28">
        <v>611.28</v>
      </c>
      <c r="G104" s="13" t="s">
        <v>52</v>
      </c>
      <c r="H104" s="30" t="s">
        <v>52</v>
      </c>
      <c r="J104" s="30" t="s">
        <v>52</v>
      </c>
      <c r="K104" s="13" t="s">
        <v>52</v>
      </c>
      <c r="L104" s="27">
        <v>350</v>
      </c>
      <c r="M104" s="28">
        <v>611.28</v>
      </c>
      <c r="N104" s="13" t="s">
        <v>52</v>
      </c>
      <c r="P104" s="27">
        <v>0</v>
      </c>
      <c r="Q104" s="28">
        <v>0</v>
      </c>
      <c r="R104" s="13" t="s">
        <v>52</v>
      </c>
      <c r="S104" s="28">
        <v>0</v>
      </c>
    </row>
    <row r="105" spans="1:19">
      <c r="A105" s="29" t="s">
        <v>261</v>
      </c>
      <c r="B105" s="26" t="s">
        <v>262</v>
      </c>
      <c r="C105" s="26" t="s">
        <v>172</v>
      </c>
      <c r="D105" s="13" t="s">
        <v>52</v>
      </c>
      <c r="E105" s="27">
        <v>1480</v>
      </c>
      <c r="F105" s="28">
        <v>506.46</v>
      </c>
      <c r="G105" s="13" t="s">
        <v>52</v>
      </c>
      <c r="H105" s="30" t="s">
        <v>52</v>
      </c>
      <c r="J105" s="30" t="s">
        <v>52</v>
      </c>
      <c r="K105" s="13" t="s">
        <v>52</v>
      </c>
      <c r="L105" s="30" t="s">
        <v>52</v>
      </c>
      <c r="M105" s="30" t="s">
        <v>52</v>
      </c>
      <c r="N105" s="13" t="s">
        <v>52</v>
      </c>
      <c r="P105" s="27">
        <v>1480</v>
      </c>
      <c r="Q105" s="28">
        <v>506.46</v>
      </c>
      <c r="R105" s="13" t="s">
        <v>52</v>
      </c>
      <c r="S105" s="28">
        <v>506.46</v>
      </c>
    </row>
    <row r="106" spans="1:19">
      <c r="A106" s="29" t="s">
        <v>263</v>
      </c>
      <c r="B106" s="26" t="s">
        <v>264</v>
      </c>
      <c r="C106" s="26" t="s">
        <v>172</v>
      </c>
      <c r="D106" s="13" t="s">
        <v>52</v>
      </c>
      <c r="E106" s="27">
        <v>2000</v>
      </c>
      <c r="F106" s="28">
        <v>315.25</v>
      </c>
      <c r="G106" s="13" t="s">
        <v>52</v>
      </c>
      <c r="H106" s="30" t="s">
        <v>52</v>
      </c>
      <c r="J106" s="30" t="s">
        <v>52</v>
      </c>
      <c r="K106" s="13" t="s">
        <v>52</v>
      </c>
      <c r="L106" s="30" t="s">
        <v>52</v>
      </c>
      <c r="M106" s="30" t="s">
        <v>52</v>
      </c>
      <c r="N106" s="13" t="s">
        <v>52</v>
      </c>
      <c r="P106" s="27">
        <v>2000</v>
      </c>
      <c r="Q106" s="28">
        <v>315.25</v>
      </c>
      <c r="R106" s="13" t="s">
        <v>52</v>
      </c>
      <c r="S106" s="28">
        <v>315.25</v>
      </c>
    </row>
    <row r="107" spans="1:19">
      <c r="A107" s="29" t="s">
        <v>265</v>
      </c>
      <c r="B107" s="26" t="s">
        <v>266</v>
      </c>
      <c r="C107" s="26" t="s">
        <v>172</v>
      </c>
      <c r="D107" s="13" t="s">
        <v>52</v>
      </c>
      <c r="E107" s="27">
        <v>4500</v>
      </c>
      <c r="F107" s="28">
        <v>13.61</v>
      </c>
      <c r="G107" s="13" t="s">
        <v>52</v>
      </c>
      <c r="H107" s="30" t="s">
        <v>52</v>
      </c>
      <c r="J107" s="30" t="s">
        <v>52</v>
      </c>
      <c r="K107" s="13" t="s">
        <v>52</v>
      </c>
      <c r="L107" s="30" t="s">
        <v>52</v>
      </c>
      <c r="M107" s="30" t="s">
        <v>52</v>
      </c>
      <c r="N107" s="13" t="s">
        <v>52</v>
      </c>
      <c r="P107" s="27">
        <v>4500</v>
      </c>
      <c r="Q107" s="28">
        <v>13.61</v>
      </c>
      <c r="R107" s="13" t="s">
        <v>52</v>
      </c>
      <c r="S107" s="28">
        <v>13.61</v>
      </c>
    </row>
    <row r="108" spans="1:19">
      <c r="A108" s="29" t="s">
        <v>267</v>
      </c>
      <c r="B108" s="26" t="s">
        <v>268</v>
      </c>
      <c r="C108" s="26" t="s">
        <v>91</v>
      </c>
      <c r="D108" s="13" t="s">
        <v>52</v>
      </c>
      <c r="E108" s="27">
        <v>5724</v>
      </c>
      <c r="F108" s="28">
        <v>2575.81</v>
      </c>
      <c r="G108" s="13" t="s">
        <v>52</v>
      </c>
      <c r="H108" s="27">
        <v>326</v>
      </c>
      <c r="J108" s="28">
        <v>7.44</v>
      </c>
      <c r="K108" s="13" t="s">
        <v>52</v>
      </c>
      <c r="L108" s="30" t="s">
        <v>52</v>
      </c>
      <c r="M108" s="30" t="s">
        <v>52</v>
      </c>
      <c r="N108" s="13" t="s">
        <v>52</v>
      </c>
      <c r="P108" s="27">
        <v>6050</v>
      </c>
      <c r="Q108" s="28">
        <v>2583.25</v>
      </c>
      <c r="R108" s="13" t="s">
        <v>52</v>
      </c>
      <c r="S108" s="28">
        <v>2583.25</v>
      </c>
    </row>
    <row r="109" spans="1:19">
      <c r="A109" s="29" t="s">
        <v>269</v>
      </c>
      <c r="B109" s="26" t="s">
        <v>270</v>
      </c>
      <c r="C109" s="26" t="s">
        <v>91</v>
      </c>
      <c r="D109" s="13" t="s">
        <v>52</v>
      </c>
      <c r="E109" s="27">
        <v>10947</v>
      </c>
      <c r="F109" s="28">
        <v>17346.06</v>
      </c>
      <c r="G109" s="13" t="s">
        <v>52</v>
      </c>
      <c r="H109" s="27">
        <v>2618850</v>
      </c>
      <c r="J109" s="28">
        <v>2913609.78</v>
      </c>
      <c r="K109" s="13" t="s">
        <v>52</v>
      </c>
      <c r="L109" s="27">
        <v>2584400</v>
      </c>
      <c r="M109" s="28">
        <v>2875591.1</v>
      </c>
      <c r="N109" s="13" t="s">
        <v>52</v>
      </c>
      <c r="P109" s="27">
        <v>45397</v>
      </c>
      <c r="Q109" s="28">
        <v>55364.74</v>
      </c>
      <c r="R109" s="13" t="s">
        <v>52</v>
      </c>
      <c r="S109" s="28">
        <v>55364.74</v>
      </c>
    </row>
    <row r="110" spans="1:19">
      <c r="A110" s="29" t="s">
        <v>271</v>
      </c>
      <c r="B110" s="26" t="s">
        <v>272</v>
      </c>
      <c r="C110" s="26" t="s">
        <v>172</v>
      </c>
      <c r="D110" s="13" t="s">
        <v>52</v>
      </c>
      <c r="E110" s="27">
        <v>1060</v>
      </c>
      <c r="F110" s="28">
        <v>2438.67</v>
      </c>
      <c r="G110" s="13" t="s">
        <v>52</v>
      </c>
      <c r="H110" s="30" t="s">
        <v>52</v>
      </c>
      <c r="J110" s="30" t="s">
        <v>52</v>
      </c>
      <c r="K110" s="13" t="s">
        <v>52</v>
      </c>
      <c r="L110" s="27">
        <v>660</v>
      </c>
      <c r="M110" s="28">
        <v>1518.42</v>
      </c>
      <c r="N110" s="13" t="s">
        <v>52</v>
      </c>
      <c r="P110" s="27">
        <v>400</v>
      </c>
      <c r="Q110" s="28">
        <v>920.25</v>
      </c>
      <c r="R110" s="13" t="s">
        <v>52</v>
      </c>
      <c r="S110" s="28">
        <v>920.25</v>
      </c>
    </row>
    <row r="111" spans="1:19">
      <c r="A111" s="29" t="s">
        <v>273</v>
      </c>
      <c r="B111" s="26" t="s">
        <v>274</v>
      </c>
      <c r="C111" s="26" t="s">
        <v>172</v>
      </c>
      <c r="D111" s="13" t="s">
        <v>52</v>
      </c>
      <c r="E111" s="27">
        <v>1400</v>
      </c>
      <c r="F111" s="28">
        <v>476</v>
      </c>
      <c r="G111" s="13" t="s">
        <v>52</v>
      </c>
      <c r="H111" s="27">
        <v>1400</v>
      </c>
      <c r="J111" s="28">
        <v>476</v>
      </c>
      <c r="K111" s="13" t="s">
        <v>52</v>
      </c>
      <c r="L111" s="30" t="s">
        <v>52</v>
      </c>
      <c r="M111" s="30" t="s">
        <v>52</v>
      </c>
      <c r="N111" s="13" t="s">
        <v>52</v>
      </c>
      <c r="P111" s="27">
        <v>2800</v>
      </c>
      <c r="Q111" s="28">
        <v>952</v>
      </c>
      <c r="R111" s="13" t="s">
        <v>52</v>
      </c>
      <c r="S111" s="28">
        <v>952</v>
      </c>
    </row>
    <row r="112" spans="1:19">
      <c r="A112" s="29" t="s">
        <v>275</v>
      </c>
      <c r="B112" s="26" t="s">
        <v>276</v>
      </c>
      <c r="C112" s="26" t="s">
        <v>172</v>
      </c>
      <c r="D112" s="13" t="s">
        <v>52</v>
      </c>
      <c r="E112" s="27">
        <v>5400</v>
      </c>
      <c r="F112" s="28">
        <v>3240</v>
      </c>
      <c r="G112" s="13" t="s">
        <v>52</v>
      </c>
      <c r="H112" s="30" t="s">
        <v>52</v>
      </c>
      <c r="J112" s="30" t="s">
        <v>52</v>
      </c>
      <c r="K112" s="13" t="s">
        <v>52</v>
      </c>
      <c r="L112" s="27">
        <v>5400</v>
      </c>
      <c r="M112" s="28">
        <v>3240</v>
      </c>
      <c r="N112" s="13" t="s">
        <v>52</v>
      </c>
      <c r="P112" s="27">
        <v>0</v>
      </c>
      <c r="Q112" s="28">
        <v>0</v>
      </c>
      <c r="R112" s="13" t="s">
        <v>52</v>
      </c>
      <c r="S112" s="28">
        <v>0</v>
      </c>
    </row>
    <row r="113" spans="1:19">
      <c r="A113" s="29" t="s">
        <v>277</v>
      </c>
      <c r="B113" s="26" t="s">
        <v>276</v>
      </c>
      <c r="C113" s="26" t="s">
        <v>172</v>
      </c>
      <c r="D113" s="13" t="s">
        <v>52</v>
      </c>
      <c r="E113" s="27">
        <v>4200</v>
      </c>
      <c r="F113" s="28">
        <v>2520</v>
      </c>
      <c r="G113" s="13" t="s">
        <v>52</v>
      </c>
      <c r="H113" s="30" t="s">
        <v>52</v>
      </c>
      <c r="J113" s="30" t="s">
        <v>52</v>
      </c>
      <c r="K113" s="13" t="s">
        <v>52</v>
      </c>
      <c r="L113" s="30" t="s">
        <v>52</v>
      </c>
      <c r="M113" s="30" t="s">
        <v>52</v>
      </c>
      <c r="N113" s="13" t="s">
        <v>52</v>
      </c>
      <c r="P113" s="27">
        <v>4200</v>
      </c>
      <c r="Q113" s="28">
        <v>2520</v>
      </c>
      <c r="R113" s="13" t="s">
        <v>52</v>
      </c>
      <c r="S113" s="28">
        <v>2520</v>
      </c>
    </row>
    <row r="114" spans="1:19">
      <c r="A114" s="29" t="s">
        <v>278</v>
      </c>
      <c r="B114" s="26" t="s">
        <v>276</v>
      </c>
      <c r="C114" s="26" t="s">
        <v>172</v>
      </c>
      <c r="D114" s="13" t="s">
        <v>52</v>
      </c>
      <c r="E114" s="27">
        <v>1200</v>
      </c>
      <c r="F114" s="28">
        <v>720</v>
      </c>
      <c r="G114" s="13" t="s">
        <v>52</v>
      </c>
      <c r="H114" s="30" t="s">
        <v>52</v>
      </c>
      <c r="J114" s="30" t="s">
        <v>52</v>
      </c>
      <c r="K114" s="13" t="s">
        <v>52</v>
      </c>
      <c r="L114" s="30" t="s">
        <v>52</v>
      </c>
      <c r="M114" s="30" t="s">
        <v>52</v>
      </c>
      <c r="N114" s="13" t="s">
        <v>52</v>
      </c>
      <c r="P114" s="27">
        <v>1200</v>
      </c>
      <c r="Q114" s="28">
        <v>720</v>
      </c>
      <c r="R114" s="13" t="s">
        <v>52</v>
      </c>
      <c r="S114" s="28">
        <v>720</v>
      </c>
    </row>
    <row r="115" spans="1:19">
      <c r="A115" s="29" t="s">
        <v>279</v>
      </c>
      <c r="B115" s="26" t="s">
        <v>280</v>
      </c>
      <c r="C115" s="26" t="s">
        <v>172</v>
      </c>
      <c r="D115" s="13" t="s">
        <v>52</v>
      </c>
      <c r="E115" s="27">
        <v>650</v>
      </c>
      <c r="F115" s="28">
        <v>624</v>
      </c>
      <c r="G115" s="13" t="s">
        <v>52</v>
      </c>
      <c r="H115" s="30" t="s">
        <v>52</v>
      </c>
      <c r="J115" s="30" t="s">
        <v>52</v>
      </c>
      <c r="K115" s="13" t="s">
        <v>52</v>
      </c>
      <c r="L115" s="30" t="s">
        <v>52</v>
      </c>
      <c r="M115" s="30" t="s">
        <v>52</v>
      </c>
      <c r="N115" s="13" t="s">
        <v>52</v>
      </c>
      <c r="P115" s="27">
        <v>650</v>
      </c>
      <c r="Q115" s="28">
        <v>624</v>
      </c>
      <c r="R115" s="13" t="s">
        <v>52</v>
      </c>
      <c r="S115" s="28">
        <v>624</v>
      </c>
    </row>
    <row r="116" spans="1:19">
      <c r="A116" s="29" t="s">
        <v>281</v>
      </c>
      <c r="B116" s="26" t="s">
        <v>280</v>
      </c>
      <c r="C116" s="26" t="s">
        <v>172</v>
      </c>
      <c r="D116" s="13" t="s">
        <v>52</v>
      </c>
      <c r="E116" s="27">
        <v>650</v>
      </c>
      <c r="F116" s="28">
        <v>624</v>
      </c>
      <c r="G116" s="13" t="s">
        <v>52</v>
      </c>
      <c r="H116" s="30" t="s">
        <v>52</v>
      </c>
      <c r="J116" s="30" t="s">
        <v>52</v>
      </c>
      <c r="K116" s="13" t="s">
        <v>52</v>
      </c>
      <c r="L116" s="30" t="s">
        <v>52</v>
      </c>
      <c r="M116" s="30" t="s">
        <v>52</v>
      </c>
      <c r="N116" s="13" t="s">
        <v>52</v>
      </c>
      <c r="P116" s="27">
        <v>650</v>
      </c>
      <c r="Q116" s="28">
        <v>624</v>
      </c>
      <c r="R116" s="13" t="s">
        <v>52</v>
      </c>
      <c r="S116" s="28">
        <v>624</v>
      </c>
    </row>
    <row r="117" spans="1:19">
      <c r="A117" s="29" t="s">
        <v>282</v>
      </c>
      <c r="B117" s="26" t="s">
        <v>280</v>
      </c>
      <c r="C117" s="26" t="s">
        <v>172</v>
      </c>
      <c r="D117" s="13" t="s">
        <v>52</v>
      </c>
      <c r="E117" s="27">
        <v>150</v>
      </c>
      <c r="F117" s="28">
        <v>144</v>
      </c>
      <c r="G117" s="13" t="s">
        <v>52</v>
      </c>
      <c r="H117" s="30" t="s">
        <v>52</v>
      </c>
      <c r="J117" s="30" t="s">
        <v>52</v>
      </c>
      <c r="K117" s="13" t="s">
        <v>52</v>
      </c>
      <c r="L117" s="30" t="s">
        <v>52</v>
      </c>
      <c r="M117" s="30" t="s">
        <v>52</v>
      </c>
      <c r="N117" s="13" t="s">
        <v>52</v>
      </c>
      <c r="P117" s="27">
        <v>150</v>
      </c>
      <c r="Q117" s="28">
        <v>144</v>
      </c>
      <c r="R117" s="13" t="s">
        <v>52</v>
      </c>
      <c r="S117" s="28">
        <v>144</v>
      </c>
    </row>
    <row r="118" spans="1:19">
      <c r="A118" s="29" t="s">
        <v>283</v>
      </c>
      <c r="B118" s="26" t="s">
        <v>280</v>
      </c>
      <c r="C118" s="26" t="s">
        <v>172</v>
      </c>
      <c r="D118" s="13" t="s">
        <v>52</v>
      </c>
      <c r="E118" s="27">
        <v>150</v>
      </c>
      <c r="F118" s="28">
        <v>144</v>
      </c>
      <c r="G118" s="13" t="s">
        <v>52</v>
      </c>
      <c r="H118" s="30" t="s">
        <v>52</v>
      </c>
      <c r="J118" s="30" t="s">
        <v>52</v>
      </c>
      <c r="K118" s="13" t="s">
        <v>52</v>
      </c>
      <c r="L118" s="30" t="s">
        <v>52</v>
      </c>
      <c r="M118" s="30" t="s">
        <v>52</v>
      </c>
      <c r="N118" s="13" t="s">
        <v>52</v>
      </c>
      <c r="P118" s="27">
        <v>150</v>
      </c>
      <c r="Q118" s="28">
        <v>144</v>
      </c>
      <c r="R118" s="13" t="s">
        <v>52</v>
      </c>
      <c r="S118" s="28">
        <v>144</v>
      </c>
    </row>
    <row r="119" spans="1:19">
      <c r="A119" s="29" t="s">
        <v>284</v>
      </c>
      <c r="B119" s="26" t="s">
        <v>285</v>
      </c>
      <c r="C119" s="26" t="s">
        <v>172</v>
      </c>
      <c r="D119" s="13" t="s">
        <v>52</v>
      </c>
      <c r="E119" s="27">
        <v>500</v>
      </c>
      <c r="F119" s="28">
        <v>1225</v>
      </c>
      <c r="G119" s="13" t="s">
        <v>52</v>
      </c>
      <c r="H119" s="30" t="s">
        <v>52</v>
      </c>
      <c r="J119" s="30" t="s">
        <v>52</v>
      </c>
      <c r="K119" s="13" t="s">
        <v>52</v>
      </c>
      <c r="L119" s="30" t="s">
        <v>52</v>
      </c>
      <c r="M119" s="30" t="s">
        <v>52</v>
      </c>
      <c r="N119" s="13" t="s">
        <v>52</v>
      </c>
      <c r="P119" s="27">
        <v>500</v>
      </c>
      <c r="Q119" s="28">
        <v>1225</v>
      </c>
      <c r="R119" s="13" t="s">
        <v>52</v>
      </c>
      <c r="S119" s="28">
        <v>1225</v>
      </c>
    </row>
    <row r="120" spans="1:19">
      <c r="A120" s="29" t="s">
        <v>286</v>
      </c>
      <c r="B120" s="26" t="s">
        <v>287</v>
      </c>
      <c r="C120" s="26" t="s">
        <v>172</v>
      </c>
      <c r="D120" s="13" t="s">
        <v>52</v>
      </c>
      <c r="E120" s="27">
        <v>550</v>
      </c>
      <c r="F120" s="28">
        <v>1468.5</v>
      </c>
      <c r="G120" s="13" t="s">
        <v>52</v>
      </c>
      <c r="H120" s="30" t="s">
        <v>52</v>
      </c>
      <c r="J120" s="30" t="s">
        <v>52</v>
      </c>
      <c r="K120" s="13" t="s">
        <v>52</v>
      </c>
      <c r="L120" s="27">
        <v>250</v>
      </c>
      <c r="M120" s="28">
        <v>667.5</v>
      </c>
      <c r="N120" s="13" t="s">
        <v>52</v>
      </c>
      <c r="P120" s="27">
        <v>300</v>
      </c>
      <c r="Q120" s="28">
        <v>801</v>
      </c>
      <c r="R120" s="13" t="s">
        <v>52</v>
      </c>
      <c r="S120" s="28">
        <v>801</v>
      </c>
    </row>
    <row r="121" spans="1:19">
      <c r="A121" s="29" t="s">
        <v>288</v>
      </c>
      <c r="B121" s="26" t="s">
        <v>287</v>
      </c>
      <c r="C121" s="26" t="s">
        <v>172</v>
      </c>
      <c r="D121" s="13" t="s">
        <v>52</v>
      </c>
      <c r="E121" s="27">
        <v>700</v>
      </c>
      <c r="F121" s="28">
        <v>1869</v>
      </c>
      <c r="G121" s="13" t="s">
        <v>52</v>
      </c>
      <c r="H121" s="30" t="s">
        <v>52</v>
      </c>
      <c r="J121" s="30" t="s">
        <v>52</v>
      </c>
      <c r="K121" s="13" t="s">
        <v>52</v>
      </c>
      <c r="L121" s="30" t="s">
        <v>52</v>
      </c>
      <c r="M121" s="30" t="s">
        <v>52</v>
      </c>
      <c r="N121" s="13" t="s">
        <v>52</v>
      </c>
      <c r="P121" s="27">
        <v>700</v>
      </c>
      <c r="Q121" s="28">
        <v>1869</v>
      </c>
      <c r="R121" s="13" t="s">
        <v>52</v>
      </c>
      <c r="S121" s="28">
        <v>1869</v>
      </c>
    </row>
    <row r="122" spans="1:19">
      <c r="A122" s="29" t="s">
        <v>289</v>
      </c>
      <c r="B122" s="26" t="s">
        <v>287</v>
      </c>
      <c r="C122" s="26" t="s">
        <v>172</v>
      </c>
      <c r="D122" s="13" t="s">
        <v>52</v>
      </c>
      <c r="E122" s="27">
        <v>700</v>
      </c>
      <c r="F122" s="28">
        <v>1869</v>
      </c>
      <c r="G122" s="13" t="s">
        <v>52</v>
      </c>
      <c r="H122" s="30" t="s">
        <v>52</v>
      </c>
      <c r="J122" s="30" t="s">
        <v>52</v>
      </c>
      <c r="K122" s="13" t="s">
        <v>52</v>
      </c>
      <c r="L122" s="30" t="s">
        <v>52</v>
      </c>
      <c r="M122" s="30" t="s">
        <v>52</v>
      </c>
      <c r="N122" s="13" t="s">
        <v>52</v>
      </c>
      <c r="P122" s="27">
        <v>700</v>
      </c>
      <c r="Q122" s="28">
        <v>1869</v>
      </c>
      <c r="R122" s="13" t="s">
        <v>52</v>
      </c>
      <c r="S122" s="28">
        <v>1869</v>
      </c>
    </row>
    <row r="123" spans="1:19">
      <c r="A123" s="29" t="s">
        <v>290</v>
      </c>
      <c r="B123" s="26" t="s">
        <v>287</v>
      </c>
      <c r="C123" s="26" t="s">
        <v>172</v>
      </c>
      <c r="D123" s="13" t="s">
        <v>52</v>
      </c>
      <c r="E123" s="27">
        <v>250</v>
      </c>
      <c r="F123" s="28">
        <v>667.5</v>
      </c>
      <c r="G123" s="13" t="s">
        <v>52</v>
      </c>
      <c r="H123" s="30" t="s">
        <v>52</v>
      </c>
      <c r="J123" s="30" t="s">
        <v>52</v>
      </c>
      <c r="K123" s="13" t="s">
        <v>52</v>
      </c>
      <c r="L123" s="30" t="s">
        <v>52</v>
      </c>
      <c r="M123" s="30" t="s">
        <v>52</v>
      </c>
      <c r="N123" s="13" t="s">
        <v>52</v>
      </c>
      <c r="P123" s="27">
        <v>250</v>
      </c>
      <c r="Q123" s="28">
        <v>667.5</v>
      </c>
      <c r="R123" s="13" t="s">
        <v>52</v>
      </c>
      <c r="S123" s="28">
        <v>667.5</v>
      </c>
    </row>
    <row r="124" spans="1:19">
      <c r="A124" s="29" t="s">
        <v>291</v>
      </c>
      <c r="B124" s="26" t="s">
        <v>287</v>
      </c>
      <c r="C124" s="26" t="s">
        <v>172</v>
      </c>
      <c r="D124" s="13" t="s">
        <v>52</v>
      </c>
      <c r="E124" s="27">
        <v>450</v>
      </c>
      <c r="F124" s="28">
        <v>1201.5</v>
      </c>
      <c r="G124" s="13" t="s">
        <v>52</v>
      </c>
      <c r="H124" s="30" t="s">
        <v>52</v>
      </c>
      <c r="J124" s="30" t="s">
        <v>52</v>
      </c>
      <c r="K124" s="13" t="s">
        <v>52</v>
      </c>
      <c r="L124" s="30" t="s">
        <v>52</v>
      </c>
      <c r="M124" s="30" t="s">
        <v>52</v>
      </c>
      <c r="N124" s="13" t="s">
        <v>52</v>
      </c>
      <c r="P124" s="27">
        <v>450</v>
      </c>
      <c r="Q124" s="28">
        <v>1201.5</v>
      </c>
      <c r="R124" s="13" t="s">
        <v>52</v>
      </c>
      <c r="S124" s="28">
        <v>1201.5</v>
      </c>
    </row>
    <row r="125" spans="1:19">
      <c r="A125" s="29" t="s">
        <v>292</v>
      </c>
      <c r="B125" s="26" t="s">
        <v>293</v>
      </c>
      <c r="C125" s="26" t="s">
        <v>172</v>
      </c>
      <c r="D125" s="13" t="s">
        <v>52</v>
      </c>
      <c r="E125" s="27">
        <v>2100.41</v>
      </c>
      <c r="F125" s="28">
        <v>462.09</v>
      </c>
      <c r="G125" s="13" t="s">
        <v>52</v>
      </c>
      <c r="H125" s="27">
        <v>32299.59</v>
      </c>
      <c r="J125" s="28">
        <v>7105.91</v>
      </c>
      <c r="K125" s="13" t="s">
        <v>52</v>
      </c>
      <c r="L125" s="30" t="s">
        <v>52</v>
      </c>
      <c r="M125" s="30" t="s">
        <v>52</v>
      </c>
      <c r="N125" s="13" t="s">
        <v>52</v>
      </c>
      <c r="P125" s="27">
        <v>34400</v>
      </c>
      <c r="Q125" s="28">
        <v>7568</v>
      </c>
      <c r="R125" s="13" t="s">
        <v>52</v>
      </c>
      <c r="S125" s="28">
        <v>7568</v>
      </c>
    </row>
    <row r="126" spans="1:19">
      <c r="A126" s="29" t="s">
        <v>294</v>
      </c>
      <c r="B126" s="26" t="s">
        <v>295</v>
      </c>
      <c r="C126" s="26" t="s">
        <v>172</v>
      </c>
      <c r="D126" s="13" t="s">
        <v>52</v>
      </c>
      <c r="E126" s="27">
        <v>0</v>
      </c>
      <c r="F126" s="28">
        <v>0</v>
      </c>
      <c r="G126" s="13" t="s">
        <v>52</v>
      </c>
      <c r="H126" s="27">
        <v>44100</v>
      </c>
      <c r="J126" s="28">
        <v>17636.47</v>
      </c>
      <c r="K126" s="13" t="s">
        <v>52</v>
      </c>
      <c r="L126" s="27">
        <v>44100</v>
      </c>
      <c r="M126" s="28">
        <v>17636.47</v>
      </c>
      <c r="N126" s="13" t="s">
        <v>52</v>
      </c>
      <c r="P126" s="27">
        <v>0</v>
      </c>
      <c r="Q126" s="28">
        <v>0</v>
      </c>
      <c r="R126" s="13" t="s">
        <v>52</v>
      </c>
      <c r="S126" s="28">
        <v>0</v>
      </c>
    </row>
    <row r="127" spans="1:19">
      <c r="A127" s="29" t="s">
        <v>296</v>
      </c>
      <c r="B127" s="26" t="s">
        <v>297</v>
      </c>
      <c r="C127" s="26" t="s">
        <v>91</v>
      </c>
      <c r="D127" s="13" t="s">
        <v>52</v>
      </c>
      <c r="E127" s="27">
        <v>5792</v>
      </c>
      <c r="F127" s="28">
        <v>2664.32</v>
      </c>
      <c r="G127" s="13" t="s">
        <v>52</v>
      </c>
      <c r="H127" s="30" t="s">
        <v>52</v>
      </c>
      <c r="J127" s="30" t="s">
        <v>52</v>
      </c>
      <c r="K127" s="13" t="s">
        <v>52</v>
      </c>
      <c r="L127" s="30" t="s">
        <v>52</v>
      </c>
      <c r="M127" s="30" t="s">
        <v>52</v>
      </c>
      <c r="N127" s="13" t="s">
        <v>52</v>
      </c>
      <c r="P127" s="27">
        <v>5792</v>
      </c>
      <c r="Q127" s="28">
        <v>2664.32</v>
      </c>
      <c r="R127" s="13" t="s">
        <v>52</v>
      </c>
      <c r="S127" s="28">
        <v>2664.32</v>
      </c>
    </row>
    <row r="128" spans="1:19">
      <c r="A128" s="29" t="s">
        <v>298</v>
      </c>
      <c r="B128" s="26" t="s">
        <v>299</v>
      </c>
      <c r="C128" s="26" t="s">
        <v>91</v>
      </c>
      <c r="D128" s="13" t="s">
        <v>52</v>
      </c>
      <c r="E128" s="27">
        <v>1819</v>
      </c>
      <c r="F128" s="28">
        <v>1564.34</v>
      </c>
      <c r="G128" s="13" t="s">
        <v>52</v>
      </c>
      <c r="H128" s="30" t="s">
        <v>52</v>
      </c>
      <c r="J128" s="30" t="s">
        <v>52</v>
      </c>
      <c r="K128" s="13" t="s">
        <v>52</v>
      </c>
      <c r="L128" s="30" t="s">
        <v>52</v>
      </c>
      <c r="M128" s="30" t="s">
        <v>52</v>
      </c>
      <c r="N128" s="13" t="s">
        <v>52</v>
      </c>
      <c r="P128" s="27">
        <v>1819</v>
      </c>
      <c r="Q128" s="28">
        <v>1564.34</v>
      </c>
      <c r="R128" s="13" t="s">
        <v>52</v>
      </c>
      <c r="S128" s="28">
        <v>1564.34</v>
      </c>
    </row>
    <row r="129" spans="1:19">
      <c r="A129" s="29" t="s">
        <v>300</v>
      </c>
      <c r="B129" s="26" t="s">
        <v>301</v>
      </c>
      <c r="C129" s="26" t="s">
        <v>91</v>
      </c>
      <c r="D129" s="13" t="s">
        <v>52</v>
      </c>
      <c r="E129" s="27">
        <v>535</v>
      </c>
      <c r="F129" s="28">
        <v>267.51</v>
      </c>
      <c r="G129" s="13" t="s">
        <v>52</v>
      </c>
      <c r="H129" s="30" t="s">
        <v>52</v>
      </c>
      <c r="J129" s="30" t="s">
        <v>52</v>
      </c>
      <c r="K129" s="13" t="s">
        <v>52</v>
      </c>
      <c r="L129" s="30" t="s">
        <v>52</v>
      </c>
      <c r="M129" s="30" t="s">
        <v>52</v>
      </c>
      <c r="N129" s="13" t="s">
        <v>52</v>
      </c>
      <c r="P129" s="27">
        <v>535</v>
      </c>
      <c r="Q129" s="28">
        <v>267.51</v>
      </c>
      <c r="R129" s="13" t="s">
        <v>52</v>
      </c>
      <c r="S129" s="28">
        <v>267.51</v>
      </c>
    </row>
    <row r="130" spans="1:19">
      <c r="A130" s="29" t="s">
        <v>302</v>
      </c>
      <c r="B130" s="26" t="s">
        <v>303</v>
      </c>
      <c r="C130" s="26" t="s">
        <v>91</v>
      </c>
      <c r="D130" s="13" t="s">
        <v>52</v>
      </c>
      <c r="E130" s="27">
        <v>81670</v>
      </c>
      <c r="F130" s="28">
        <v>54966.56</v>
      </c>
      <c r="G130" s="13" t="s">
        <v>52</v>
      </c>
      <c r="H130" s="27">
        <v>686136</v>
      </c>
      <c r="J130" s="28">
        <v>493066.18</v>
      </c>
      <c r="K130" s="13" t="s">
        <v>52</v>
      </c>
      <c r="L130" s="27">
        <v>761226</v>
      </c>
      <c r="M130" s="28">
        <v>543576.46</v>
      </c>
      <c r="N130" s="13" t="s">
        <v>52</v>
      </c>
      <c r="P130" s="27">
        <v>6580</v>
      </c>
      <c r="Q130" s="28">
        <v>4456.28</v>
      </c>
      <c r="R130" s="13" t="s">
        <v>52</v>
      </c>
      <c r="S130" s="28">
        <v>4456.28</v>
      </c>
    </row>
    <row r="131" spans="1:19">
      <c r="A131" s="29" t="s">
        <v>304</v>
      </c>
      <c r="B131" s="26" t="s">
        <v>305</v>
      </c>
      <c r="C131" s="26" t="s">
        <v>172</v>
      </c>
      <c r="D131" s="13" t="s">
        <v>52</v>
      </c>
      <c r="E131" s="27">
        <v>720</v>
      </c>
      <c r="F131" s="28">
        <v>763.2</v>
      </c>
      <c r="G131" s="13" t="s">
        <v>52</v>
      </c>
      <c r="H131" s="30" t="s">
        <v>52</v>
      </c>
      <c r="J131" s="30" t="s">
        <v>52</v>
      </c>
      <c r="K131" s="13" t="s">
        <v>52</v>
      </c>
      <c r="L131" s="30" t="s">
        <v>52</v>
      </c>
      <c r="M131" s="30" t="s">
        <v>52</v>
      </c>
      <c r="N131" s="13" t="s">
        <v>52</v>
      </c>
      <c r="P131" s="27">
        <v>720</v>
      </c>
      <c r="Q131" s="28">
        <v>763.2</v>
      </c>
      <c r="R131" s="13" t="s">
        <v>52</v>
      </c>
      <c r="S131" s="28">
        <v>763.2</v>
      </c>
    </row>
    <row r="132" spans="1:19">
      <c r="A132" s="29" t="s">
        <v>306</v>
      </c>
      <c r="B132" s="26" t="s">
        <v>305</v>
      </c>
      <c r="C132" s="26" t="s">
        <v>172</v>
      </c>
      <c r="D132" s="13" t="s">
        <v>52</v>
      </c>
      <c r="E132" s="27">
        <v>280</v>
      </c>
      <c r="F132" s="28">
        <v>296.8</v>
      </c>
      <c r="G132" s="13" t="s">
        <v>52</v>
      </c>
      <c r="H132" s="27">
        <v>500</v>
      </c>
      <c r="J132" s="28">
        <v>530</v>
      </c>
      <c r="K132" s="13" t="s">
        <v>52</v>
      </c>
      <c r="L132" s="30" t="s">
        <v>52</v>
      </c>
      <c r="M132" s="30" t="s">
        <v>52</v>
      </c>
      <c r="N132" s="13" t="s">
        <v>52</v>
      </c>
      <c r="P132" s="27">
        <v>780</v>
      </c>
      <c r="Q132" s="28">
        <v>826.8</v>
      </c>
      <c r="R132" s="13" t="s">
        <v>52</v>
      </c>
      <c r="S132" s="28">
        <v>826.8</v>
      </c>
    </row>
    <row r="133" spans="1:19">
      <c r="A133" s="29" t="s">
        <v>307</v>
      </c>
      <c r="B133" s="26" t="s">
        <v>308</v>
      </c>
      <c r="C133" s="26" t="s">
        <v>172</v>
      </c>
      <c r="D133" s="13" t="s">
        <v>52</v>
      </c>
      <c r="E133" s="27">
        <v>320</v>
      </c>
      <c r="F133" s="28">
        <v>339.2</v>
      </c>
      <c r="G133" s="13" t="s">
        <v>52</v>
      </c>
      <c r="H133" s="30" t="s">
        <v>52</v>
      </c>
      <c r="J133" s="30" t="s">
        <v>52</v>
      </c>
      <c r="K133" s="13" t="s">
        <v>52</v>
      </c>
      <c r="L133" s="30" t="s">
        <v>52</v>
      </c>
      <c r="M133" s="30" t="s">
        <v>52</v>
      </c>
      <c r="N133" s="13" t="s">
        <v>52</v>
      </c>
      <c r="P133" s="27">
        <v>320</v>
      </c>
      <c r="Q133" s="28">
        <v>339.2</v>
      </c>
      <c r="R133" s="13" t="s">
        <v>52</v>
      </c>
      <c r="S133" s="28">
        <v>339.2</v>
      </c>
    </row>
    <row r="134" spans="1:19">
      <c r="A134" s="29" t="s">
        <v>309</v>
      </c>
      <c r="B134" s="26" t="s">
        <v>310</v>
      </c>
      <c r="C134" s="26" t="s">
        <v>172</v>
      </c>
      <c r="D134" s="13" t="s">
        <v>52</v>
      </c>
      <c r="E134" s="27">
        <v>100</v>
      </c>
      <c r="F134" s="28">
        <v>183</v>
      </c>
      <c r="G134" s="13" t="s">
        <v>52</v>
      </c>
      <c r="H134" s="27">
        <v>120</v>
      </c>
      <c r="J134" s="28">
        <v>219.6</v>
      </c>
      <c r="K134" s="13" t="s">
        <v>52</v>
      </c>
      <c r="L134" s="30" t="s">
        <v>52</v>
      </c>
      <c r="M134" s="30" t="s">
        <v>52</v>
      </c>
      <c r="N134" s="13" t="s">
        <v>52</v>
      </c>
      <c r="P134" s="27">
        <v>220</v>
      </c>
      <c r="Q134" s="28">
        <v>402.6</v>
      </c>
      <c r="R134" s="13" t="s">
        <v>52</v>
      </c>
      <c r="S134" s="28">
        <v>402.6</v>
      </c>
    </row>
    <row r="135" spans="1:19">
      <c r="A135" s="29" t="s">
        <v>311</v>
      </c>
      <c r="B135" s="26" t="s">
        <v>305</v>
      </c>
      <c r="C135" s="26" t="s">
        <v>172</v>
      </c>
      <c r="D135" s="13" t="s">
        <v>52</v>
      </c>
      <c r="E135" s="27">
        <v>280</v>
      </c>
      <c r="F135" s="28">
        <v>296.8</v>
      </c>
      <c r="G135" s="13" t="s">
        <v>52</v>
      </c>
      <c r="H135" s="30" t="s">
        <v>52</v>
      </c>
      <c r="J135" s="30" t="s">
        <v>52</v>
      </c>
      <c r="K135" s="13" t="s">
        <v>52</v>
      </c>
      <c r="L135" s="30" t="s">
        <v>52</v>
      </c>
      <c r="M135" s="30" t="s">
        <v>52</v>
      </c>
      <c r="N135" s="13" t="s">
        <v>52</v>
      </c>
      <c r="P135" s="27">
        <v>280</v>
      </c>
      <c r="Q135" s="28">
        <v>296.8</v>
      </c>
      <c r="R135" s="13" t="s">
        <v>52</v>
      </c>
      <c r="S135" s="28">
        <v>296.8</v>
      </c>
    </row>
    <row r="136" spans="1:19">
      <c r="A136" s="29" t="s">
        <v>312</v>
      </c>
      <c r="B136" s="26" t="s">
        <v>305</v>
      </c>
      <c r="C136" s="26" t="s">
        <v>172</v>
      </c>
      <c r="D136" s="13" t="s">
        <v>52</v>
      </c>
      <c r="E136" s="27">
        <v>220</v>
      </c>
      <c r="F136" s="28">
        <v>233.2</v>
      </c>
      <c r="G136" s="13" t="s">
        <v>52</v>
      </c>
      <c r="H136" s="30" t="s">
        <v>52</v>
      </c>
      <c r="J136" s="30" t="s">
        <v>52</v>
      </c>
      <c r="K136" s="13" t="s">
        <v>52</v>
      </c>
      <c r="L136" s="30" t="s">
        <v>52</v>
      </c>
      <c r="M136" s="30" t="s">
        <v>52</v>
      </c>
      <c r="N136" s="13" t="s">
        <v>52</v>
      </c>
      <c r="P136" s="27">
        <v>220</v>
      </c>
      <c r="Q136" s="28">
        <v>233.2</v>
      </c>
      <c r="R136" s="13" t="s">
        <v>52</v>
      </c>
      <c r="S136" s="28">
        <v>233.2</v>
      </c>
    </row>
    <row r="137" spans="1:19">
      <c r="A137" s="29" t="s">
        <v>313</v>
      </c>
      <c r="B137" s="26" t="s">
        <v>305</v>
      </c>
      <c r="C137" s="26" t="s">
        <v>172</v>
      </c>
      <c r="D137" s="13" t="s">
        <v>52</v>
      </c>
      <c r="E137" s="27">
        <v>780</v>
      </c>
      <c r="F137" s="28">
        <v>826.8</v>
      </c>
      <c r="G137" s="13" t="s">
        <v>52</v>
      </c>
      <c r="H137" s="30" t="s">
        <v>52</v>
      </c>
      <c r="J137" s="30" t="s">
        <v>52</v>
      </c>
      <c r="K137" s="13" t="s">
        <v>52</v>
      </c>
      <c r="L137" s="30" t="s">
        <v>52</v>
      </c>
      <c r="M137" s="30" t="s">
        <v>52</v>
      </c>
      <c r="N137" s="13" t="s">
        <v>52</v>
      </c>
      <c r="P137" s="27">
        <v>780</v>
      </c>
      <c r="Q137" s="28">
        <v>826.8</v>
      </c>
      <c r="R137" s="13" t="s">
        <v>52</v>
      </c>
      <c r="S137" s="28">
        <v>826.8</v>
      </c>
    </row>
    <row r="138" spans="1:19">
      <c r="A138" s="29" t="s">
        <v>314</v>
      </c>
      <c r="B138" s="26" t="s">
        <v>315</v>
      </c>
      <c r="C138" s="26" t="s">
        <v>172</v>
      </c>
      <c r="D138" s="13" t="s">
        <v>52</v>
      </c>
      <c r="E138" s="27">
        <v>5000</v>
      </c>
      <c r="F138" s="28">
        <v>153</v>
      </c>
      <c r="G138" s="13" t="s">
        <v>52</v>
      </c>
      <c r="H138" s="30" t="s">
        <v>52</v>
      </c>
      <c r="J138" s="30" t="s">
        <v>52</v>
      </c>
      <c r="K138" s="13" t="s">
        <v>52</v>
      </c>
      <c r="L138" s="30" t="s">
        <v>52</v>
      </c>
      <c r="M138" s="30" t="s">
        <v>52</v>
      </c>
      <c r="N138" s="13" t="s">
        <v>52</v>
      </c>
      <c r="P138" s="27">
        <v>5000</v>
      </c>
      <c r="Q138" s="28">
        <v>153</v>
      </c>
      <c r="R138" s="13" t="s">
        <v>52</v>
      </c>
      <c r="S138" s="28">
        <v>153</v>
      </c>
    </row>
    <row r="139" spans="1:19">
      <c r="A139" s="29" t="s">
        <v>316</v>
      </c>
      <c r="B139" s="26" t="s">
        <v>317</v>
      </c>
      <c r="C139" s="26" t="s">
        <v>91</v>
      </c>
      <c r="D139" s="13" t="s">
        <v>52</v>
      </c>
      <c r="E139" s="27">
        <v>746</v>
      </c>
      <c r="F139" s="28">
        <v>343.16</v>
      </c>
      <c r="G139" s="13" t="s">
        <v>52</v>
      </c>
      <c r="H139" s="27">
        <v>287</v>
      </c>
      <c r="J139" s="28">
        <v>132.02</v>
      </c>
      <c r="K139" s="13" t="s">
        <v>52</v>
      </c>
      <c r="L139" s="30" t="s">
        <v>52</v>
      </c>
      <c r="M139" s="30" t="s">
        <v>52</v>
      </c>
      <c r="N139" s="13" t="s">
        <v>52</v>
      </c>
      <c r="P139" s="27">
        <v>1033</v>
      </c>
      <c r="Q139" s="28">
        <v>475.18</v>
      </c>
      <c r="R139" s="13" t="s">
        <v>52</v>
      </c>
      <c r="S139" s="28">
        <v>475.18</v>
      </c>
    </row>
    <row r="140" spans="1:19">
      <c r="A140" s="29" t="s">
        <v>318</v>
      </c>
      <c r="B140" s="26" t="s">
        <v>319</v>
      </c>
      <c r="C140" s="26" t="s">
        <v>91</v>
      </c>
      <c r="D140" s="13" t="s">
        <v>52</v>
      </c>
      <c r="E140" s="27">
        <v>1033</v>
      </c>
      <c r="F140" s="28">
        <v>805.74</v>
      </c>
      <c r="G140" s="13" t="s">
        <v>52</v>
      </c>
      <c r="H140" s="27">
        <v>422</v>
      </c>
      <c r="J140" s="28">
        <v>329.16</v>
      </c>
      <c r="K140" s="13" t="s">
        <v>52</v>
      </c>
      <c r="L140" s="27">
        <v>1455</v>
      </c>
      <c r="M140" s="28">
        <v>1134.9</v>
      </c>
      <c r="N140" s="13" t="s">
        <v>52</v>
      </c>
      <c r="P140" s="27">
        <v>0</v>
      </c>
      <c r="Q140" s="28">
        <v>0</v>
      </c>
      <c r="R140" s="13" t="s">
        <v>52</v>
      </c>
      <c r="S140" s="28">
        <v>0</v>
      </c>
    </row>
    <row r="141" spans="1:19">
      <c r="A141" s="29" t="s">
        <v>320</v>
      </c>
      <c r="B141" s="26" t="s">
        <v>321</v>
      </c>
      <c r="C141" s="26" t="s">
        <v>172</v>
      </c>
      <c r="D141" s="13" t="s">
        <v>52</v>
      </c>
      <c r="E141" s="27">
        <v>130</v>
      </c>
      <c r="F141" s="28">
        <v>213.2</v>
      </c>
      <c r="G141" s="13" t="s">
        <v>52</v>
      </c>
      <c r="H141" s="30" t="s">
        <v>52</v>
      </c>
      <c r="J141" s="30" t="s">
        <v>52</v>
      </c>
      <c r="K141" s="13" t="s">
        <v>52</v>
      </c>
      <c r="L141" s="30" t="s">
        <v>52</v>
      </c>
      <c r="M141" s="30" t="s">
        <v>52</v>
      </c>
      <c r="N141" s="13" t="s">
        <v>52</v>
      </c>
      <c r="P141" s="27">
        <v>130</v>
      </c>
      <c r="Q141" s="28">
        <v>213.2</v>
      </c>
      <c r="R141" s="13" t="s">
        <v>52</v>
      </c>
      <c r="S141" s="28">
        <v>213.2</v>
      </c>
    </row>
    <row r="142" spans="1:19">
      <c r="A142" s="29" t="s">
        <v>322</v>
      </c>
      <c r="B142" s="26" t="s">
        <v>321</v>
      </c>
      <c r="C142" s="26" t="s">
        <v>172</v>
      </c>
      <c r="D142" s="13" t="s">
        <v>52</v>
      </c>
      <c r="E142" s="27">
        <v>120</v>
      </c>
      <c r="F142" s="28">
        <v>196.8</v>
      </c>
      <c r="G142" s="13" t="s">
        <v>52</v>
      </c>
      <c r="H142" s="30" t="s">
        <v>52</v>
      </c>
      <c r="J142" s="30" t="s">
        <v>52</v>
      </c>
      <c r="K142" s="13" t="s">
        <v>52</v>
      </c>
      <c r="L142" s="30" t="s">
        <v>52</v>
      </c>
      <c r="M142" s="30" t="s">
        <v>52</v>
      </c>
      <c r="N142" s="13" t="s">
        <v>52</v>
      </c>
      <c r="P142" s="27">
        <v>120</v>
      </c>
      <c r="Q142" s="28">
        <v>196.8</v>
      </c>
      <c r="R142" s="13" t="s">
        <v>52</v>
      </c>
      <c r="S142" s="28">
        <v>196.8</v>
      </c>
    </row>
    <row r="143" spans="1:19">
      <c r="A143" s="29" t="s">
        <v>323</v>
      </c>
      <c r="B143" s="26" t="s">
        <v>321</v>
      </c>
      <c r="C143" s="26" t="s">
        <v>172</v>
      </c>
      <c r="D143" s="13" t="s">
        <v>52</v>
      </c>
      <c r="E143" s="27">
        <v>120</v>
      </c>
      <c r="F143" s="28">
        <v>196.8</v>
      </c>
      <c r="G143" s="13" t="s">
        <v>52</v>
      </c>
      <c r="H143" s="30" t="s">
        <v>52</v>
      </c>
      <c r="J143" s="30" t="s">
        <v>52</v>
      </c>
      <c r="K143" s="13" t="s">
        <v>52</v>
      </c>
      <c r="L143" s="30" t="s">
        <v>52</v>
      </c>
      <c r="M143" s="30" t="s">
        <v>52</v>
      </c>
      <c r="N143" s="13" t="s">
        <v>52</v>
      </c>
      <c r="P143" s="27">
        <v>120</v>
      </c>
      <c r="Q143" s="28">
        <v>196.8</v>
      </c>
      <c r="R143" s="13" t="s">
        <v>52</v>
      </c>
      <c r="S143" s="28">
        <v>196.8</v>
      </c>
    </row>
    <row r="144" spans="1:19">
      <c r="A144" s="29" t="s">
        <v>324</v>
      </c>
      <c r="B144" s="26" t="s">
        <v>325</v>
      </c>
      <c r="C144" s="26" t="s">
        <v>91</v>
      </c>
      <c r="D144" s="13" t="s">
        <v>52</v>
      </c>
      <c r="E144" s="27">
        <v>17350</v>
      </c>
      <c r="F144" s="28">
        <v>0</v>
      </c>
      <c r="G144" s="13" t="s">
        <v>52</v>
      </c>
      <c r="H144" s="27">
        <v>32100</v>
      </c>
      <c r="J144" s="30" t="s">
        <v>52</v>
      </c>
      <c r="K144" s="13" t="s">
        <v>52</v>
      </c>
      <c r="L144" s="27">
        <v>32100</v>
      </c>
      <c r="M144" s="30" t="s">
        <v>52</v>
      </c>
      <c r="N144" s="13" t="s">
        <v>52</v>
      </c>
      <c r="P144" s="27">
        <v>17350</v>
      </c>
      <c r="Q144" s="28">
        <v>0</v>
      </c>
      <c r="R144" s="13" t="s">
        <v>52</v>
      </c>
      <c r="S144" s="28">
        <v>0</v>
      </c>
    </row>
    <row r="145" spans="1:19">
      <c r="A145" s="29" t="s">
        <v>326</v>
      </c>
      <c r="B145" s="26" t="s">
        <v>327</v>
      </c>
      <c r="C145" s="26" t="s">
        <v>91</v>
      </c>
      <c r="D145" s="13" t="s">
        <v>52</v>
      </c>
      <c r="E145" s="27">
        <v>16584.72</v>
      </c>
      <c r="F145" s="28">
        <v>0</v>
      </c>
      <c r="G145" s="13" t="s">
        <v>52</v>
      </c>
      <c r="H145" s="27">
        <v>6300.28</v>
      </c>
      <c r="J145" s="30" t="s">
        <v>52</v>
      </c>
      <c r="K145" s="13" t="s">
        <v>52</v>
      </c>
      <c r="L145" s="27">
        <v>6300</v>
      </c>
      <c r="M145" s="30" t="s">
        <v>52</v>
      </c>
      <c r="N145" s="13" t="s">
        <v>52</v>
      </c>
      <c r="P145" s="27">
        <v>16585</v>
      </c>
      <c r="Q145" s="28">
        <v>0</v>
      </c>
      <c r="R145" s="13" t="s">
        <v>52</v>
      </c>
      <c r="S145" s="28">
        <v>0</v>
      </c>
    </row>
    <row r="146" spans="1:19">
      <c r="A146" s="29" t="s">
        <v>328</v>
      </c>
      <c r="B146" s="26" t="s">
        <v>329</v>
      </c>
      <c r="C146" s="26" t="s">
        <v>172</v>
      </c>
      <c r="D146" s="13" t="s">
        <v>52</v>
      </c>
      <c r="E146" s="27">
        <v>0</v>
      </c>
      <c r="F146" s="28">
        <v>0</v>
      </c>
      <c r="G146" s="13" t="s">
        <v>52</v>
      </c>
      <c r="H146" s="27">
        <v>21600</v>
      </c>
      <c r="J146" s="28">
        <v>18132.33</v>
      </c>
      <c r="K146" s="13" t="s">
        <v>52</v>
      </c>
      <c r="L146" s="27">
        <v>21600</v>
      </c>
      <c r="M146" s="28">
        <v>18132.33</v>
      </c>
      <c r="N146" s="13" t="s">
        <v>52</v>
      </c>
      <c r="P146" s="27">
        <v>0</v>
      </c>
      <c r="Q146" s="28">
        <v>0</v>
      </c>
      <c r="R146" s="13" t="s">
        <v>52</v>
      </c>
      <c r="S146" s="28">
        <v>0</v>
      </c>
    </row>
    <row r="147" spans="1:19">
      <c r="A147" s="29" t="s">
        <v>330</v>
      </c>
      <c r="B147" s="26" t="s">
        <v>331</v>
      </c>
      <c r="C147" s="26" t="s">
        <v>172</v>
      </c>
      <c r="D147" s="13" t="s">
        <v>52</v>
      </c>
      <c r="E147" s="27">
        <v>0</v>
      </c>
      <c r="F147" s="28">
        <v>0</v>
      </c>
      <c r="G147" s="13" t="s">
        <v>52</v>
      </c>
      <c r="H147" s="27">
        <v>105400</v>
      </c>
      <c r="J147" s="28">
        <v>32890.06</v>
      </c>
      <c r="K147" s="13" t="s">
        <v>52</v>
      </c>
      <c r="L147" s="27">
        <v>105400</v>
      </c>
      <c r="M147" s="28">
        <v>32890.06</v>
      </c>
      <c r="N147" s="13" t="s">
        <v>52</v>
      </c>
      <c r="P147" s="27">
        <v>0</v>
      </c>
      <c r="Q147" s="28">
        <v>0</v>
      </c>
      <c r="R147" s="13" t="s">
        <v>52</v>
      </c>
      <c r="S147" s="28">
        <v>0</v>
      </c>
    </row>
    <row r="148" spans="1:19">
      <c r="A148" s="29" t="s">
        <v>332</v>
      </c>
      <c r="B148" s="26" t="s">
        <v>333</v>
      </c>
      <c r="C148" s="26" t="s">
        <v>172</v>
      </c>
      <c r="D148" s="13" t="s">
        <v>52</v>
      </c>
      <c r="E148" s="27">
        <v>0</v>
      </c>
      <c r="F148" s="28">
        <v>0</v>
      </c>
      <c r="G148" s="13" t="s">
        <v>52</v>
      </c>
      <c r="H148" s="27">
        <v>5200</v>
      </c>
      <c r="J148" s="28">
        <v>35568</v>
      </c>
      <c r="K148" s="13" t="s">
        <v>52</v>
      </c>
      <c r="L148" s="27">
        <v>5200</v>
      </c>
      <c r="M148" s="28">
        <v>35568</v>
      </c>
      <c r="N148" s="13" t="s">
        <v>52</v>
      </c>
      <c r="P148" s="27">
        <v>0</v>
      </c>
      <c r="Q148" s="28">
        <v>0</v>
      </c>
      <c r="R148" s="13" t="s">
        <v>52</v>
      </c>
      <c r="S148" s="28">
        <v>0</v>
      </c>
    </row>
    <row r="149" spans="1:19">
      <c r="A149" s="29" t="s">
        <v>334</v>
      </c>
      <c r="B149" s="26" t="s">
        <v>335</v>
      </c>
      <c r="C149" s="26" t="s">
        <v>172</v>
      </c>
      <c r="D149" s="13" t="s">
        <v>52</v>
      </c>
      <c r="E149" s="27">
        <v>0</v>
      </c>
      <c r="F149" s="28">
        <v>0</v>
      </c>
      <c r="G149" s="13" t="s">
        <v>52</v>
      </c>
      <c r="H149" s="27">
        <v>10200</v>
      </c>
      <c r="J149" s="28">
        <v>3434.13</v>
      </c>
      <c r="K149" s="13" t="s">
        <v>52</v>
      </c>
      <c r="L149" s="27">
        <v>10200</v>
      </c>
      <c r="M149" s="28">
        <v>3434.13</v>
      </c>
      <c r="N149" s="13" t="s">
        <v>52</v>
      </c>
      <c r="P149" s="27">
        <v>0</v>
      </c>
      <c r="Q149" s="28">
        <v>0</v>
      </c>
      <c r="R149" s="13" t="s">
        <v>52</v>
      </c>
      <c r="S149" s="28">
        <v>0</v>
      </c>
    </row>
    <row r="150" spans="1:19">
      <c r="A150" s="29" t="s">
        <v>336</v>
      </c>
      <c r="B150" s="26" t="s">
        <v>337</v>
      </c>
      <c r="C150" s="26" t="s">
        <v>172</v>
      </c>
      <c r="D150" s="13" t="s">
        <v>52</v>
      </c>
      <c r="E150" s="27">
        <v>620</v>
      </c>
      <c r="F150" s="28">
        <v>2982.83</v>
      </c>
      <c r="G150" s="13" t="s">
        <v>52</v>
      </c>
      <c r="H150" s="27">
        <v>214000</v>
      </c>
      <c r="J150" s="28">
        <v>1013589.16</v>
      </c>
      <c r="K150" s="13" t="s">
        <v>52</v>
      </c>
      <c r="L150" s="27">
        <v>186000</v>
      </c>
      <c r="M150" s="28">
        <v>881547.6</v>
      </c>
      <c r="N150" s="13" t="s">
        <v>52</v>
      </c>
      <c r="P150" s="27">
        <v>28620</v>
      </c>
      <c r="Q150" s="28">
        <v>135024.39</v>
      </c>
      <c r="R150" s="13" t="s">
        <v>52</v>
      </c>
      <c r="S150" s="28">
        <v>135024.39</v>
      </c>
    </row>
    <row r="151" spans="1:19">
      <c r="A151" s="29" t="s">
        <v>338</v>
      </c>
      <c r="B151" s="26" t="s">
        <v>339</v>
      </c>
      <c r="C151" s="26" t="s">
        <v>91</v>
      </c>
      <c r="D151" s="13" t="s">
        <v>52</v>
      </c>
      <c r="E151" s="27">
        <v>0</v>
      </c>
      <c r="F151" s="28">
        <v>0</v>
      </c>
      <c r="G151" s="13" t="s">
        <v>52</v>
      </c>
      <c r="H151" s="27">
        <v>57000</v>
      </c>
      <c r="J151" s="28">
        <v>44687.43</v>
      </c>
      <c r="K151" s="13" t="s">
        <v>52</v>
      </c>
      <c r="L151" s="27">
        <v>55000</v>
      </c>
      <c r="M151" s="28">
        <v>43119.46</v>
      </c>
      <c r="N151" s="13" t="s">
        <v>52</v>
      </c>
      <c r="P151" s="27">
        <v>2000</v>
      </c>
      <c r="Q151" s="28">
        <v>1567.97</v>
      </c>
      <c r="R151" s="13" t="s">
        <v>52</v>
      </c>
      <c r="S151" s="28">
        <v>1567.97</v>
      </c>
    </row>
    <row r="152" spans="1:19">
      <c r="A152" s="29" t="s">
        <v>340</v>
      </c>
      <c r="B152" s="26" t="s">
        <v>341</v>
      </c>
      <c r="C152" s="26" t="s">
        <v>91</v>
      </c>
      <c r="D152" s="13" t="s">
        <v>52</v>
      </c>
      <c r="E152" s="27">
        <v>0</v>
      </c>
      <c r="F152" s="28">
        <v>0</v>
      </c>
      <c r="G152" s="13" t="s">
        <v>52</v>
      </c>
      <c r="H152" s="27">
        <v>30800</v>
      </c>
      <c r="J152" s="28">
        <v>24414.55</v>
      </c>
      <c r="K152" s="13" t="s">
        <v>52</v>
      </c>
      <c r="L152" s="27">
        <v>28600</v>
      </c>
      <c r="M152" s="28">
        <v>22670.66</v>
      </c>
      <c r="N152" s="13" t="s">
        <v>52</v>
      </c>
      <c r="P152" s="27">
        <v>2200</v>
      </c>
      <c r="Q152" s="28">
        <v>1743.89</v>
      </c>
      <c r="R152" s="13" t="s">
        <v>52</v>
      </c>
      <c r="S152" s="28">
        <v>1743.89</v>
      </c>
    </row>
    <row r="153" spans="1:19">
      <c r="A153" s="29" t="s">
        <v>342</v>
      </c>
      <c r="B153" s="26" t="s">
        <v>343</v>
      </c>
      <c r="C153" s="26" t="s">
        <v>91</v>
      </c>
      <c r="D153" s="13" t="s">
        <v>52</v>
      </c>
      <c r="E153" s="27">
        <v>0</v>
      </c>
      <c r="F153" s="28">
        <v>0</v>
      </c>
      <c r="G153" s="13" t="s">
        <v>52</v>
      </c>
      <c r="H153" s="27">
        <v>60600</v>
      </c>
      <c r="J153" s="28">
        <v>47758.86</v>
      </c>
      <c r="K153" s="13" t="s">
        <v>52</v>
      </c>
      <c r="L153" s="27">
        <v>59400</v>
      </c>
      <c r="M153" s="28">
        <v>46813.14</v>
      </c>
      <c r="N153" s="13" t="s">
        <v>52</v>
      </c>
      <c r="P153" s="27">
        <v>1200</v>
      </c>
      <c r="Q153" s="28">
        <v>945.72</v>
      </c>
      <c r="R153" s="13" t="s">
        <v>52</v>
      </c>
      <c r="S153" s="28">
        <v>945.72</v>
      </c>
    </row>
    <row r="154" spans="1:19">
      <c r="A154" s="29" t="s">
        <v>344</v>
      </c>
      <c r="B154" s="26" t="s">
        <v>345</v>
      </c>
      <c r="C154" s="26" t="s">
        <v>91</v>
      </c>
      <c r="D154" s="13" t="s">
        <v>52</v>
      </c>
      <c r="E154" s="27">
        <v>1583</v>
      </c>
      <c r="F154" s="28">
        <v>1415.68</v>
      </c>
      <c r="G154" s="13" t="s">
        <v>52</v>
      </c>
      <c r="H154" s="30" t="s">
        <v>52</v>
      </c>
      <c r="J154" s="30" t="s">
        <v>52</v>
      </c>
      <c r="K154" s="13" t="s">
        <v>52</v>
      </c>
      <c r="L154" s="30" t="s">
        <v>52</v>
      </c>
      <c r="M154" s="30" t="s">
        <v>52</v>
      </c>
      <c r="N154" s="13" t="s">
        <v>52</v>
      </c>
      <c r="P154" s="27">
        <v>1583</v>
      </c>
      <c r="Q154" s="28">
        <v>1415.68</v>
      </c>
      <c r="R154" s="13" t="s">
        <v>52</v>
      </c>
      <c r="S154" s="28">
        <v>1415.68</v>
      </c>
    </row>
    <row r="155" spans="1:19">
      <c r="A155" s="29" t="s">
        <v>346</v>
      </c>
      <c r="B155" s="26" t="s">
        <v>347</v>
      </c>
      <c r="C155" s="26" t="s">
        <v>91</v>
      </c>
      <c r="D155" s="13" t="s">
        <v>52</v>
      </c>
      <c r="E155" s="27">
        <v>523</v>
      </c>
      <c r="F155" s="28">
        <v>266.83</v>
      </c>
      <c r="G155" s="13" t="s">
        <v>52</v>
      </c>
      <c r="H155" s="27">
        <v>57401</v>
      </c>
      <c r="J155" s="28">
        <v>45030.5</v>
      </c>
      <c r="K155" s="13" t="s">
        <v>52</v>
      </c>
      <c r="L155" s="27">
        <v>57200</v>
      </c>
      <c r="M155" s="28">
        <v>44729.37</v>
      </c>
      <c r="N155" s="13" t="s">
        <v>52</v>
      </c>
      <c r="P155" s="27">
        <v>724</v>
      </c>
      <c r="Q155" s="28">
        <v>567.96</v>
      </c>
      <c r="R155" s="13" t="s">
        <v>52</v>
      </c>
      <c r="S155" s="28">
        <v>567.96</v>
      </c>
    </row>
    <row r="156" spans="1:19">
      <c r="A156" s="29" t="s">
        <v>348</v>
      </c>
      <c r="B156" s="26" t="s">
        <v>349</v>
      </c>
      <c r="C156" s="26" t="s">
        <v>91</v>
      </c>
      <c r="D156" s="13" t="s">
        <v>52</v>
      </c>
      <c r="E156" s="27">
        <v>1222</v>
      </c>
      <c r="F156" s="28">
        <v>1419.21</v>
      </c>
      <c r="G156" s="13" t="s">
        <v>52</v>
      </c>
      <c r="H156" s="30" t="s">
        <v>52</v>
      </c>
      <c r="J156" s="30" t="s">
        <v>52</v>
      </c>
      <c r="K156" s="13" t="s">
        <v>52</v>
      </c>
      <c r="L156" s="30" t="s">
        <v>52</v>
      </c>
      <c r="M156" s="30" t="s">
        <v>52</v>
      </c>
      <c r="N156" s="13" t="s">
        <v>52</v>
      </c>
      <c r="P156" s="27">
        <v>1222</v>
      </c>
      <c r="Q156" s="28">
        <v>1419.21</v>
      </c>
      <c r="R156" s="13" t="s">
        <v>52</v>
      </c>
      <c r="S156" s="28">
        <v>1419.21</v>
      </c>
    </row>
    <row r="157" spans="1:19">
      <c r="A157" s="29" t="s">
        <v>350</v>
      </c>
      <c r="B157" s="26" t="s">
        <v>351</v>
      </c>
      <c r="C157" s="26" t="s">
        <v>91</v>
      </c>
      <c r="D157" s="13" t="s">
        <v>52</v>
      </c>
      <c r="E157" s="27">
        <v>1523</v>
      </c>
      <c r="F157" s="28">
        <v>782.84</v>
      </c>
      <c r="G157" s="13" t="s">
        <v>52</v>
      </c>
      <c r="H157" s="27">
        <v>62101</v>
      </c>
      <c r="J157" s="28">
        <v>48896.46</v>
      </c>
      <c r="K157" s="13" t="s">
        <v>52</v>
      </c>
      <c r="L157" s="27">
        <v>60000</v>
      </c>
      <c r="M157" s="28">
        <v>46825.87</v>
      </c>
      <c r="N157" s="13" t="s">
        <v>52</v>
      </c>
      <c r="P157" s="27">
        <v>3624</v>
      </c>
      <c r="Q157" s="28">
        <v>2853.43</v>
      </c>
      <c r="R157" s="13" t="s">
        <v>52</v>
      </c>
      <c r="S157" s="28">
        <v>2853.43</v>
      </c>
    </row>
    <row r="158" spans="1:19">
      <c r="A158" s="29" t="s">
        <v>352</v>
      </c>
      <c r="B158" s="26" t="s">
        <v>353</v>
      </c>
      <c r="C158" s="26" t="s">
        <v>91</v>
      </c>
      <c r="D158" s="13" t="s">
        <v>52</v>
      </c>
      <c r="E158" s="27">
        <v>2000</v>
      </c>
      <c r="F158" s="28">
        <v>1771.48</v>
      </c>
      <c r="G158" s="13" t="s">
        <v>52</v>
      </c>
      <c r="H158" s="30" t="s">
        <v>52</v>
      </c>
      <c r="J158" s="30" t="s">
        <v>52</v>
      </c>
      <c r="K158" s="13" t="s">
        <v>52</v>
      </c>
      <c r="L158" s="30" t="s">
        <v>52</v>
      </c>
      <c r="M158" s="30" t="s">
        <v>52</v>
      </c>
      <c r="N158" s="13" t="s">
        <v>52</v>
      </c>
      <c r="P158" s="27">
        <v>2000</v>
      </c>
      <c r="Q158" s="28">
        <v>1771.48</v>
      </c>
      <c r="R158" s="13" t="s">
        <v>52</v>
      </c>
      <c r="S158" s="28">
        <v>1771.48</v>
      </c>
    </row>
    <row r="159" spans="1:19">
      <c r="A159" s="29" t="s">
        <v>354</v>
      </c>
      <c r="B159" s="26" t="s">
        <v>355</v>
      </c>
      <c r="C159" s="26" t="s">
        <v>91</v>
      </c>
      <c r="D159" s="13" t="s">
        <v>52</v>
      </c>
      <c r="E159" s="27">
        <v>1000</v>
      </c>
      <c r="F159" s="28">
        <v>512.36</v>
      </c>
      <c r="G159" s="13" t="s">
        <v>52</v>
      </c>
      <c r="H159" s="27">
        <v>33000</v>
      </c>
      <c r="J159" s="28">
        <v>24024.99</v>
      </c>
      <c r="K159" s="13" t="s">
        <v>52</v>
      </c>
      <c r="L159" s="27">
        <v>28600</v>
      </c>
      <c r="M159" s="28">
        <v>20605.98</v>
      </c>
      <c r="N159" s="13" t="s">
        <v>52</v>
      </c>
      <c r="P159" s="27">
        <v>5400</v>
      </c>
      <c r="Q159" s="28">
        <v>3931.37</v>
      </c>
      <c r="R159" s="13" t="s">
        <v>52</v>
      </c>
      <c r="S159" s="28">
        <v>3931.37</v>
      </c>
    </row>
    <row r="160" spans="1:19">
      <c r="A160" s="29" t="s">
        <v>356</v>
      </c>
      <c r="B160" s="26" t="s">
        <v>357</v>
      </c>
      <c r="C160" s="26" t="s">
        <v>91</v>
      </c>
      <c r="D160" s="13" t="s">
        <v>52</v>
      </c>
      <c r="E160" s="27">
        <v>1305</v>
      </c>
      <c r="F160" s="28">
        <v>1183.95</v>
      </c>
      <c r="G160" s="13" t="s">
        <v>52</v>
      </c>
      <c r="H160" s="30" t="s">
        <v>52</v>
      </c>
      <c r="J160" s="30" t="s">
        <v>52</v>
      </c>
      <c r="K160" s="13" t="s">
        <v>52</v>
      </c>
      <c r="L160" s="30" t="s">
        <v>52</v>
      </c>
      <c r="M160" s="30" t="s">
        <v>52</v>
      </c>
      <c r="N160" s="13" t="s">
        <v>52</v>
      </c>
      <c r="P160" s="27">
        <v>1305</v>
      </c>
      <c r="Q160" s="28">
        <v>1183.95</v>
      </c>
      <c r="R160" s="13" t="s">
        <v>52</v>
      </c>
      <c r="S160" s="28">
        <v>1183.95</v>
      </c>
    </row>
    <row r="161" spans="1:19">
      <c r="A161" s="29" t="s">
        <v>358</v>
      </c>
      <c r="B161" s="26" t="s">
        <v>359</v>
      </c>
      <c r="C161" s="26" t="s">
        <v>172</v>
      </c>
      <c r="D161" s="13" t="s">
        <v>52</v>
      </c>
      <c r="E161" s="27">
        <v>28250</v>
      </c>
      <c r="F161" s="28">
        <v>10007.56</v>
      </c>
      <c r="G161" s="13" t="s">
        <v>52</v>
      </c>
      <c r="H161" s="27">
        <v>2919680</v>
      </c>
      <c r="J161" s="28">
        <v>792765.97</v>
      </c>
      <c r="K161" s="13" t="s">
        <v>52</v>
      </c>
      <c r="L161" s="27">
        <v>2947930</v>
      </c>
      <c r="M161" s="28">
        <v>802773.53</v>
      </c>
      <c r="N161" s="13" t="s">
        <v>52</v>
      </c>
      <c r="P161" s="27">
        <v>0</v>
      </c>
      <c r="Q161" s="28">
        <v>0</v>
      </c>
      <c r="R161" s="13" t="s">
        <v>52</v>
      </c>
      <c r="S161" s="28">
        <v>0</v>
      </c>
    </row>
    <row r="162" spans="1:19">
      <c r="A162" s="29" t="s">
        <v>360</v>
      </c>
      <c r="B162" s="26" t="s">
        <v>361</v>
      </c>
      <c r="C162" s="26" t="s">
        <v>172</v>
      </c>
      <c r="D162" s="13" t="s">
        <v>52</v>
      </c>
      <c r="E162" s="27">
        <v>2800</v>
      </c>
      <c r="F162" s="28">
        <v>499.97</v>
      </c>
      <c r="G162" s="13" t="s">
        <v>52</v>
      </c>
      <c r="H162" s="27">
        <v>430500</v>
      </c>
      <c r="J162" s="28">
        <v>76870.08</v>
      </c>
      <c r="K162" s="13" t="s">
        <v>52</v>
      </c>
      <c r="L162" s="27">
        <v>430500</v>
      </c>
      <c r="M162" s="28">
        <v>76870.08</v>
      </c>
      <c r="N162" s="13" t="s">
        <v>52</v>
      </c>
      <c r="P162" s="27">
        <v>2800</v>
      </c>
      <c r="Q162" s="28">
        <v>499.97</v>
      </c>
      <c r="R162" s="13" t="s">
        <v>52</v>
      </c>
      <c r="S162" s="28">
        <v>499.97</v>
      </c>
    </row>
    <row r="163" spans="1:19">
      <c r="A163" s="29" t="s">
        <v>362</v>
      </c>
      <c r="B163" s="26" t="s">
        <v>363</v>
      </c>
      <c r="C163" s="26" t="s">
        <v>172</v>
      </c>
      <c r="D163" s="13" t="s">
        <v>52</v>
      </c>
      <c r="E163" s="27">
        <v>4729</v>
      </c>
      <c r="F163" s="28">
        <v>1247.48</v>
      </c>
      <c r="G163" s="13" t="s">
        <v>52</v>
      </c>
      <c r="H163" s="27">
        <v>71</v>
      </c>
      <c r="J163" s="28">
        <v>12.2</v>
      </c>
      <c r="K163" s="13" t="s">
        <v>52</v>
      </c>
      <c r="L163" s="27">
        <v>2400</v>
      </c>
      <c r="M163" s="28">
        <v>632.61</v>
      </c>
      <c r="N163" s="13" t="s">
        <v>52</v>
      </c>
      <c r="P163" s="27">
        <v>2400</v>
      </c>
      <c r="Q163" s="28">
        <v>627.07</v>
      </c>
      <c r="R163" s="13" t="s">
        <v>52</v>
      </c>
      <c r="S163" s="28">
        <v>627.07</v>
      </c>
    </row>
    <row r="164" ht="23" spans="1:19">
      <c r="A164" s="29" t="s">
        <v>364</v>
      </c>
      <c r="B164" s="26" t="s">
        <v>365</v>
      </c>
      <c r="C164" s="26" t="s">
        <v>91</v>
      </c>
      <c r="D164" s="13" t="s">
        <v>52</v>
      </c>
      <c r="E164" s="27">
        <v>14350</v>
      </c>
      <c r="F164" s="28">
        <v>15867.08</v>
      </c>
      <c r="G164" s="13" t="s">
        <v>52</v>
      </c>
      <c r="H164" s="27">
        <v>4100320</v>
      </c>
      <c r="J164" s="28">
        <v>4790250.44</v>
      </c>
      <c r="K164" s="13" t="s">
        <v>52</v>
      </c>
      <c r="L164" s="27">
        <v>4088710</v>
      </c>
      <c r="M164" s="28">
        <v>4775246.08</v>
      </c>
      <c r="N164" s="13" t="s">
        <v>52</v>
      </c>
      <c r="P164" s="27">
        <v>25960</v>
      </c>
      <c r="Q164" s="28">
        <v>30871.44</v>
      </c>
      <c r="R164" s="13" t="s">
        <v>52</v>
      </c>
      <c r="S164" s="28">
        <v>30871.44</v>
      </c>
    </row>
    <row r="165" ht="23" spans="1:19">
      <c r="A165" s="29" t="s">
        <v>366</v>
      </c>
      <c r="B165" s="26" t="s">
        <v>367</v>
      </c>
      <c r="C165" s="26" t="s">
        <v>91</v>
      </c>
      <c r="D165" s="13" t="s">
        <v>52</v>
      </c>
      <c r="E165" s="27">
        <v>11300</v>
      </c>
      <c r="F165" s="28">
        <v>12399.94</v>
      </c>
      <c r="G165" s="13" t="s">
        <v>52</v>
      </c>
      <c r="H165" s="27">
        <v>6617400</v>
      </c>
      <c r="J165" s="28">
        <v>7771737.56</v>
      </c>
      <c r="K165" s="13" t="s">
        <v>52</v>
      </c>
      <c r="L165" s="27">
        <v>6603300</v>
      </c>
      <c r="M165" s="28">
        <v>7750317.91</v>
      </c>
      <c r="N165" s="13" t="s">
        <v>52</v>
      </c>
      <c r="P165" s="27">
        <v>25400</v>
      </c>
      <c r="Q165" s="28">
        <v>33819.59</v>
      </c>
      <c r="R165" s="13" t="s">
        <v>52</v>
      </c>
      <c r="S165" s="28">
        <v>33819.59</v>
      </c>
    </row>
    <row r="166" spans="1:19">
      <c r="A166" s="29" t="s">
        <v>368</v>
      </c>
      <c r="B166" s="26" t="s">
        <v>369</v>
      </c>
      <c r="C166" s="26" t="s">
        <v>91</v>
      </c>
      <c r="D166" s="13" t="s">
        <v>52</v>
      </c>
      <c r="E166" s="27">
        <v>23675</v>
      </c>
      <c r="F166" s="28">
        <v>7971.15</v>
      </c>
      <c r="G166" s="13" t="s">
        <v>52</v>
      </c>
      <c r="H166" s="27">
        <v>695327</v>
      </c>
      <c r="J166" s="28">
        <v>469256.37</v>
      </c>
      <c r="K166" s="13" t="s">
        <v>52</v>
      </c>
      <c r="L166" s="27">
        <v>688127</v>
      </c>
      <c r="M166" s="28">
        <v>457197.54</v>
      </c>
      <c r="N166" s="13" t="s">
        <v>52</v>
      </c>
      <c r="P166" s="27">
        <v>30875</v>
      </c>
      <c r="Q166" s="28">
        <v>20029.98</v>
      </c>
      <c r="R166" s="13" t="s">
        <v>52</v>
      </c>
      <c r="S166" s="28">
        <v>20029.98</v>
      </c>
    </row>
    <row r="167" spans="1:19">
      <c r="A167" s="29" t="s">
        <v>370</v>
      </c>
      <c r="B167" s="26" t="s">
        <v>371</v>
      </c>
      <c r="C167" s="26" t="s">
        <v>172</v>
      </c>
      <c r="D167" s="13" t="s">
        <v>52</v>
      </c>
      <c r="E167" s="27">
        <v>0</v>
      </c>
      <c r="F167" s="28">
        <v>0</v>
      </c>
      <c r="G167" s="13" t="s">
        <v>52</v>
      </c>
      <c r="H167" s="27">
        <v>5700</v>
      </c>
      <c r="J167" s="28">
        <v>8530.33</v>
      </c>
      <c r="K167" s="13" t="s">
        <v>52</v>
      </c>
      <c r="L167" s="27">
        <v>5700</v>
      </c>
      <c r="M167" s="28">
        <v>8530.33</v>
      </c>
      <c r="N167" s="13" t="s">
        <v>52</v>
      </c>
      <c r="P167" s="27">
        <v>0</v>
      </c>
      <c r="Q167" s="28">
        <v>0</v>
      </c>
      <c r="R167" s="13" t="s">
        <v>52</v>
      </c>
      <c r="S167" s="28">
        <v>0</v>
      </c>
    </row>
    <row r="168" spans="1:19">
      <c r="A168" s="29" t="s">
        <v>372</v>
      </c>
      <c r="B168" s="26" t="s">
        <v>373</v>
      </c>
      <c r="C168" s="26" t="s">
        <v>172</v>
      </c>
      <c r="D168" s="13" t="s">
        <v>52</v>
      </c>
      <c r="E168" s="27">
        <v>1800</v>
      </c>
      <c r="F168" s="28">
        <v>2113.33</v>
      </c>
      <c r="G168" s="13" t="s">
        <v>52</v>
      </c>
      <c r="H168" s="27">
        <v>11500</v>
      </c>
      <c r="J168" s="28">
        <v>13727.78</v>
      </c>
      <c r="K168" s="13" t="s">
        <v>52</v>
      </c>
      <c r="L168" s="27">
        <v>11500</v>
      </c>
      <c r="M168" s="28">
        <v>13692.41</v>
      </c>
      <c r="N168" s="13" t="s">
        <v>52</v>
      </c>
      <c r="P168" s="27">
        <v>1800</v>
      </c>
      <c r="Q168" s="28">
        <v>2148.7</v>
      </c>
      <c r="R168" s="13" t="s">
        <v>52</v>
      </c>
      <c r="S168" s="28">
        <v>2148.7</v>
      </c>
    </row>
    <row r="169" spans="1:19">
      <c r="A169" s="29" t="s">
        <v>374</v>
      </c>
      <c r="B169" s="26" t="s">
        <v>375</v>
      </c>
      <c r="C169" s="26" t="s">
        <v>172</v>
      </c>
      <c r="D169" s="13" t="s">
        <v>52</v>
      </c>
      <c r="E169" s="27">
        <v>845</v>
      </c>
      <c r="F169" s="28">
        <v>1985.75</v>
      </c>
      <c r="G169" s="13" t="s">
        <v>52</v>
      </c>
      <c r="H169" s="30" t="s">
        <v>52</v>
      </c>
      <c r="J169" s="30" t="s">
        <v>52</v>
      </c>
      <c r="K169" s="13" t="s">
        <v>52</v>
      </c>
      <c r="L169" s="30" t="s">
        <v>52</v>
      </c>
      <c r="M169" s="30" t="s">
        <v>52</v>
      </c>
      <c r="N169" s="13" t="s">
        <v>52</v>
      </c>
      <c r="P169" s="27">
        <v>845</v>
      </c>
      <c r="Q169" s="28">
        <v>1985.75</v>
      </c>
      <c r="R169" s="13" t="s">
        <v>52</v>
      </c>
      <c r="S169" s="28">
        <v>1985.75</v>
      </c>
    </row>
    <row r="170" spans="1:19">
      <c r="A170" s="29" t="s">
        <v>376</v>
      </c>
      <c r="B170" s="26" t="s">
        <v>377</v>
      </c>
      <c r="C170" s="26" t="s">
        <v>91</v>
      </c>
      <c r="D170" s="13" t="s">
        <v>52</v>
      </c>
      <c r="E170" s="27">
        <v>2399</v>
      </c>
      <c r="F170" s="28">
        <v>1596.73</v>
      </c>
      <c r="G170" s="13" t="s">
        <v>52</v>
      </c>
      <c r="H170" s="30" t="s">
        <v>52</v>
      </c>
      <c r="J170" s="30" t="s">
        <v>52</v>
      </c>
      <c r="K170" s="13" t="s">
        <v>52</v>
      </c>
      <c r="L170" s="30" t="s">
        <v>52</v>
      </c>
      <c r="M170" s="30" t="s">
        <v>52</v>
      </c>
      <c r="N170" s="13" t="s">
        <v>52</v>
      </c>
      <c r="P170" s="27">
        <v>2399</v>
      </c>
      <c r="Q170" s="28">
        <v>1596.73</v>
      </c>
      <c r="R170" s="13" t="s">
        <v>52</v>
      </c>
      <c r="S170" s="28">
        <v>1596.73</v>
      </c>
    </row>
    <row r="171" spans="1:19">
      <c r="A171" s="29" t="s">
        <v>378</v>
      </c>
      <c r="B171" s="26" t="s">
        <v>379</v>
      </c>
      <c r="C171" s="26" t="s">
        <v>91</v>
      </c>
      <c r="D171" s="13" t="s">
        <v>52</v>
      </c>
      <c r="E171" s="27">
        <v>3495</v>
      </c>
      <c r="F171" s="28">
        <v>2187.17</v>
      </c>
      <c r="G171" s="13" t="s">
        <v>52</v>
      </c>
      <c r="H171" s="27">
        <v>13430</v>
      </c>
      <c r="J171" s="28">
        <v>8404.49</v>
      </c>
      <c r="K171" s="13" t="s">
        <v>52</v>
      </c>
      <c r="L171" s="30" t="s">
        <v>52</v>
      </c>
      <c r="M171" s="30" t="s">
        <v>52</v>
      </c>
      <c r="N171" s="13" t="s">
        <v>52</v>
      </c>
      <c r="P171" s="27">
        <v>16925</v>
      </c>
      <c r="Q171" s="28">
        <v>10591.66</v>
      </c>
      <c r="R171" s="13" t="s">
        <v>52</v>
      </c>
      <c r="S171" s="28">
        <v>10591.66</v>
      </c>
    </row>
    <row r="172" spans="1:19">
      <c r="A172" s="29" t="s">
        <v>380</v>
      </c>
      <c r="B172" s="26" t="s">
        <v>381</v>
      </c>
      <c r="C172" s="26" t="s">
        <v>172</v>
      </c>
      <c r="D172" s="13" t="s">
        <v>52</v>
      </c>
      <c r="E172" s="27">
        <v>0</v>
      </c>
      <c r="F172" s="28">
        <v>0</v>
      </c>
      <c r="G172" s="13" t="s">
        <v>52</v>
      </c>
      <c r="H172" s="27">
        <v>5700</v>
      </c>
      <c r="J172" s="28">
        <v>14436.62</v>
      </c>
      <c r="K172" s="13" t="s">
        <v>52</v>
      </c>
      <c r="L172" s="27">
        <v>5700</v>
      </c>
      <c r="M172" s="28">
        <v>14436.62</v>
      </c>
      <c r="N172" s="13" t="s">
        <v>52</v>
      </c>
      <c r="P172" s="27">
        <v>0</v>
      </c>
      <c r="Q172" s="28">
        <v>0</v>
      </c>
      <c r="R172" s="13" t="s">
        <v>52</v>
      </c>
      <c r="S172" s="28">
        <v>0</v>
      </c>
    </row>
    <row r="173" spans="1:19">
      <c r="A173" s="29" t="s">
        <v>382</v>
      </c>
      <c r="B173" s="26" t="s">
        <v>383</v>
      </c>
      <c r="C173" s="26" t="s">
        <v>172</v>
      </c>
      <c r="D173" s="13" t="s">
        <v>52</v>
      </c>
      <c r="E173" s="27">
        <v>0</v>
      </c>
      <c r="F173" s="28">
        <v>0</v>
      </c>
      <c r="G173" s="13" t="s">
        <v>52</v>
      </c>
      <c r="H173" s="27">
        <v>908000</v>
      </c>
      <c r="J173" s="28">
        <v>153878.76</v>
      </c>
      <c r="K173" s="13" t="s">
        <v>52</v>
      </c>
      <c r="L173" s="27">
        <v>908000</v>
      </c>
      <c r="M173" s="28">
        <v>153878.76</v>
      </c>
      <c r="N173" s="13" t="s">
        <v>52</v>
      </c>
      <c r="P173" s="27">
        <v>0</v>
      </c>
      <c r="Q173" s="28">
        <v>0</v>
      </c>
      <c r="R173" s="13" t="s">
        <v>52</v>
      </c>
      <c r="S173" s="28">
        <v>0</v>
      </c>
    </row>
    <row r="174" spans="1:19">
      <c r="A174" s="29" t="s">
        <v>384</v>
      </c>
      <c r="B174" s="26" t="s">
        <v>385</v>
      </c>
      <c r="C174" s="26" t="s">
        <v>91</v>
      </c>
      <c r="D174" s="13" t="s">
        <v>52</v>
      </c>
      <c r="E174" s="27">
        <v>14449</v>
      </c>
      <c r="F174" s="28">
        <v>9004.04</v>
      </c>
      <c r="G174" s="13" t="s">
        <v>52</v>
      </c>
      <c r="H174" s="30" t="s">
        <v>52</v>
      </c>
      <c r="J174" s="30" t="s">
        <v>52</v>
      </c>
      <c r="K174" s="13" t="s">
        <v>52</v>
      </c>
      <c r="L174" s="27">
        <v>13330</v>
      </c>
      <c r="M174" s="28">
        <v>8306.72</v>
      </c>
      <c r="N174" s="13" t="s">
        <v>52</v>
      </c>
      <c r="P174" s="27">
        <v>1119</v>
      </c>
      <c r="Q174" s="28">
        <v>697.32</v>
      </c>
      <c r="R174" s="13" t="s">
        <v>52</v>
      </c>
      <c r="S174" s="28">
        <v>697.32</v>
      </c>
    </row>
    <row r="175" spans="1:19">
      <c r="A175" s="29" t="s">
        <v>386</v>
      </c>
      <c r="B175" s="26" t="s">
        <v>387</v>
      </c>
      <c r="C175" s="26" t="s">
        <v>91</v>
      </c>
      <c r="D175" s="13" t="s">
        <v>52</v>
      </c>
      <c r="E175" s="27">
        <v>4082</v>
      </c>
      <c r="F175" s="28">
        <v>2990.22</v>
      </c>
      <c r="G175" s="13" t="s">
        <v>52</v>
      </c>
      <c r="H175" s="27">
        <v>298900</v>
      </c>
      <c r="J175" s="28">
        <v>198301.58</v>
      </c>
      <c r="K175" s="13" t="s">
        <v>52</v>
      </c>
      <c r="L175" s="27">
        <v>267130</v>
      </c>
      <c r="M175" s="28">
        <v>176099.79</v>
      </c>
      <c r="N175" s="13" t="s">
        <v>52</v>
      </c>
      <c r="P175" s="27">
        <v>35852</v>
      </c>
      <c r="Q175" s="28">
        <v>25192.01</v>
      </c>
      <c r="R175" s="13" t="s">
        <v>52</v>
      </c>
      <c r="S175" s="28">
        <v>25192.01</v>
      </c>
    </row>
    <row r="176" spans="1:19">
      <c r="A176" s="29" t="s">
        <v>388</v>
      </c>
      <c r="B176" s="26" t="s">
        <v>389</v>
      </c>
      <c r="C176" s="26" t="s">
        <v>91</v>
      </c>
      <c r="D176" s="13" t="s">
        <v>52</v>
      </c>
      <c r="E176" s="27">
        <v>5891</v>
      </c>
      <c r="F176" s="28">
        <v>3816.66</v>
      </c>
      <c r="G176" s="13" t="s">
        <v>52</v>
      </c>
      <c r="H176" s="27">
        <v>120250</v>
      </c>
      <c r="J176" s="28">
        <v>81181.09</v>
      </c>
      <c r="K176" s="13" t="s">
        <v>52</v>
      </c>
      <c r="L176" s="27">
        <v>125241</v>
      </c>
      <c r="M176" s="28">
        <v>84366.14</v>
      </c>
      <c r="N176" s="13" t="s">
        <v>52</v>
      </c>
      <c r="P176" s="27">
        <v>900</v>
      </c>
      <c r="Q176" s="28">
        <v>631.61</v>
      </c>
      <c r="R176" s="13" t="s">
        <v>52</v>
      </c>
      <c r="S176" s="28">
        <v>631.61</v>
      </c>
    </row>
    <row r="177" spans="1:19">
      <c r="A177" s="29" t="s">
        <v>390</v>
      </c>
      <c r="B177" s="26" t="s">
        <v>391</v>
      </c>
      <c r="C177" s="26" t="s">
        <v>172</v>
      </c>
      <c r="D177" s="13" t="s">
        <v>52</v>
      </c>
      <c r="E177" s="27">
        <v>104150</v>
      </c>
      <c r="F177" s="28">
        <v>482247.32</v>
      </c>
      <c r="G177" s="13" t="s">
        <v>52</v>
      </c>
      <c r="H177" s="27">
        <v>204600</v>
      </c>
      <c r="J177" s="28">
        <v>956226.75</v>
      </c>
      <c r="K177" s="13" t="s">
        <v>52</v>
      </c>
      <c r="L177" s="27">
        <v>206150</v>
      </c>
      <c r="M177" s="28">
        <v>958958.6</v>
      </c>
      <c r="N177" s="13" t="s">
        <v>52</v>
      </c>
      <c r="P177" s="27">
        <v>102600</v>
      </c>
      <c r="Q177" s="28">
        <v>479515.47</v>
      </c>
      <c r="R177" s="13" t="s">
        <v>52</v>
      </c>
      <c r="S177" s="28">
        <v>479515.47</v>
      </c>
    </row>
    <row r="178" spans="1:19">
      <c r="A178" s="29" t="s">
        <v>392</v>
      </c>
      <c r="B178" s="26" t="s">
        <v>393</v>
      </c>
      <c r="C178" s="26" t="s">
        <v>172</v>
      </c>
      <c r="D178" s="13" t="s">
        <v>52</v>
      </c>
      <c r="E178" s="27">
        <v>150000</v>
      </c>
      <c r="F178" s="28">
        <v>8634</v>
      </c>
      <c r="G178" s="13" t="s">
        <v>52</v>
      </c>
      <c r="H178" s="30" t="s">
        <v>52</v>
      </c>
      <c r="J178" s="30" t="s">
        <v>52</v>
      </c>
      <c r="K178" s="13" t="s">
        <v>52</v>
      </c>
      <c r="L178" s="27">
        <v>150000</v>
      </c>
      <c r="M178" s="28">
        <v>8634</v>
      </c>
      <c r="N178" s="13" t="s">
        <v>52</v>
      </c>
      <c r="P178" s="27">
        <v>0</v>
      </c>
      <c r="Q178" s="28">
        <v>0</v>
      </c>
      <c r="R178" s="13" t="s">
        <v>52</v>
      </c>
      <c r="S178" s="28">
        <v>0</v>
      </c>
    </row>
    <row r="179" spans="1:19">
      <c r="A179" s="29" t="s">
        <v>394</v>
      </c>
      <c r="B179" s="26" t="s">
        <v>395</v>
      </c>
      <c r="C179" s="26" t="s">
        <v>91</v>
      </c>
      <c r="D179" s="13" t="s">
        <v>52</v>
      </c>
      <c r="E179" s="27">
        <v>1964</v>
      </c>
      <c r="F179" s="28">
        <v>1430.87</v>
      </c>
      <c r="G179" s="13" t="s">
        <v>52</v>
      </c>
      <c r="H179" s="27">
        <v>209</v>
      </c>
      <c r="J179" s="28">
        <v>152.27</v>
      </c>
      <c r="K179" s="13" t="s">
        <v>52</v>
      </c>
      <c r="L179" s="27">
        <v>273</v>
      </c>
      <c r="M179" s="28">
        <v>198.9</v>
      </c>
      <c r="N179" s="13" t="s">
        <v>52</v>
      </c>
      <c r="P179" s="27">
        <v>1900</v>
      </c>
      <c r="Q179" s="28">
        <v>1384.24</v>
      </c>
      <c r="R179" s="13" t="s">
        <v>52</v>
      </c>
      <c r="S179" s="28">
        <v>1384.24</v>
      </c>
    </row>
    <row r="180" spans="1:19">
      <c r="A180" s="29" t="s">
        <v>396</v>
      </c>
      <c r="B180" s="26" t="s">
        <v>397</v>
      </c>
      <c r="C180" s="26" t="s">
        <v>91</v>
      </c>
      <c r="D180" s="13" t="s">
        <v>52</v>
      </c>
      <c r="E180" s="27">
        <v>356</v>
      </c>
      <c r="F180" s="28">
        <v>403.07</v>
      </c>
      <c r="G180" s="13" t="s">
        <v>52</v>
      </c>
      <c r="H180" s="27">
        <v>1034</v>
      </c>
      <c r="J180" s="28">
        <v>1158.67</v>
      </c>
      <c r="K180" s="13" t="s">
        <v>52</v>
      </c>
      <c r="L180" s="30" t="s">
        <v>52</v>
      </c>
      <c r="M180" s="30" t="s">
        <v>52</v>
      </c>
      <c r="N180" s="13" t="s">
        <v>52</v>
      </c>
      <c r="P180" s="27">
        <v>1390</v>
      </c>
      <c r="Q180" s="28">
        <v>1561.74</v>
      </c>
      <c r="R180" s="13" t="s">
        <v>52</v>
      </c>
      <c r="S180" s="28">
        <v>1561.74</v>
      </c>
    </row>
    <row r="181" spans="1:19">
      <c r="A181" s="29" t="s">
        <v>398</v>
      </c>
      <c r="B181" s="26" t="s">
        <v>399</v>
      </c>
      <c r="C181" s="26" t="s">
        <v>91</v>
      </c>
      <c r="D181" s="13" t="s">
        <v>52</v>
      </c>
      <c r="E181" s="27">
        <v>25545</v>
      </c>
      <c r="F181" s="28">
        <v>28123.72</v>
      </c>
      <c r="G181" s="13" t="s">
        <v>52</v>
      </c>
      <c r="H181" s="27">
        <v>21905</v>
      </c>
      <c r="J181" s="28">
        <v>27952.28</v>
      </c>
      <c r="K181" s="13" t="s">
        <v>52</v>
      </c>
      <c r="L181" s="27">
        <v>39150</v>
      </c>
      <c r="M181" s="28">
        <v>45279.86</v>
      </c>
      <c r="N181" s="13" t="s">
        <v>52</v>
      </c>
      <c r="P181" s="27">
        <v>8300</v>
      </c>
      <c r="Q181" s="28">
        <v>10796.14</v>
      </c>
      <c r="R181" s="13" t="s">
        <v>52</v>
      </c>
      <c r="S181" s="28">
        <v>10796.14</v>
      </c>
    </row>
    <row r="182" spans="1:19">
      <c r="A182" s="29" t="s">
        <v>400</v>
      </c>
      <c r="B182" s="26" t="s">
        <v>401</v>
      </c>
      <c r="C182" s="26" t="s">
        <v>91</v>
      </c>
      <c r="D182" s="13" t="s">
        <v>52</v>
      </c>
      <c r="E182" s="27">
        <v>6690</v>
      </c>
      <c r="F182" s="28">
        <v>8008.59</v>
      </c>
      <c r="G182" s="13" t="s">
        <v>52</v>
      </c>
      <c r="H182" s="27">
        <v>21472</v>
      </c>
      <c r="J182" s="28">
        <v>27426.79</v>
      </c>
      <c r="K182" s="13" t="s">
        <v>52</v>
      </c>
      <c r="L182" s="27">
        <v>13862</v>
      </c>
      <c r="M182" s="28">
        <v>16800.75</v>
      </c>
      <c r="N182" s="13" t="s">
        <v>52</v>
      </c>
      <c r="P182" s="27">
        <v>14300</v>
      </c>
      <c r="Q182" s="28">
        <v>18634.63</v>
      </c>
      <c r="R182" s="13" t="s">
        <v>52</v>
      </c>
      <c r="S182" s="28">
        <v>18634.63</v>
      </c>
    </row>
    <row r="183" spans="1:19">
      <c r="A183" s="29" t="s">
        <v>402</v>
      </c>
      <c r="B183" s="26" t="s">
        <v>403</v>
      </c>
      <c r="C183" s="26" t="s">
        <v>172</v>
      </c>
      <c r="D183" s="13" t="s">
        <v>52</v>
      </c>
      <c r="E183" s="27">
        <v>1400</v>
      </c>
      <c r="F183" s="28">
        <v>2139.72</v>
      </c>
      <c r="G183" s="13" t="s">
        <v>52</v>
      </c>
      <c r="H183" s="27">
        <v>200</v>
      </c>
      <c r="J183" s="28">
        <v>305.67</v>
      </c>
      <c r="K183" s="13" t="s">
        <v>52</v>
      </c>
      <c r="L183" s="30" t="s">
        <v>52</v>
      </c>
      <c r="M183" s="30" t="s">
        <v>52</v>
      </c>
      <c r="N183" s="13" t="s">
        <v>52</v>
      </c>
      <c r="P183" s="27">
        <v>1600</v>
      </c>
      <c r="Q183" s="28">
        <v>2445.39</v>
      </c>
      <c r="R183" s="13" t="s">
        <v>52</v>
      </c>
      <c r="S183" s="28">
        <v>2445.39</v>
      </c>
    </row>
    <row r="184" spans="1:19">
      <c r="A184" s="29" t="s">
        <v>404</v>
      </c>
      <c r="B184" s="26" t="s">
        <v>405</v>
      </c>
      <c r="C184" s="26" t="s">
        <v>91</v>
      </c>
      <c r="D184" s="13" t="s">
        <v>52</v>
      </c>
      <c r="E184" s="27">
        <v>2092</v>
      </c>
      <c r="F184" s="28">
        <v>1302.4</v>
      </c>
      <c r="G184" s="13" t="s">
        <v>52</v>
      </c>
      <c r="H184" s="30" t="s">
        <v>52</v>
      </c>
      <c r="J184" s="30" t="s">
        <v>52</v>
      </c>
      <c r="K184" s="13" t="s">
        <v>52</v>
      </c>
      <c r="L184" s="30" t="s">
        <v>52</v>
      </c>
      <c r="M184" s="30" t="s">
        <v>52</v>
      </c>
      <c r="N184" s="13" t="s">
        <v>52</v>
      </c>
      <c r="P184" s="27">
        <v>2092</v>
      </c>
      <c r="Q184" s="28">
        <v>1302.4</v>
      </c>
      <c r="R184" s="13" t="s">
        <v>52</v>
      </c>
      <c r="S184" s="28">
        <v>1302.4</v>
      </c>
    </row>
    <row r="185" spans="1:19">
      <c r="A185" s="29" t="s">
        <v>406</v>
      </c>
      <c r="B185" s="26" t="s">
        <v>407</v>
      </c>
      <c r="C185" s="26" t="s">
        <v>172</v>
      </c>
      <c r="D185" s="13" t="s">
        <v>52</v>
      </c>
      <c r="E185" s="27">
        <v>0</v>
      </c>
      <c r="F185" s="28">
        <v>0</v>
      </c>
      <c r="G185" s="13" t="s">
        <v>52</v>
      </c>
      <c r="H185" s="27">
        <v>13800</v>
      </c>
      <c r="J185" s="28">
        <v>11337.52</v>
      </c>
      <c r="K185" s="13" t="s">
        <v>52</v>
      </c>
      <c r="L185" s="27">
        <v>13800</v>
      </c>
      <c r="M185" s="28">
        <v>11337.52</v>
      </c>
      <c r="N185" s="13" t="s">
        <v>52</v>
      </c>
      <c r="P185" s="27">
        <v>0</v>
      </c>
      <c r="Q185" s="28">
        <v>0</v>
      </c>
      <c r="R185" s="13" t="s">
        <v>52</v>
      </c>
      <c r="S185" s="28">
        <v>0</v>
      </c>
    </row>
    <row r="186" spans="1:19">
      <c r="A186" s="29" t="s">
        <v>408</v>
      </c>
      <c r="B186" s="26" t="s">
        <v>409</v>
      </c>
      <c r="C186" s="26" t="s">
        <v>172</v>
      </c>
      <c r="D186" s="13" t="s">
        <v>52</v>
      </c>
      <c r="E186" s="27">
        <v>0</v>
      </c>
      <c r="F186" s="28">
        <v>0</v>
      </c>
      <c r="G186" s="13" t="s">
        <v>52</v>
      </c>
      <c r="H186" s="27">
        <v>5700</v>
      </c>
      <c r="J186" s="28">
        <v>3674.84</v>
      </c>
      <c r="K186" s="13" t="s">
        <v>52</v>
      </c>
      <c r="L186" s="27">
        <v>5700</v>
      </c>
      <c r="M186" s="28">
        <v>3674.84</v>
      </c>
      <c r="N186" s="13" t="s">
        <v>52</v>
      </c>
      <c r="P186" s="27">
        <v>0</v>
      </c>
      <c r="Q186" s="28">
        <v>0</v>
      </c>
      <c r="R186" s="13" t="s">
        <v>52</v>
      </c>
      <c r="S186" s="28">
        <v>0</v>
      </c>
    </row>
    <row r="187" spans="1:19">
      <c r="A187" s="29" t="s">
        <v>410</v>
      </c>
      <c r="B187" s="26" t="s">
        <v>411</v>
      </c>
      <c r="C187" s="26" t="s">
        <v>172</v>
      </c>
      <c r="D187" s="13" t="s">
        <v>52</v>
      </c>
      <c r="E187" s="27">
        <v>0</v>
      </c>
      <c r="F187" s="28">
        <v>0</v>
      </c>
      <c r="G187" s="13" t="s">
        <v>52</v>
      </c>
      <c r="H187" s="27">
        <v>6900</v>
      </c>
      <c r="J187" s="28">
        <v>5163.82</v>
      </c>
      <c r="K187" s="13" t="s">
        <v>52</v>
      </c>
      <c r="L187" s="27">
        <v>6900</v>
      </c>
      <c r="M187" s="28">
        <v>5163.82</v>
      </c>
      <c r="N187" s="13" t="s">
        <v>52</v>
      </c>
      <c r="P187" s="27">
        <v>0</v>
      </c>
      <c r="Q187" s="28">
        <v>0</v>
      </c>
      <c r="R187" s="13" t="s">
        <v>52</v>
      </c>
      <c r="S187" s="28">
        <v>0</v>
      </c>
    </row>
    <row r="188" spans="1:19">
      <c r="A188" s="29" t="s">
        <v>412</v>
      </c>
      <c r="B188" s="26" t="s">
        <v>413</v>
      </c>
      <c r="C188" s="26" t="s">
        <v>172</v>
      </c>
      <c r="D188" s="13" t="s">
        <v>52</v>
      </c>
      <c r="E188" s="27">
        <v>0</v>
      </c>
      <c r="F188" s="28">
        <v>0</v>
      </c>
      <c r="G188" s="13" t="s">
        <v>52</v>
      </c>
      <c r="H188" s="27">
        <v>6600</v>
      </c>
      <c r="J188" s="28">
        <v>5397.02</v>
      </c>
      <c r="K188" s="13" t="s">
        <v>52</v>
      </c>
      <c r="L188" s="27">
        <v>6600</v>
      </c>
      <c r="M188" s="28">
        <v>5397.02</v>
      </c>
      <c r="N188" s="13" t="s">
        <v>52</v>
      </c>
      <c r="P188" s="27">
        <v>0</v>
      </c>
      <c r="Q188" s="28">
        <v>0</v>
      </c>
      <c r="R188" s="13" t="s">
        <v>52</v>
      </c>
      <c r="S188" s="28">
        <v>0</v>
      </c>
    </row>
    <row r="189" spans="1:19">
      <c r="A189" s="29" t="s">
        <v>414</v>
      </c>
      <c r="B189" s="26" t="s">
        <v>415</v>
      </c>
      <c r="C189" s="26" t="s">
        <v>172</v>
      </c>
      <c r="D189" s="13" t="s">
        <v>52</v>
      </c>
      <c r="E189" s="27">
        <v>0</v>
      </c>
      <c r="F189" s="28">
        <v>0</v>
      </c>
      <c r="G189" s="13" t="s">
        <v>52</v>
      </c>
      <c r="H189" s="27">
        <v>5550</v>
      </c>
      <c r="J189" s="28">
        <v>4132.26</v>
      </c>
      <c r="K189" s="13" t="s">
        <v>52</v>
      </c>
      <c r="L189" s="27">
        <v>5550</v>
      </c>
      <c r="M189" s="28">
        <v>4132.26</v>
      </c>
      <c r="N189" s="13" t="s">
        <v>52</v>
      </c>
      <c r="P189" s="27">
        <v>0</v>
      </c>
      <c r="Q189" s="28">
        <v>0</v>
      </c>
      <c r="R189" s="13" t="s">
        <v>52</v>
      </c>
      <c r="S189" s="28">
        <v>0</v>
      </c>
    </row>
    <row r="190" spans="1:19">
      <c r="A190" s="29" t="s">
        <v>416</v>
      </c>
      <c r="B190" s="26" t="s">
        <v>417</v>
      </c>
      <c r="C190" s="26" t="s">
        <v>172</v>
      </c>
      <c r="D190" s="13" t="s">
        <v>52</v>
      </c>
      <c r="E190" s="27">
        <v>0</v>
      </c>
      <c r="F190" s="28">
        <v>0</v>
      </c>
      <c r="G190" s="13" t="s">
        <v>52</v>
      </c>
      <c r="H190" s="27">
        <v>5550</v>
      </c>
      <c r="J190" s="28">
        <v>4563.71</v>
      </c>
      <c r="K190" s="13" t="s">
        <v>52</v>
      </c>
      <c r="L190" s="27">
        <v>5550</v>
      </c>
      <c r="M190" s="28">
        <v>4563.71</v>
      </c>
      <c r="N190" s="13" t="s">
        <v>52</v>
      </c>
      <c r="P190" s="27">
        <v>0</v>
      </c>
      <c r="Q190" s="28">
        <v>0</v>
      </c>
      <c r="R190" s="13" t="s">
        <v>52</v>
      </c>
      <c r="S190" s="28">
        <v>0</v>
      </c>
    </row>
    <row r="191" spans="1:19">
      <c r="A191" s="29" t="s">
        <v>418</v>
      </c>
      <c r="B191" s="26" t="s">
        <v>419</v>
      </c>
      <c r="C191" s="26" t="s">
        <v>172</v>
      </c>
      <c r="D191" s="13" t="s">
        <v>52</v>
      </c>
      <c r="E191" s="27">
        <v>0</v>
      </c>
      <c r="F191" s="28">
        <v>0</v>
      </c>
      <c r="G191" s="13" t="s">
        <v>52</v>
      </c>
      <c r="H191" s="27">
        <v>6000</v>
      </c>
      <c r="J191" s="28">
        <v>3872.64</v>
      </c>
      <c r="K191" s="13" t="s">
        <v>52</v>
      </c>
      <c r="L191" s="27">
        <v>6000</v>
      </c>
      <c r="M191" s="28">
        <v>3872.64</v>
      </c>
      <c r="N191" s="13" t="s">
        <v>52</v>
      </c>
      <c r="P191" s="27">
        <v>0</v>
      </c>
      <c r="Q191" s="28">
        <v>0</v>
      </c>
      <c r="R191" s="13" t="s">
        <v>52</v>
      </c>
      <c r="S191" s="28">
        <v>0</v>
      </c>
    </row>
    <row r="192" spans="1:19">
      <c r="A192" s="29" t="s">
        <v>420</v>
      </c>
      <c r="B192" s="26" t="s">
        <v>421</v>
      </c>
      <c r="C192" s="26" t="s">
        <v>172</v>
      </c>
      <c r="D192" s="13" t="s">
        <v>52</v>
      </c>
      <c r="E192" s="27">
        <v>0</v>
      </c>
      <c r="F192" s="28">
        <v>0</v>
      </c>
      <c r="G192" s="13" t="s">
        <v>52</v>
      </c>
      <c r="H192" s="27">
        <v>12900</v>
      </c>
      <c r="J192" s="28">
        <v>8210.47</v>
      </c>
      <c r="K192" s="13" t="s">
        <v>52</v>
      </c>
      <c r="L192" s="27">
        <v>12900</v>
      </c>
      <c r="M192" s="28">
        <v>8210.47</v>
      </c>
      <c r="N192" s="13" t="s">
        <v>52</v>
      </c>
      <c r="P192" s="27">
        <v>0</v>
      </c>
      <c r="Q192" s="28">
        <v>0</v>
      </c>
      <c r="R192" s="13" t="s">
        <v>52</v>
      </c>
      <c r="S192" s="28">
        <v>0</v>
      </c>
    </row>
    <row r="193" spans="1:19">
      <c r="A193" s="29" t="s">
        <v>422</v>
      </c>
      <c r="B193" s="26" t="s">
        <v>423</v>
      </c>
      <c r="C193" s="26" t="s">
        <v>172</v>
      </c>
      <c r="D193" s="13" t="s">
        <v>52</v>
      </c>
      <c r="E193" s="27">
        <v>0</v>
      </c>
      <c r="F193" s="28">
        <v>0</v>
      </c>
      <c r="G193" s="13" t="s">
        <v>52</v>
      </c>
      <c r="H193" s="27">
        <v>6000</v>
      </c>
      <c r="J193" s="28">
        <v>3880.74</v>
      </c>
      <c r="K193" s="13" t="s">
        <v>52</v>
      </c>
      <c r="L193" s="27">
        <v>6000</v>
      </c>
      <c r="M193" s="28">
        <v>3880.74</v>
      </c>
      <c r="N193" s="13" t="s">
        <v>52</v>
      </c>
      <c r="P193" s="27">
        <v>0</v>
      </c>
      <c r="Q193" s="28">
        <v>0</v>
      </c>
      <c r="R193" s="13" t="s">
        <v>52</v>
      </c>
      <c r="S193" s="28">
        <v>0</v>
      </c>
    </row>
    <row r="194" spans="1:19">
      <c r="A194" s="29" t="s">
        <v>424</v>
      </c>
      <c r="B194" s="26" t="s">
        <v>425</v>
      </c>
      <c r="C194" s="26" t="s">
        <v>172</v>
      </c>
      <c r="D194" s="13" t="s">
        <v>52</v>
      </c>
      <c r="E194" s="27">
        <v>0</v>
      </c>
      <c r="F194" s="28">
        <v>0</v>
      </c>
      <c r="G194" s="13" t="s">
        <v>52</v>
      </c>
      <c r="H194" s="27">
        <v>15300</v>
      </c>
      <c r="J194" s="28">
        <v>12601.7</v>
      </c>
      <c r="K194" s="13" t="s">
        <v>52</v>
      </c>
      <c r="L194" s="27">
        <v>15300</v>
      </c>
      <c r="M194" s="28">
        <v>12601.7</v>
      </c>
      <c r="N194" s="13" t="s">
        <v>52</v>
      </c>
      <c r="P194" s="27">
        <v>0</v>
      </c>
      <c r="Q194" s="28">
        <v>0</v>
      </c>
      <c r="R194" s="13" t="s">
        <v>52</v>
      </c>
      <c r="S194" s="28">
        <v>0</v>
      </c>
    </row>
    <row r="195" spans="1:19">
      <c r="A195" s="29" t="s">
        <v>426</v>
      </c>
      <c r="B195" s="26" t="s">
        <v>427</v>
      </c>
      <c r="C195" s="26" t="s">
        <v>172</v>
      </c>
      <c r="D195" s="13" t="s">
        <v>52</v>
      </c>
      <c r="E195" s="27">
        <v>0</v>
      </c>
      <c r="F195" s="28">
        <v>0</v>
      </c>
      <c r="G195" s="13" t="s">
        <v>52</v>
      </c>
      <c r="H195" s="27">
        <v>10750</v>
      </c>
      <c r="J195" s="28">
        <v>12213.29</v>
      </c>
      <c r="K195" s="13" t="s">
        <v>52</v>
      </c>
      <c r="L195" s="27">
        <v>10750</v>
      </c>
      <c r="M195" s="28">
        <v>12213.29</v>
      </c>
      <c r="N195" s="13" t="s">
        <v>52</v>
      </c>
      <c r="P195" s="27">
        <v>0</v>
      </c>
      <c r="Q195" s="28">
        <v>0</v>
      </c>
      <c r="R195" s="13" t="s">
        <v>52</v>
      </c>
      <c r="S195" s="28">
        <v>0</v>
      </c>
    </row>
    <row r="196" spans="1:19">
      <c r="A196" s="29" t="s">
        <v>428</v>
      </c>
      <c r="B196" s="26" t="s">
        <v>429</v>
      </c>
      <c r="C196" s="26" t="s">
        <v>172</v>
      </c>
      <c r="D196" s="13" t="s">
        <v>52</v>
      </c>
      <c r="E196" s="27">
        <v>0</v>
      </c>
      <c r="F196" s="28">
        <v>0</v>
      </c>
      <c r="G196" s="13" t="s">
        <v>52</v>
      </c>
      <c r="H196" s="27">
        <v>11250</v>
      </c>
      <c r="J196" s="28">
        <v>12756.72</v>
      </c>
      <c r="K196" s="13" t="s">
        <v>52</v>
      </c>
      <c r="L196" s="27">
        <v>11250</v>
      </c>
      <c r="M196" s="28">
        <v>12756.72</v>
      </c>
      <c r="N196" s="13" t="s">
        <v>52</v>
      </c>
      <c r="P196" s="27">
        <v>0</v>
      </c>
      <c r="Q196" s="28">
        <v>0</v>
      </c>
      <c r="R196" s="13" t="s">
        <v>52</v>
      </c>
      <c r="S196" s="28">
        <v>0</v>
      </c>
    </row>
    <row r="197" spans="1:19">
      <c r="A197" s="29" t="s">
        <v>430</v>
      </c>
      <c r="B197" s="26" t="s">
        <v>431</v>
      </c>
      <c r="C197" s="26" t="s">
        <v>172</v>
      </c>
      <c r="D197" s="13" t="s">
        <v>52</v>
      </c>
      <c r="E197" s="27">
        <v>0</v>
      </c>
      <c r="F197" s="28">
        <v>0</v>
      </c>
      <c r="G197" s="13" t="s">
        <v>52</v>
      </c>
      <c r="H197" s="27">
        <v>10500</v>
      </c>
      <c r="J197" s="28">
        <v>11938.71</v>
      </c>
      <c r="K197" s="13" t="s">
        <v>52</v>
      </c>
      <c r="L197" s="27">
        <v>10500</v>
      </c>
      <c r="M197" s="28">
        <v>11938.71</v>
      </c>
      <c r="N197" s="13" t="s">
        <v>52</v>
      </c>
      <c r="P197" s="27">
        <v>0</v>
      </c>
      <c r="Q197" s="28">
        <v>0</v>
      </c>
      <c r="R197" s="13" t="s">
        <v>52</v>
      </c>
      <c r="S197" s="28">
        <v>0</v>
      </c>
    </row>
    <row r="198" spans="1:19">
      <c r="A198" s="29" t="s">
        <v>432</v>
      </c>
      <c r="B198" s="26" t="s">
        <v>433</v>
      </c>
      <c r="C198" s="26" t="s">
        <v>172</v>
      </c>
      <c r="D198" s="13" t="s">
        <v>52</v>
      </c>
      <c r="E198" s="27">
        <v>0</v>
      </c>
      <c r="F198" s="28">
        <v>0</v>
      </c>
      <c r="G198" s="13" t="s">
        <v>52</v>
      </c>
      <c r="H198" s="27">
        <v>10750</v>
      </c>
      <c r="J198" s="28">
        <v>12167.28</v>
      </c>
      <c r="K198" s="13" t="s">
        <v>52</v>
      </c>
      <c r="L198" s="27">
        <v>10750</v>
      </c>
      <c r="M198" s="28">
        <v>12167.28</v>
      </c>
      <c r="N198" s="13" t="s">
        <v>52</v>
      </c>
      <c r="P198" s="27">
        <v>0</v>
      </c>
      <c r="Q198" s="28">
        <v>0</v>
      </c>
      <c r="R198" s="13" t="s">
        <v>52</v>
      </c>
      <c r="S198" s="28">
        <v>0</v>
      </c>
    </row>
    <row r="199" spans="1:19">
      <c r="A199" s="29" t="s">
        <v>434</v>
      </c>
      <c r="B199" s="26" t="s">
        <v>435</v>
      </c>
      <c r="C199" s="26" t="s">
        <v>172</v>
      </c>
      <c r="D199" s="13" t="s">
        <v>52</v>
      </c>
      <c r="E199" s="27">
        <v>0</v>
      </c>
      <c r="F199" s="28">
        <v>0</v>
      </c>
      <c r="G199" s="13" t="s">
        <v>52</v>
      </c>
      <c r="H199" s="27">
        <v>22250</v>
      </c>
      <c r="J199" s="28">
        <v>25194.56</v>
      </c>
      <c r="K199" s="13" t="s">
        <v>52</v>
      </c>
      <c r="L199" s="27">
        <v>22250</v>
      </c>
      <c r="M199" s="28">
        <v>25194.56</v>
      </c>
      <c r="N199" s="13" t="s">
        <v>52</v>
      </c>
      <c r="P199" s="27">
        <v>0</v>
      </c>
      <c r="Q199" s="28">
        <v>0</v>
      </c>
      <c r="R199" s="13" t="s">
        <v>52</v>
      </c>
      <c r="S199" s="28">
        <v>0</v>
      </c>
    </row>
    <row r="200" spans="1:19">
      <c r="A200" s="29" t="s">
        <v>436</v>
      </c>
      <c r="B200" s="26" t="s">
        <v>437</v>
      </c>
      <c r="C200" s="26" t="s">
        <v>438</v>
      </c>
      <c r="D200" s="13" t="s">
        <v>52</v>
      </c>
      <c r="E200" s="27">
        <v>50</v>
      </c>
      <c r="F200" s="28">
        <v>280.69</v>
      </c>
      <c r="G200" s="13" t="s">
        <v>52</v>
      </c>
      <c r="H200" s="30" t="s">
        <v>52</v>
      </c>
      <c r="J200" s="30" t="s">
        <v>52</v>
      </c>
      <c r="K200" s="13" t="s">
        <v>52</v>
      </c>
      <c r="L200" s="30" t="s">
        <v>52</v>
      </c>
      <c r="M200" s="30" t="s">
        <v>52</v>
      </c>
      <c r="N200" s="13" t="s">
        <v>52</v>
      </c>
      <c r="P200" s="27">
        <v>50</v>
      </c>
      <c r="Q200" s="28">
        <v>280.69</v>
      </c>
      <c r="R200" s="13" t="s">
        <v>52</v>
      </c>
      <c r="S200" s="28">
        <v>280.69</v>
      </c>
    </row>
    <row r="201" spans="1:19">
      <c r="A201" s="29" t="s">
        <v>439</v>
      </c>
      <c r="B201" s="26" t="s">
        <v>440</v>
      </c>
      <c r="C201" s="26" t="s">
        <v>91</v>
      </c>
      <c r="D201" s="13" t="s">
        <v>52</v>
      </c>
      <c r="E201" s="27">
        <v>2200</v>
      </c>
      <c r="F201" s="28">
        <v>1598.34</v>
      </c>
      <c r="G201" s="13" t="s">
        <v>52</v>
      </c>
      <c r="H201" s="30" t="s">
        <v>52</v>
      </c>
      <c r="J201" s="30" t="s">
        <v>52</v>
      </c>
      <c r="K201" s="13" t="s">
        <v>52</v>
      </c>
      <c r="L201" s="30" t="s">
        <v>52</v>
      </c>
      <c r="M201" s="30" t="s">
        <v>52</v>
      </c>
      <c r="N201" s="13" t="s">
        <v>52</v>
      </c>
      <c r="P201" s="27">
        <v>2200</v>
      </c>
      <c r="Q201" s="28">
        <v>1598.34</v>
      </c>
      <c r="R201" s="13" t="s">
        <v>52</v>
      </c>
      <c r="S201" s="28">
        <v>1598.34</v>
      </c>
    </row>
    <row r="202" spans="1:19">
      <c r="A202" s="29" t="s">
        <v>441</v>
      </c>
      <c r="B202" s="26" t="s">
        <v>442</v>
      </c>
      <c r="C202" s="26" t="s">
        <v>91</v>
      </c>
      <c r="D202" s="13" t="s">
        <v>52</v>
      </c>
      <c r="E202" s="27">
        <v>12680</v>
      </c>
      <c r="F202" s="28">
        <v>13723.31</v>
      </c>
      <c r="G202" s="13" t="s">
        <v>52</v>
      </c>
      <c r="H202" s="27">
        <v>2992320</v>
      </c>
      <c r="J202" s="28">
        <v>3450839.95</v>
      </c>
      <c r="K202" s="13" t="s">
        <v>52</v>
      </c>
      <c r="L202" s="27">
        <v>2990000</v>
      </c>
      <c r="M202" s="28">
        <v>3444861.21</v>
      </c>
      <c r="N202" s="13" t="s">
        <v>52</v>
      </c>
      <c r="P202" s="27">
        <v>15000</v>
      </c>
      <c r="Q202" s="28">
        <v>19702.05</v>
      </c>
      <c r="R202" s="13" t="s">
        <v>52</v>
      </c>
      <c r="S202" s="28">
        <v>19702.05</v>
      </c>
    </row>
    <row r="203" spans="1:19">
      <c r="A203" s="29" t="s">
        <v>443</v>
      </c>
      <c r="B203" s="26" t="s">
        <v>444</v>
      </c>
      <c r="C203" s="26" t="s">
        <v>172</v>
      </c>
      <c r="D203" s="13" t="s">
        <v>52</v>
      </c>
      <c r="E203" s="27">
        <v>470</v>
      </c>
      <c r="F203" s="28">
        <v>1539.29</v>
      </c>
      <c r="G203" s="13" t="s">
        <v>52</v>
      </c>
      <c r="H203" s="30" t="s">
        <v>52</v>
      </c>
      <c r="J203" s="30" t="s">
        <v>52</v>
      </c>
      <c r="K203" s="13" t="s">
        <v>52</v>
      </c>
      <c r="L203" s="30" t="s">
        <v>52</v>
      </c>
      <c r="M203" s="30" t="s">
        <v>52</v>
      </c>
      <c r="N203" s="13" t="s">
        <v>52</v>
      </c>
      <c r="P203" s="27">
        <v>470</v>
      </c>
      <c r="Q203" s="28">
        <v>1539.29</v>
      </c>
      <c r="R203" s="13" t="s">
        <v>52</v>
      </c>
      <c r="S203" s="28">
        <v>1539.29</v>
      </c>
    </row>
    <row r="204" spans="1:19">
      <c r="A204" s="29" t="s">
        <v>445</v>
      </c>
      <c r="B204" s="26" t="s">
        <v>446</v>
      </c>
      <c r="C204" s="26" t="s">
        <v>172</v>
      </c>
      <c r="D204" s="13" t="s">
        <v>52</v>
      </c>
      <c r="E204" s="27">
        <v>0</v>
      </c>
      <c r="F204" s="28">
        <v>0</v>
      </c>
      <c r="G204" s="13" t="s">
        <v>52</v>
      </c>
      <c r="H204" s="27">
        <v>12000</v>
      </c>
      <c r="J204" s="28">
        <v>6556.68</v>
      </c>
      <c r="K204" s="13" t="s">
        <v>52</v>
      </c>
      <c r="L204" s="27">
        <v>12000</v>
      </c>
      <c r="M204" s="28">
        <v>6556.68</v>
      </c>
      <c r="N204" s="13" t="s">
        <v>52</v>
      </c>
      <c r="P204" s="27">
        <v>0</v>
      </c>
      <c r="Q204" s="28">
        <v>0</v>
      </c>
      <c r="R204" s="13" t="s">
        <v>52</v>
      </c>
      <c r="S204" s="28">
        <v>0</v>
      </c>
    </row>
    <row r="205" spans="1:19">
      <c r="A205" s="29" t="s">
        <v>447</v>
      </c>
      <c r="B205" s="26" t="s">
        <v>448</v>
      </c>
      <c r="C205" s="26" t="s">
        <v>172</v>
      </c>
      <c r="D205" s="13" t="s">
        <v>52</v>
      </c>
      <c r="E205" s="27">
        <v>0</v>
      </c>
      <c r="F205" s="28">
        <v>0</v>
      </c>
      <c r="G205" s="13" t="s">
        <v>52</v>
      </c>
      <c r="H205" s="27">
        <v>11550</v>
      </c>
      <c r="J205" s="28">
        <v>8014.89</v>
      </c>
      <c r="K205" s="13" t="s">
        <v>52</v>
      </c>
      <c r="L205" s="27">
        <v>11550</v>
      </c>
      <c r="M205" s="28">
        <v>8014.89</v>
      </c>
      <c r="N205" s="13" t="s">
        <v>52</v>
      </c>
      <c r="P205" s="27">
        <v>0</v>
      </c>
      <c r="Q205" s="28">
        <v>0</v>
      </c>
      <c r="R205" s="13" t="s">
        <v>52</v>
      </c>
      <c r="S205" s="28">
        <v>0</v>
      </c>
    </row>
    <row r="206" spans="1:19">
      <c r="A206" s="29" t="s">
        <v>449</v>
      </c>
      <c r="B206" s="26" t="s">
        <v>450</v>
      </c>
      <c r="C206" s="26" t="s">
        <v>172</v>
      </c>
      <c r="D206" s="13" t="s">
        <v>52</v>
      </c>
      <c r="E206" s="27">
        <v>0</v>
      </c>
      <c r="F206" s="28">
        <v>0</v>
      </c>
      <c r="G206" s="13" t="s">
        <v>52</v>
      </c>
      <c r="H206" s="27">
        <v>7800</v>
      </c>
      <c r="J206" s="28">
        <v>6192.5</v>
      </c>
      <c r="K206" s="13" t="s">
        <v>52</v>
      </c>
      <c r="L206" s="27">
        <v>7800</v>
      </c>
      <c r="M206" s="28">
        <v>6192.5</v>
      </c>
      <c r="N206" s="13" t="s">
        <v>52</v>
      </c>
      <c r="P206" s="27">
        <v>0</v>
      </c>
      <c r="Q206" s="28">
        <v>0</v>
      </c>
      <c r="R206" s="13" t="s">
        <v>52</v>
      </c>
      <c r="S206" s="28">
        <v>0</v>
      </c>
    </row>
    <row r="207" spans="1:19">
      <c r="A207" s="29" t="s">
        <v>451</v>
      </c>
      <c r="B207" s="26" t="s">
        <v>452</v>
      </c>
      <c r="C207" s="26" t="s">
        <v>172</v>
      </c>
      <c r="D207" s="13" t="s">
        <v>52</v>
      </c>
      <c r="E207" s="27">
        <v>0</v>
      </c>
      <c r="F207" s="28">
        <v>0</v>
      </c>
      <c r="G207" s="13" t="s">
        <v>52</v>
      </c>
      <c r="H207" s="27">
        <v>5550</v>
      </c>
      <c r="J207" s="28">
        <v>4381.17</v>
      </c>
      <c r="K207" s="13" t="s">
        <v>52</v>
      </c>
      <c r="L207" s="27">
        <v>5550</v>
      </c>
      <c r="M207" s="28">
        <v>4381.17</v>
      </c>
      <c r="N207" s="13" t="s">
        <v>52</v>
      </c>
      <c r="P207" s="27">
        <v>0</v>
      </c>
      <c r="Q207" s="28">
        <v>0</v>
      </c>
      <c r="R207" s="13" t="s">
        <v>52</v>
      </c>
      <c r="S207" s="28">
        <v>0</v>
      </c>
    </row>
    <row r="208" spans="1:19">
      <c r="A208" s="29" t="s">
        <v>453</v>
      </c>
      <c r="B208" s="26" t="s">
        <v>454</v>
      </c>
      <c r="C208" s="26" t="s">
        <v>172</v>
      </c>
      <c r="D208" s="13" t="s">
        <v>52</v>
      </c>
      <c r="E208" s="27">
        <v>0</v>
      </c>
      <c r="F208" s="28">
        <v>0</v>
      </c>
      <c r="G208" s="13" t="s">
        <v>52</v>
      </c>
      <c r="H208" s="27">
        <v>5400</v>
      </c>
      <c r="J208" s="28">
        <v>3756.35</v>
      </c>
      <c r="K208" s="13" t="s">
        <v>52</v>
      </c>
      <c r="L208" s="27">
        <v>5400</v>
      </c>
      <c r="M208" s="28">
        <v>3756.35</v>
      </c>
      <c r="N208" s="13" t="s">
        <v>52</v>
      </c>
      <c r="P208" s="27">
        <v>0</v>
      </c>
      <c r="Q208" s="28">
        <v>0</v>
      </c>
      <c r="R208" s="13" t="s">
        <v>52</v>
      </c>
      <c r="S208" s="28">
        <v>0</v>
      </c>
    </row>
    <row r="209" spans="1:19">
      <c r="A209" s="29" t="s">
        <v>455</v>
      </c>
      <c r="B209" s="26" t="s">
        <v>456</v>
      </c>
      <c r="C209" s="26" t="s">
        <v>172</v>
      </c>
      <c r="D209" s="13" t="s">
        <v>52</v>
      </c>
      <c r="E209" s="27">
        <v>299379</v>
      </c>
      <c r="F209" s="28">
        <v>172292.61</v>
      </c>
      <c r="G209" s="13" t="s">
        <v>52</v>
      </c>
      <c r="H209" s="30" t="s">
        <v>52</v>
      </c>
      <c r="J209" s="30" t="s">
        <v>52</v>
      </c>
      <c r="K209" s="13" t="s">
        <v>52</v>
      </c>
      <c r="L209" s="30" t="s">
        <v>52</v>
      </c>
      <c r="M209" s="30" t="s">
        <v>52</v>
      </c>
      <c r="N209" s="13" t="s">
        <v>52</v>
      </c>
      <c r="P209" s="27">
        <v>299379</v>
      </c>
      <c r="Q209" s="28">
        <v>172292.61</v>
      </c>
      <c r="R209" s="13" t="s">
        <v>52</v>
      </c>
      <c r="S209" s="28">
        <v>172292.61</v>
      </c>
    </row>
    <row r="210" spans="1:19">
      <c r="A210" s="29" t="s">
        <v>457</v>
      </c>
      <c r="B210" s="26" t="s">
        <v>458</v>
      </c>
      <c r="C210" s="26" t="s">
        <v>172</v>
      </c>
      <c r="D210" s="13" t="s">
        <v>52</v>
      </c>
      <c r="E210" s="27">
        <v>0</v>
      </c>
      <c r="F210" s="28">
        <v>0</v>
      </c>
      <c r="G210" s="13" t="s">
        <v>52</v>
      </c>
      <c r="H210" s="27">
        <v>6150</v>
      </c>
      <c r="J210" s="28">
        <v>7557.55</v>
      </c>
      <c r="K210" s="13" t="s">
        <v>52</v>
      </c>
      <c r="L210" s="27">
        <v>6150</v>
      </c>
      <c r="M210" s="28">
        <v>7557.55</v>
      </c>
      <c r="N210" s="13" t="s">
        <v>52</v>
      </c>
      <c r="P210" s="27">
        <v>0</v>
      </c>
      <c r="Q210" s="28">
        <v>0</v>
      </c>
      <c r="R210" s="13" t="s">
        <v>52</v>
      </c>
      <c r="S210" s="28">
        <v>0</v>
      </c>
    </row>
    <row r="211" spans="1:19">
      <c r="A211" s="29" t="s">
        <v>459</v>
      </c>
      <c r="B211" s="26" t="s">
        <v>460</v>
      </c>
      <c r="C211" s="26" t="s">
        <v>172</v>
      </c>
      <c r="D211" s="13" t="s">
        <v>52</v>
      </c>
      <c r="E211" s="27">
        <v>0</v>
      </c>
      <c r="F211" s="28">
        <v>0</v>
      </c>
      <c r="G211" s="13" t="s">
        <v>52</v>
      </c>
      <c r="H211" s="27">
        <v>22000</v>
      </c>
      <c r="J211" s="28">
        <v>25041.95</v>
      </c>
      <c r="K211" s="13" t="s">
        <v>52</v>
      </c>
      <c r="L211" s="27">
        <v>22000</v>
      </c>
      <c r="M211" s="28">
        <v>25041.95</v>
      </c>
      <c r="N211" s="13" t="s">
        <v>52</v>
      </c>
      <c r="P211" s="27">
        <v>0</v>
      </c>
      <c r="Q211" s="28">
        <v>0</v>
      </c>
      <c r="R211" s="13" t="s">
        <v>52</v>
      </c>
      <c r="S211" s="28">
        <v>0</v>
      </c>
    </row>
    <row r="212" spans="1:19">
      <c r="A212" s="29" t="s">
        <v>461</v>
      </c>
      <c r="B212" s="26" t="s">
        <v>462</v>
      </c>
      <c r="C212" s="26" t="s">
        <v>172</v>
      </c>
      <c r="D212" s="13" t="s">
        <v>52</v>
      </c>
      <c r="E212" s="27">
        <v>0</v>
      </c>
      <c r="F212" s="28">
        <v>0</v>
      </c>
      <c r="G212" s="13" t="s">
        <v>52</v>
      </c>
      <c r="H212" s="27">
        <v>22000</v>
      </c>
      <c r="J212" s="28">
        <v>24993.76</v>
      </c>
      <c r="K212" s="13" t="s">
        <v>52</v>
      </c>
      <c r="L212" s="27">
        <v>22000</v>
      </c>
      <c r="M212" s="28">
        <v>24993.76</v>
      </c>
      <c r="N212" s="13" t="s">
        <v>52</v>
      </c>
      <c r="P212" s="27">
        <v>0</v>
      </c>
      <c r="Q212" s="28">
        <v>0</v>
      </c>
      <c r="R212" s="13" t="s">
        <v>52</v>
      </c>
      <c r="S212" s="28">
        <v>0</v>
      </c>
    </row>
    <row r="213" spans="1:19">
      <c r="A213" s="29" t="s">
        <v>463</v>
      </c>
      <c r="B213" s="26" t="s">
        <v>464</v>
      </c>
      <c r="C213" s="26" t="s">
        <v>172</v>
      </c>
      <c r="D213" s="13" t="s">
        <v>52</v>
      </c>
      <c r="E213" s="27">
        <v>2</v>
      </c>
      <c r="F213" s="28">
        <v>7.54</v>
      </c>
      <c r="G213" s="13" t="s">
        <v>52</v>
      </c>
      <c r="H213" s="27">
        <v>72870</v>
      </c>
      <c r="J213" s="28">
        <v>201131.01</v>
      </c>
      <c r="K213" s="13" t="s">
        <v>52</v>
      </c>
      <c r="L213" s="27">
        <v>61172</v>
      </c>
      <c r="M213" s="28">
        <v>168861.06</v>
      </c>
      <c r="N213" s="13" t="s">
        <v>52</v>
      </c>
      <c r="P213" s="27">
        <v>11700</v>
      </c>
      <c r="Q213" s="28">
        <v>32277.49</v>
      </c>
      <c r="R213" s="13" t="s">
        <v>52</v>
      </c>
      <c r="S213" s="28">
        <v>32277.49</v>
      </c>
    </row>
    <row r="214" spans="1:19">
      <c r="A214" s="29" t="s">
        <v>465</v>
      </c>
      <c r="B214" s="26" t="s">
        <v>466</v>
      </c>
      <c r="C214" s="26" t="s">
        <v>172</v>
      </c>
      <c r="D214" s="13" t="s">
        <v>52</v>
      </c>
      <c r="E214" s="27">
        <v>5700</v>
      </c>
      <c r="F214" s="28">
        <v>17454.54</v>
      </c>
      <c r="G214" s="13" t="s">
        <v>52</v>
      </c>
      <c r="H214" s="27">
        <v>55670</v>
      </c>
      <c r="J214" s="28">
        <v>117676.37</v>
      </c>
      <c r="K214" s="13" t="s">
        <v>52</v>
      </c>
      <c r="L214" s="27">
        <v>50550</v>
      </c>
      <c r="M214" s="28">
        <v>112259.38</v>
      </c>
      <c r="N214" s="13" t="s">
        <v>52</v>
      </c>
      <c r="P214" s="27">
        <v>10820</v>
      </c>
      <c r="Q214" s="28">
        <v>22871.53</v>
      </c>
      <c r="R214" s="13" t="s">
        <v>52</v>
      </c>
      <c r="S214" s="28">
        <v>22871.53</v>
      </c>
    </row>
    <row r="215" spans="1:19">
      <c r="A215" s="29" t="s">
        <v>467</v>
      </c>
      <c r="B215" s="26" t="s">
        <v>468</v>
      </c>
      <c r="C215" s="26" t="s">
        <v>172</v>
      </c>
      <c r="D215" s="13" t="s">
        <v>52</v>
      </c>
      <c r="E215" s="27">
        <v>1000</v>
      </c>
      <c r="F215" s="28">
        <v>264.81</v>
      </c>
      <c r="G215" s="13" t="s">
        <v>52</v>
      </c>
      <c r="H215" s="30" t="s">
        <v>52</v>
      </c>
      <c r="J215" s="30" t="s">
        <v>52</v>
      </c>
      <c r="K215" s="13" t="s">
        <v>52</v>
      </c>
      <c r="L215" s="30" t="s">
        <v>52</v>
      </c>
      <c r="M215" s="30" t="s">
        <v>52</v>
      </c>
      <c r="N215" s="13" t="s">
        <v>52</v>
      </c>
      <c r="P215" s="27">
        <v>1000</v>
      </c>
      <c r="Q215" s="28">
        <v>264.81</v>
      </c>
      <c r="R215" s="13" t="s">
        <v>52</v>
      </c>
      <c r="S215" s="28">
        <v>264.81</v>
      </c>
    </row>
    <row r="216" spans="1:19">
      <c r="A216" s="29" t="s">
        <v>469</v>
      </c>
      <c r="B216" s="26" t="s">
        <v>470</v>
      </c>
      <c r="C216" s="26" t="s">
        <v>172</v>
      </c>
      <c r="D216" s="13" t="s">
        <v>52</v>
      </c>
      <c r="E216" s="27">
        <v>6660</v>
      </c>
      <c r="F216" s="28">
        <v>14685.24</v>
      </c>
      <c r="G216" s="13" t="s">
        <v>52</v>
      </c>
      <c r="H216" s="27">
        <v>24540</v>
      </c>
      <c r="J216" s="28">
        <v>52063.23</v>
      </c>
      <c r="K216" s="13" t="s">
        <v>52</v>
      </c>
      <c r="L216" s="27">
        <v>31200</v>
      </c>
      <c r="M216" s="28">
        <v>66748.47</v>
      </c>
      <c r="N216" s="13" t="s">
        <v>52</v>
      </c>
      <c r="P216" s="27">
        <v>0</v>
      </c>
      <c r="Q216" s="28">
        <v>0</v>
      </c>
      <c r="R216" s="13" t="s">
        <v>52</v>
      </c>
      <c r="S216" s="28">
        <v>0</v>
      </c>
    </row>
    <row r="217" spans="1:19">
      <c r="A217" s="29" t="s">
        <v>471</v>
      </c>
      <c r="B217" s="26" t="s">
        <v>472</v>
      </c>
      <c r="C217" s="26" t="s">
        <v>91</v>
      </c>
      <c r="D217" s="13" t="s">
        <v>52</v>
      </c>
      <c r="E217" s="27">
        <v>0</v>
      </c>
      <c r="F217" s="28">
        <v>0</v>
      </c>
      <c r="G217" s="13" t="s">
        <v>52</v>
      </c>
      <c r="H217" s="27">
        <v>784100</v>
      </c>
      <c r="J217" s="28">
        <v>865930.79</v>
      </c>
      <c r="K217" s="13" t="s">
        <v>52</v>
      </c>
      <c r="L217" s="27">
        <v>781600</v>
      </c>
      <c r="M217" s="28">
        <v>863253.64</v>
      </c>
      <c r="N217" s="13" t="s">
        <v>52</v>
      </c>
      <c r="P217" s="27">
        <v>2500</v>
      </c>
      <c r="Q217" s="28">
        <v>2677.15</v>
      </c>
      <c r="R217" s="13" t="s">
        <v>52</v>
      </c>
      <c r="S217" s="28">
        <v>2677.15</v>
      </c>
    </row>
    <row r="218" spans="1:19">
      <c r="A218" s="29" t="s">
        <v>473</v>
      </c>
      <c r="B218" s="26" t="s">
        <v>474</v>
      </c>
      <c r="C218" s="26" t="s">
        <v>172</v>
      </c>
      <c r="D218" s="13" t="s">
        <v>52</v>
      </c>
      <c r="E218" s="27">
        <v>0</v>
      </c>
      <c r="F218" s="28">
        <v>0</v>
      </c>
      <c r="G218" s="13" t="s">
        <v>52</v>
      </c>
      <c r="H218" s="27">
        <v>9060</v>
      </c>
      <c r="J218" s="28">
        <v>19996.69</v>
      </c>
      <c r="K218" s="13" t="s">
        <v>52</v>
      </c>
      <c r="L218" s="27">
        <v>9060</v>
      </c>
      <c r="M218" s="28">
        <v>19996.69</v>
      </c>
      <c r="N218" s="13" t="s">
        <v>52</v>
      </c>
      <c r="P218" s="27">
        <v>0</v>
      </c>
      <c r="Q218" s="28">
        <v>0</v>
      </c>
      <c r="R218" s="13" t="s">
        <v>52</v>
      </c>
      <c r="S218" s="28">
        <v>0</v>
      </c>
    </row>
    <row r="219" spans="1:19">
      <c r="A219" s="29" t="s">
        <v>53</v>
      </c>
      <c r="B219" s="26" t="s">
        <v>475</v>
      </c>
      <c r="C219" s="26" t="s">
        <v>172</v>
      </c>
      <c r="D219" s="13" t="s">
        <v>52</v>
      </c>
      <c r="E219" s="27">
        <v>8200</v>
      </c>
      <c r="F219" s="28">
        <v>2004.49</v>
      </c>
      <c r="G219" s="13" t="s">
        <v>52</v>
      </c>
      <c r="H219" s="27">
        <v>33700</v>
      </c>
      <c r="J219" s="28">
        <v>8237.96</v>
      </c>
      <c r="K219" s="13" t="s">
        <v>52</v>
      </c>
      <c r="L219" s="27">
        <v>41900</v>
      </c>
      <c r="M219" s="28">
        <v>10242.45</v>
      </c>
      <c r="N219" s="13" t="s">
        <v>52</v>
      </c>
      <c r="P219" s="27">
        <v>0</v>
      </c>
      <c r="Q219" s="28">
        <v>0</v>
      </c>
      <c r="R219" s="13" t="s">
        <v>52</v>
      </c>
      <c r="S219" s="28">
        <v>0</v>
      </c>
    </row>
    <row r="220" spans="1:19">
      <c r="A220" s="29" t="s">
        <v>476</v>
      </c>
      <c r="B220" s="26" t="s">
        <v>477</v>
      </c>
      <c r="C220" s="26" t="s">
        <v>91</v>
      </c>
      <c r="D220" s="13" t="s">
        <v>52</v>
      </c>
      <c r="E220" s="27">
        <v>0</v>
      </c>
      <c r="F220" s="28">
        <v>0</v>
      </c>
      <c r="G220" s="13" t="s">
        <v>52</v>
      </c>
      <c r="H220" s="27">
        <v>63100</v>
      </c>
      <c r="J220" s="28">
        <v>39925.27</v>
      </c>
      <c r="K220" s="13" t="s">
        <v>52</v>
      </c>
      <c r="L220" s="27">
        <v>57500</v>
      </c>
      <c r="M220" s="28">
        <v>36381.98</v>
      </c>
      <c r="N220" s="13" t="s">
        <v>52</v>
      </c>
      <c r="P220" s="27">
        <v>5600</v>
      </c>
      <c r="Q220" s="28">
        <v>3543.29</v>
      </c>
      <c r="R220" s="13" t="s">
        <v>52</v>
      </c>
      <c r="S220" s="28">
        <v>3543.29</v>
      </c>
    </row>
    <row r="221" spans="1:19">
      <c r="A221" s="29" t="s">
        <v>478</v>
      </c>
      <c r="B221" s="26" t="s">
        <v>479</v>
      </c>
      <c r="C221" s="26" t="s">
        <v>172</v>
      </c>
      <c r="D221" s="13" t="s">
        <v>52</v>
      </c>
      <c r="E221" s="27">
        <v>0</v>
      </c>
      <c r="F221" s="28">
        <v>0</v>
      </c>
      <c r="G221" s="13" t="s">
        <v>52</v>
      </c>
      <c r="H221" s="27">
        <v>37000</v>
      </c>
      <c r="J221" s="28">
        <v>2902.28</v>
      </c>
      <c r="K221" s="13" t="s">
        <v>52</v>
      </c>
      <c r="L221" s="27">
        <v>37000</v>
      </c>
      <c r="M221" s="28">
        <v>2902.28</v>
      </c>
      <c r="N221" s="13" t="s">
        <v>52</v>
      </c>
      <c r="P221" s="27">
        <v>0</v>
      </c>
      <c r="Q221" s="28">
        <v>0</v>
      </c>
      <c r="R221" s="13" t="s">
        <v>52</v>
      </c>
      <c r="S221" s="28">
        <v>0</v>
      </c>
    </row>
    <row r="222" spans="1:19">
      <c r="A222" s="29" t="s">
        <v>480</v>
      </c>
      <c r="B222" s="26" t="s">
        <v>481</v>
      </c>
      <c r="C222" s="26" t="s">
        <v>172</v>
      </c>
      <c r="D222" s="13" t="s">
        <v>52</v>
      </c>
      <c r="E222" s="27">
        <v>20</v>
      </c>
      <c r="F222" s="28">
        <v>2.43</v>
      </c>
      <c r="G222" s="13" t="s">
        <v>52</v>
      </c>
      <c r="H222" s="30" t="s">
        <v>52</v>
      </c>
      <c r="J222" s="30" t="s">
        <v>52</v>
      </c>
      <c r="K222" s="13" t="s">
        <v>52</v>
      </c>
      <c r="L222" s="27">
        <v>20</v>
      </c>
      <c r="M222" s="28">
        <v>2.43</v>
      </c>
      <c r="N222" s="13" t="s">
        <v>52</v>
      </c>
      <c r="P222" s="27">
        <v>0</v>
      </c>
      <c r="Q222" s="28">
        <v>0</v>
      </c>
      <c r="R222" s="13" t="s">
        <v>52</v>
      </c>
      <c r="S222" s="28">
        <v>0</v>
      </c>
    </row>
    <row r="223" spans="1:19">
      <c r="A223" s="29" t="s">
        <v>482</v>
      </c>
      <c r="B223" s="26" t="s">
        <v>483</v>
      </c>
      <c r="C223" s="26" t="s">
        <v>91</v>
      </c>
      <c r="D223" s="13" t="s">
        <v>52</v>
      </c>
      <c r="E223" s="27">
        <v>7201</v>
      </c>
      <c r="F223" s="28">
        <v>4577.53</v>
      </c>
      <c r="G223" s="13" t="s">
        <v>52</v>
      </c>
      <c r="H223" s="27">
        <v>294409</v>
      </c>
      <c r="J223" s="28">
        <v>194812.79</v>
      </c>
      <c r="K223" s="13" t="s">
        <v>52</v>
      </c>
      <c r="L223" s="27">
        <v>299000</v>
      </c>
      <c r="M223" s="28">
        <v>197583.99</v>
      </c>
      <c r="N223" s="13" t="s">
        <v>52</v>
      </c>
      <c r="P223" s="27">
        <v>2610</v>
      </c>
      <c r="Q223" s="28">
        <v>1806.33</v>
      </c>
      <c r="R223" s="13" t="s">
        <v>52</v>
      </c>
      <c r="S223" s="28">
        <v>1806.33</v>
      </c>
    </row>
    <row r="224" spans="1:19">
      <c r="A224" s="29" t="s">
        <v>484</v>
      </c>
      <c r="B224" s="26" t="s">
        <v>485</v>
      </c>
      <c r="C224" s="26" t="s">
        <v>91</v>
      </c>
      <c r="D224" s="13" t="s">
        <v>52</v>
      </c>
      <c r="E224" s="27">
        <v>1200</v>
      </c>
      <c r="F224" s="28">
        <v>1296.16</v>
      </c>
      <c r="G224" s="13" t="s">
        <v>52</v>
      </c>
      <c r="H224" s="27">
        <v>112650</v>
      </c>
      <c r="J224" s="28">
        <v>127960.03</v>
      </c>
      <c r="K224" s="13" t="s">
        <v>52</v>
      </c>
      <c r="L224" s="27">
        <v>110400</v>
      </c>
      <c r="M224" s="28">
        <v>125241.67</v>
      </c>
      <c r="N224" s="13" t="s">
        <v>52</v>
      </c>
      <c r="P224" s="27">
        <v>3450</v>
      </c>
      <c r="Q224" s="28">
        <v>4014.52</v>
      </c>
      <c r="R224" s="13" t="s">
        <v>52</v>
      </c>
      <c r="S224" s="28">
        <v>4014.52</v>
      </c>
    </row>
    <row r="225" ht="23" spans="1:19">
      <c r="A225" s="29" t="s">
        <v>486</v>
      </c>
      <c r="B225" s="26" t="s">
        <v>487</v>
      </c>
      <c r="C225" s="26" t="s">
        <v>172</v>
      </c>
      <c r="D225" s="13" t="s">
        <v>52</v>
      </c>
      <c r="E225" s="27">
        <v>0</v>
      </c>
      <c r="F225" s="28">
        <v>0</v>
      </c>
      <c r="G225" s="13" t="s">
        <v>52</v>
      </c>
      <c r="H225" s="27">
        <v>10600</v>
      </c>
      <c r="J225" s="28">
        <v>13713.96</v>
      </c>
      <c r="K225" s="13" t="s">
        <v>52</v>
      </c>
      <c r="L225" s="27">
        <v>10600</v>
      </c>
      <c r="M225" s="28">
        <v>13713.96</v>
      </c>
      <c r="N225" s="13" t="s">
        <v>52</v>
      </c>
      <c r="P225" s="27">
        <v>0</v>
      </c>
      <c r="Q225" s="28">
        <v>0</v>
      </c>
      <c r="R225" s="13" t="s">
        <v>52</v>
      </c>
      <c r="S225" s="28">
        <v>0</v>
      </c>
    </row>
    <row r="226" ht="23" spans="1:19">
      <c r="A226" s="29" t="s">
        <v>488</v>
      </c>
      <c r="B226" s="26" t="s">
        <v>489</v>
      </c>
      <c r="C226" s="26" t="s">
        <v>172</v>
      </c>
      <c r="D226" s="13" t="s">
        <v>52</v>
      </c>
      <c r="E226" s="27">
        <v>0</v>
      </c>
      <c r="F226" s="28">
        <v>0</v>
      </c>
      <c r="G226" s="13" t="s">
        <v>52</v>
      </c>
      <c r="H226" s="27">
        <v>87850</v>
      </c>
      <c r="J226" s="28">
        <v>192914.96</v>
      </c>
      <c r="K226" s="13" t="s">
        <v>52</v>
      </c>
      <c r="L226" s="27">
        <v>86800</v>
      </c>
      <c r="M226" s="28">
        <v>190057.15</v>
      </c>
      <c r="N226" s="13" t="s">
        <v>52</v>
      </c>
      <c r="P226" s="27">
        <v>1050</v>
      </c>
      <c r="Q226" s="28">
        <v>2857.81</v>
      </c>
      <c r="R226" s="13" t="s">
        <v>52</v>
      </c>
      <c r="S226" s="28">
        <v>2857.81</v>
      </c>
    </row>
    <row r="227" ht="23" spans="1:19">
      <c r="A227" s="29" t="s">
        <v>490</v>
      </c>
      <c r="B227" s="26" t="s">
        <v>491</v>
      </c>
      <c r="C227" s="26" t="s">
        <v>172</v>
      </c>
      <c r="D227" s="13" t="s">
        <v>52</v>
      </c>
      <c r="E227" s="27">
        <v>0</v>
      </c>
      <c r="F227" s="28">
        <v>0</v>
      </c>
      <c r="G227" s="13" t="s">
        <v>52</v>
      </c>
      <c r="H227" s="27">
        <v>526800</v>
      </c>
      <c r="J227" s="28">
        <v>709828.96</v>
      </c>
      <c r="K227" s="13" t="s">
        <v>52</v>
      </c>
      <c r="L227" s="27">
        <v>525500</v>
      </c>
      <c r="M227" s="28">
        <v>707763.59</v>
      </c>
      <c r="N227" s="13" t="s">
        <v>52</v>
      </c>
      <c r="P227" s="27">
        <v>1300</v>
      </c>
      <c r="Q227" s="28">
        <v>2065.37</v>
      </c>
      <c r="R227" s="13" t="s">
        <v>52</v>
      </c>
      <c r="S227" s="28">
        <v>2065.37</v>
      </c>
    </row>
    <row r="228" ht="23" spans="1:19">
      <c r="A228" s="29" t="s">
        <v>492</v>
      </c>
      <c r="B228" s="26" t="s">
        <v>493</v>
      </c>
      <c r="C228" s="26" t="s">
        <v>172</v>
      </c>
      <c r="D228" s="13" t="s">
        <v>52</v>
      </c>
      <c r="E228" s="27">
        <v>0</v>
      </c>
      <c r="F228" s="28">
        <v>0</v>
      </c>
      <c r="G228" s="13" t="s">
        <v>52</v>
      </c>
      <c r="H228" s="27">
        <v>529400</v>
      </c>
      <c r="J228" s="28">
        <v>731595.71</v>
      </c>
      <c r="K228" s="13" t="s">
        <v>52</v>
      </c>
      <c r="L228" s="27">
        <v>526900</v>
      </c>
      <c r="M228" s="28">
        <v>727583.21</v>
      </c>
      <c r="N228" s="13" t="s">
        <v>52</v>
      </c>
      <c r="P228" s="27">
        <v>2500</v>
      </c>
      <c r="Q228" s="28">
        <v>4012.5</v>
      </c>
      <c r="R228" s="13" t="s">
        <v>52</v>
      </c>
      <c r="S228" s="28">
        <v>4012.5</v>
      </c>
    </row>
    <row r="229" ht="23" spans="1:19">
      <c r="A229" s="29" t="s">
        <v>494</v>
      </c>
      <c r="B229" s="26" t="s">
        <v>495</v>
      </c>
      <c r="C229" s="26" t="s">
        <v>172</v>
      </c>
      <c r="D229" s="13" t="s">
        <v>52</v>
      </c>
      <c r="E229" s="27">
        <v>20</v>
      </c>
      <c r="F229" s="28">
        <v>0</v>
      </c>
      <c r="G229" s="13" t="s">
        <v>52</v>
      </c>
      <c r="H229" s="30" t="s">
        <v>52</v>
      </c>
      <c r="J229" s="30" t="s">
        <v>52</v>
      </c>
      <c r="K229" s="13" t="s">
        <v>52</v>
      </c>
      <c r="L229" s="27">
        <v>20</v>
      </c>
      <c r="M229" s="30" t="s">
        <v>52</v>
      </c>
      <c r="N229" s="13" t="s">
        <v>52</v>
      </c>
      <c r="P229" s="27">
        <v>0</v>
      </c>
      <c r="Q229" s="28">
        <v>0</v>
      </c>
      <c r="R229" s="13" t="s">
        <v>52</v>
      </c>
      <c r="S229" s="28">
        <v>0</v>
      </c>
    </row>
    <row r="230" ht="23" spans="1:19">
      <c r="A230" s="29" t="s">
        <v>496</v>
      </c>
      <c r="B230" s="26" t="s">
        <v>497</v>
      </c>
      <c r="C230" s="26" t="s">
        <v>172</v>
      </c>
      <c r="D230" s="13" t="s">
        <v>52</v>
      </c>
      <c r="E230" s="27">
        <v>20</v>
      </c>
      <c r="F230" s="28">
        <v>0</v>
      </c>
      <c r="G230" s="13" t="s">
        <v>52</v>
      </c>
      <c r="H230" s="30" t="s">
        <v>52</v>
      </c>
      <c r="J230" s="30" t="s">
        <v>52</v>
      </c>
      <c r="K230" s="13" t="s">
        <v>52</v>
      </c>
      <c r="L230" s="27">
        <v>20</v>
      </c>
      <c r="M230" s="30" t="s">
        <v>52</v>
      </c>
      <c r="N230" s="13" t="s">
        <v>52</v>
      </c>
      <c r="P230" s="27">
        <v>0</v>
      </c>
      <c r="Q230" s="28">
        <v>0</v>
      </c>
      <c r="R230" s="13" t="s">
        <v>52</v>
      </c>
      <c r="S230" s="28">
        <v>0</v>
      </c>
    </row>
    <row r="231" spans="1:19">
      <c r="A231" s="29" t="s">
        <v>498</v>
      </c>
      <c r="B231" s="26" t="s">
        <v>499</v>
      </c>
      <c r="C231" s="26" t="s">
        <v>91</v>
      </c>
      <c r="D231" s="13" t="s">
        <v>52</v>
      </c>
      <c r="E231" s="27">
        <v>14800</v>
      </c>
      <c r="F231" s="28">
        <v>10623</v>
      </c>
      <c r="G231" s="13" t="s">
        <v>52</v>
      </c>
      <c r="H231" s="27">
        <v>1000</v>
      </c>
      <c r="J231" s="28">
        <v>717.77</v>
      </c>
      <c r="K231" s="13" t="s">
        <v>52</v>
      </c>
      <c r="L231" s="27">
        <v>4500</v>
      </c>
      <c r="M231" s="28">
        <v>3229.96</v>
      </c>
      <c r="N231" s="13" t="s">
        <v>52</v>
      </c>
      <c r="P231" s="27">
        <v>11300</v>
      </c>
      <c r="Q231" s="28">
        <v>8110.81</v>
      </c>
      <c r="R231" s="13" t="s">
        <v>52</v>
      </c>
      <c r="S231" s="28">
        <v>8110.81</v>
      </c>
    </row>
    <row r="232" spans="1:19">
      <c r="A232" s="29" t="s">
        <v>500</v>
      </c>
      <c r="B232" s="26" t="s">
        <v>501</v>
      </c>
      <c r="C232" s="26" t="s">
        <v>91</v>
      </c>
      <c r="D232" s="13" t="s">
        <v>52</v>
      </c>
      <c r="E232" s="27">
        <v>2500</v>
      </c>
      <c r="F232" s="28">
        <v>3028.95</v>
      </c>
      <c r="G232" s="13" t="s">
        <v>52</v>
      </c>
      <c r="H232" s="30" t="s">
        <v>52</v>
      </c>
      <c r="J232" s="30" t="s">
        <v>52</v>
      </c>
      <c r="K232" s="13" t="s">
        <v>52</v>
      </c>
      <c r="L232" s="27">
        <v>300</v>
      </c>
      <c r="M232" s="28">
        <v>363.47</v>
      </c>
      <c r="N232" s="13" t="s">
        <v>52</v>
      </c>
      <c r="P232" s="27">
        <v>2200</v>
      </c>
      <c r="Q232" s="28">
        <v>2665.48</v>
      </c>
      <c r="R232" s="13" t="s">
        <v>52</v>
      </c>
      <c r="S232" s="28">
        <v>2665.48</v>
      </c>
    </row>
    <row r="233" ht="23" spans="1:19">
      <c r="A233" s="29" t="s">
        <v>502</v>
      </c>
      <c r="B233" s="26" t="s">
        <v>503</v>
      </c>
      <c r="C233" s="26" t="s">
        <v>504</v>
      </c>
      <c r="D233" s="13" t="s">
        <v>52</v>
      </c>
      <c r="E233" s="27">
        <v>6300</v>
      </c>
      <c r="F233" s="28">
        <v>0</v>
      </c>
      <c r="G233" s="13" t="s">
        <v>52</v>
      </c>
      <c r="H233" s="30" t="s">
        <v>52</v>
      </c>
      <c r="J233" s="30" t="s">
        <v>52</v>
      </c>
      <c r="K233" s="13" t="s">
        <v>52</v>
      </c>
      <c r="L233" s="30" t="s">
        <v>52</v>
      </c>
      <c r="M233" s="30" t="s">
        <v>52</v>
      </c>
      <c r="N233" s="13" t="s">
        <v>52</v>
      </c>
      <c r="P233" s="27">
        <v>6300</v>
      </c>
      <c r="Q233" s="28">
        <v>0</v>
      </c>
      <c r="R233" s="13" t="s">
        <v>52</v>
      </c>
      <c r="S233" s="28">
        <v>0</v>
      </c>
    </row>
    <row r="234" spans="1:19">
      <c r="A234" s="29" t="s">
        <v>505</v>
      </c>
      <c r="B234" s="26" t="s">
        <v>506</v>
      </c>
      <c r="C234" s="26" t="s">
        <v>91</v>
      </c>
      <c r="D234" s="13" t="s">
        <v>52</v>
      </c>
      <c r="E234" s="27">
        <v>4200</v>
      </c>
      <c r="F234" s="28">
        <v>0</v>
      </c>
      <c r="G234" s="13" t="s">
        <v>52</v>
      </c>
      <c r="H234" s="27">
        <v>805850</v>
      </c>
      <c r="J234" s="28">
        <v>511986.65</v>
      </c>
      <c r="K234" s="13" t="s">
        <v>52</v>
      </c>
      <c r="L234" s="27">
        <v>802500</v>
      </c>
      <c r="M234" s="28">
        <v>506844.7</v>
      </c>
      <c r="N234" s="13" t="s">
        <v>52</v>
      </c>
      <c r="P234" s="27">
        <v>7550</v>
      </c>
      <c r="Q234" s="28">
        <v>5141.95</v>
      </c>
      <c r="R234" s="13" t="s">
        <v>52</v>
      </c>
      <c r="S234" s="28">
        <v>5141.95</v>
      </c>
    </row>
    <row r="235" spans="1:19">
      <c r="A235" s="29" t="s">
        <v>507</v>
      </c>
      <c r="B235" s="26" t="s">
        <v>508</v>
      </c>
      <c r="C235" s="26" t="s">
        <v>91</v>
      </c>
      <c r="D235" s="13" t="s">
        <v>52</v>
      </c>
      <c r="E235" s="27">
        <v>11500</v>
      </c>
      <c r="F235" s="28">
        <v>7153.11</v>
      </c>
      <c r="G235" s="13" t="s">
        <v>52</v>
      </c>
      <c r="H235" s="30" t="s">
        <v>52</v>
      </c>
      <c r="J235" s="30" t="s">
        <v>52</v>
      </c>
      <c r="K235" s="13" t="s">
        <v>52</v>
      </c>
      <c r="L235" s="30" t="s">
        <v>52</v>
      </c>
      <c r="M235" s="30" t="s">
        <v>52</v>
      </c>
      <c r="N235" s="13" t="s">
        <v>52</v>
      </c>
      <c r="P235" s="27">
        <v>11500</v>
      </c>
      <c r="Q235" s="28">
        <v>7153.11</v>
      </c>
      <c r="R235" s="13" t="s">
        <v>52</v>
      </c>
      <c r="S235" s="28">
        <v>7153.11</v>
      </c>
    </row>
    <row r="236" spans="1:19">
      <c r="A236" s="29" t="s">
        <v>509</v>
      </c>
      <c r="B236" s="26" t="s">
        <v>510</v>
      </c>
      <c r="C236" s="26" t="s">
        <v>91</v>
      </c>
      <c r="D236" s="13" t="s">
        <v>52</v>
      </c>
      <c r="E236" s="27">
        <v>600</v>
      </c>
      <c r="F236" s="28">
        <v>637.37</v>
      </c>
      <c r="G236" s="13" t="s">
        <v>52</v>
      </c>
      <c r="H236" s="27">
        <v>107700</v>
      </c>
      <c r="J236" s="28">
        <v>139011.62</v>
      </c>
      <c r="K236" s="13" t="s">
        <v>52</v>
      </c>
      <c r="L236" s="30" t="s">
        <v>52</v>
      </c>
      <c r="M236" s="30" t="s">
        <v>52</v>
      </c>
      <c r="N236" s="13" t="s">
        <v>52</v>
      </c>
      <c r="P236" s="27">
        <v>108300</v>
      </c>
      <c r="Q236" s="28">
        <v>139648.99</v>
      </c>
      <c r="R236" s="13" t="s">
        <v>52</v>
      </c>
      <c r="S236" s="28">
        <v>139648.99</v>
      </c>
    </row>
    <row r="237" spans="1:19">
      <c r="A237" s="29" t="s">
        <v>511</v>
      </c>
      <c r="B237" s="26" t="s">
        <v>512</v>
      </c>
      <c r="C237" s="26" t="s">
        <v>91</v>
      </c>
      <c r="D237" s="13" t="s">
        <v>52</v>
      </c>
      <c r="E237" s="27">
        <v>800</v>
      </c>
      <c r="F237" s="28">
        <v>583.43</v>
      </c>
      <c r="G237" s="13" t="s">
        <v>52</v>
      </c>
      <c r="H237" s="27">
        <v>26100</v>
      </c>
      <c r="J237" s="28">
        <v>19034.47</v>
      </c>
      <c r="K237" s="13" t="s">
        <v>52</v>
      </c>
      <c r="L237" s="27">
        <v>24200</v>
      </c>
      <c r="M237" s="28">
        <v>17648.82</v>
      </c>
      <c r="N237" s="13" t="s">
        <v>52</v>
      </c>
      <c r="P237" s="27">
        <v>2700</v>
      </c>
      <c r="Q237" s="28">
        <v>1969.08</v>
      </c>
      <c r="R237" s="13" t="s">
        <v>52</v>
      </c>
      <c r="S237" s="28">
        <v>1969.08</v>
      </c>
    </row>
    <row r="238" spans="1:19">
      <c r="A238" s="29" t="s">
        <v>513</v>
      </c>
      <c r="B238" s="26" t="s">
        <v>514</v>
      </c>
      <c r="C238" s="26" t="s">
        <v>91</v>
      </c>
      <c r="D238" s="13" t="s">
        <v>52</v>
      </c>
      <c r="E238" s="27">
        <v>1800</v>
      </c>
      <c r="F238" s="28">
        <v>1316.21</v>
      </c>
      <c r="G238" s="13" t="s">
        <v>52</v>
      </c>
      <c r="H238" s="27">
        <v>28200</v>
      </c>
      <c r="J238" s="28">
        <v>20620.68</v>
      </c>
      <c r="K238" s="13" t="s">
        <v>52</v>
      </c>
      <c r="L238" s="27">
        <v>24300</v>
      </c>
      <c r="M238" s="28">
        <v>17768.88</v>
      </c>
      <c r="N238" s="13" t="s">
        <v>52</v>
      </c>
      <c r="P238" s="27">
        <v>5700</v>
      </c>
      <c r="Q238" s="28">
        <v>4168.01</v>
      </c>
      <c r="R238" s="13" t="s">
        <v>52</v>
      </c>
      <c r="S238" s="28">
        <v>4168.01</v>
      </c>
    </row>
    <row r="239" spans="1:19">
      <c r="A239" s="29" t="s">
        <v>515</v>
      </c>
      <c r="B239" s="26" t="s">
        <v>516</v>
      </c>
      <c r="C239" s="26" t="s">
        <v>91</v>
      </c>
      <c r="D239" s="13" t="s">
        <v>52</v>
      </c>
      <c r="E239" s="27">
        <v>1700</v>
      </c>
      <c r="F239" s="28">
        <v>1239.79</v>
      </c>
      <c r="G239" s="13" t="s">
        <v>52</v>
      </c>
      <c r="H239" s="27">
        <v>31350</v>
      </c>
      <c r="J239" s="28">
        <v>22863.24</v>
      </c>
      <c r="K239" s="13" t="s">
        <v>52</v>
      </c>
      <c r="L239" s="27">
        <v>30800</v>
      </c>
      <c r="M239" s="28">
        <v>22462.13</v>
      </c>
      <c r="N239" s="13" t="s">
        <v>52</v>
      </c>
      <c r="P239" s="27">
        <v>2250</v>
      </c>
      <c r="Q239" s="28">
        <v>1640.9</v>
      </c>
      <c r="R239" s="13" t="s">
        <v>52</v>
      </c>
      <c r="S239" s="28">
        <v>1640.9</v>
      </c>
    </row>
    <row r="240" spans="1:19">
      <c r="A240" s="29" t="s">
        <v>517</v>
      </c>
      <c r="B240" s="26" t="s">
        <v>518</v>
      </c>
      <c r="C240" s="26" t="s">
        <v>91</v>
      </c>
      <c r="D240" s="13" t="s">
        <v>52</v>
      </c>
      <c r="E240" s="27">
        <v>600</v>
      </c>
      <c r="F240" s="28">
        <v>438.07</v>
      </c>
      <c r="G240" s="13" t="s">
        <v>52</v>
      </c>
      <c r="H240" s="27">
        <v>33000</v>
      </c>
      <c r="J240" s="28">
        <v>24093.63</v>
      </c>
      <c r="K240" s="13" t="s">
        <v>52</v>
      </c>
      <c r="L240" s="27">
        <v>30800</v>
      </c>
      <c r="M240" s="28">
        <v>22487.39</v>
      </c>
      <c r="N240" s="13" t="s">
        <v>52</v>
      </c>
      <c r="P240" s="27">
        <v>2800</v>
      </c>
      <c r="Q240" s="28">
        <v>2044.31</v>
      </c>
      <c r="R240" s="13" t="s">
        <v>52</v>
      </c>
      <c r="S240" s="28">
        <v>2044.31</v>
      </c>
    </row>
    <row r="241" spans="1:19">
      <c r="A241" s="29" t="s">
        <v>519</v>
      </c>
      <c r="B241" s="26" t="s">
        <v>520</v>
      </c>
      <c r="C241" s="26" t="s">
        <v>91</v>
      </c>
      <c r="D241" s="13" t="s">
        <v>52</v>
      </c>
      <c r="E241" s="27">
        <v>1200</v>
      </c>
      <c r="F241" s="28">
        <v>1295.12</v>
      </c>
      <c r="G241" s="13" t="s">
        <v>52</v>
      </c>
      <c r="H241" s="27">
        <v>1455</v>
      </c>
      <c r="J241" s="28">
        <v>1570.34</v>
      </c>
      <c r="K241" s="13" t="s">
        <v>52</v>
      </c>
      <c r="L241" s="30" t="s">
        <v>52</v>
      </c>
      <c r="M241" s="30" t="s">
        <v>52</v>
      </c>
      <c r="N241" s="13" t="s">
        <v>52</v>
      </c>
      <c r="P241" s="27">
        <v>2655</v>
      </c>
      <c r="Q241" s="28">
        <v>2865.46</v>
      </c>
      <c r="R241" s="13" t="s">
        <v>52</v>
      </c>
      <c r="S241" s="28">
        <v>2865.46</v>
      </c>
    </row>
    <row r="242" spans="1:19">
      <c r="A242" s="29" t="s">
        <v>521</v>
      </c>
      <c r="B242" s="26" t="s">
        <v>522</v>
      </c>
      <c r="C242" s="26" t="s">
        <v>172</v>
      </c>
      <c r="D242" s="13" t="s">
        <v>52</v>
      </c>
      <c r="E242" s="27">
        <v>0</v>
      </c>
      <c r="F242" s="28">
        <v>0</v>
      </c>
      <c r="G242" s="13" t="s">
        <v>52</v>
      </c>
      <c r="H242" s="27">
        <v>4200</v>
      </c>
      <c r="J242" s="28">
        <v>2673.18</v>
      </c>
      <c r="K242" s="13" t="s">
        <v>52</v>
      </c>
      <c r="L242" s="27">
        <v>4200</v>
      </c>
      <c r="M242" s="28">
        <v>2673.18</v>
      </c>
      <c r="N242" s="13" t="s">
        <v>52</v>
      </c>
      <c r="P242" s="27">
        <v>0</v>
      </c>
      <c r="Q242" s="28">
        <v>0</v>
      </c>
      <c r="R242" s="13" t="s">
        <v>52</v>
      </c>
      <c r="S242" s="28">
        <v>0</v>
      </c>
    </row>
    <row r="243" spans="1:19">
      <c r="A243" s="29" t="s">
        <v>523</v>
      </c>
      <c r="B243" s="26" t="s">
        <v>524</v>
      </c>
      <c r="C243" s="26" t="s">
        <v>91</v>
      </c>
      <c r="D243" s="13" t="s">
        <v>52</v>
      </c>
      <c r="E243" s="27">
        <v>0</v>
      </c>
      <c r="F243" s="28">
        <v>0</v>
      </c>
      <c r="G243" s="13" t="s">
        <v>52</v>
      </c>
      <c r="H243" s="27">
        <v>125300</v>
      </c>
      <c r="J243" s="28">
        <v>81244.57</v>
      </c>
      <c r="K243" s="13" t="s">
        <v>52</v>
      </c>
      <c r="L243" s="27">
        <v>115000</v>
      </c>
      <c r="M243" s="28">
        <v>74591.8</v>
      </c>
      <c r="N243" s="13" t="s">
        <v>52</v>
      </c>
      <c r="P243" s="27">
        <v>10300</v>
      </c>
      <c r="Q243" s="28">
        <v>6652.77</v>
      </c>
      <c r="R243" s="13" t="s">
        <v>52</v>
      </c>
      <c r="S243" s="28">
        <v>6652.77</v>
      </c>
    </row>
    <row r="244" spans="1:19">
      <c r="A244" s="29" t="s">
        <v>525</v>
      </c>
      <c r="B244" s="26" t="s">
        <v>526</v>
      </c>
      <c r="C244" s="26" t="s">
        <v>91</v>
      </c>
      <c r="D244" s="13" t="s">
        <v>52</v>
      </c>
      <c r="E244" s="27">
        <v>0</v>
      </c>
      <c r="F244" s="28">
        <v>0</v>
      </c>
      <c r="G244" s="13" t="s">
        <v>52</v>
      </c>
      <c r="H244" s="27">
        <v>218600</v>
      </c>
      <c r="J244" s="28">
        <v>261966.03</v>
      </c>
      <c r="K244" s="13" t="s">
        <v>52</v>
      </c>
      <c r="L244" s="27">
        <v>110400</v>
      </c>
      <c r="M244" s="28">
        <v>120119.59</v>
      </c>
      <c r="N244" s="13" t="s">
        <v>52</v>
      </c>
      <c r="P244" s="27">
        <v>108200</v>
      </c>
      <c r="Q244" s="28">
        <v>141846.44</v>
      </c>
      <c r="R244" s="13" t="s">
        <v>52</v>
      </c>
      <c r="S244" s="28">
        <v>141846.44</v>
      </c>
    </row>
    <row r="245" spans="1:19">
      <c r="A245" s="29" t="s">
        <v>527</v>
      </c>
      <c r="B245" s="26" t="s">
        <v>528</v>
      </c>
      <c r="C245" s="26" t="s">
        <v>172</v>
      </c>
      <c r="D245" s="13" t="s">
        <v>52</v>
      </c>
      <c r="E245" s="27">
        <v>0</v>
      </c>
      <c r="F245" s="28">
        <v>0</v>
      </c>
      <c r="G245" s="13" t="s">
        <v>52</v>
      </c>
      <c r="H245" s="27">
        <v>84150</v>
      </c>
      <c r="J245" s="28">
        <v>43447.48</v>
      </c>
      <c r="K245" s="13" t="s">
        <v>52</v>
      </c>
      <c r="L245" s="27">
        <v>84150</v>
      </c>
      <c r="M245" s="28">
        <v>43447.48</v>
      </c>
      <c r="N245" s="13" t="s">
        <v>52</v>
      </c>
      <c r="P245" s="27">
        <v>0</v>
      </c>
      <c r="Q245" s="28">
        <v>0</v>
      </c>
      <c r="R245" s="13" t="s">
        <v>52</v>
      </c>
      <c r="S245" s="28">
        <v>0</v>
      </c>
    </row>
    <row r="246" spans="1:19">
      <c r="A246" s="29" t="s">
        <v>529</v>
      </c>
      <c r="B246" s="26" t="s">
        <v>530</v>
      </c>
      <c r="C246" s="26" t="s">
        <v>172</v>
      </c>
      <c r="D246" s="13" t="s">
        <v>52</v>
      </c>
      <c r="E246" s="27">
        <v>0</v>
      </c>
      <c r="F246" s="28">
        <v>0</v>
      </c>
      <c r="G246" s="13" t="s">
        <v>52</v>
      </c>
      <c r="H246" s="27">
        <v>90570</v>
      </c>
      <c r="J246" s="28">
        <v>64530.51</v>
      </c>
      <c r="K246" s="13" t="s">
        <v>52</v>
      </c>
      <c r="L246" s="27">
        <v>90200</v>
      </c>
      <c r="M246" s="28">
        <v>64242.81</v>
      </c>
      <c r="N246" s="13" t="s">
        <v>52</v>
      </c>
      <c r="P246" s="27">
        <v>370</v>
      </c>
      <c r="Q246" s="28">
        <v>287.7</v>
      </c>
      <c r="R246" s="13" t="s">
        <v>52</v>
      </c>
      <c r="S246" s="28">
        <v>287.7</v>
      </c>
    </row>
    <row r="247" ht="23" spans="1:19">
      <c r="A247" s="29" t="s">
        <v>531</v>
      </c>
      <c r="B247" s="26" t="s">
        <v>532</v>
      </c>
      <c r="C247" s="26" t="s">
        <v>172</v>
      </c>
      <c r="D247" s="13" t="s">
        <v>52</v>
      </c>
      <c r="E247" s="27">
        <v>0</v>
      </c>
      <c r="F247" s="28">
        <v>0</v>
      </c>
      <c r="G247" s="13" t="s">
        <v>52</v>
      </c>
      <c r="H247" s="27">
        <v>99250</v>
      </c>
      <c r="J247" s="28">
        <v>70764.03</v>
      </c>
      <c r="K247" s="13" t="s">
        <v>52</v>
      </c>
      <c r="L247" s="27">
        <v>90500</v>
      </c>
      <c r="M247" s="28">
        <v>63911.73</v>
      </c>
      <c r="N247" s="13" t="s">
        <v>52</v>
      </c>
      <c r="P247" s="27">
        <v>8750</v>
      </c>
      <c r="Q247" s="28">
        <v>6852.3</v>
      </c>
      <c r="R247" s="13" t="s">
        <v>52</v>
      </c>
      <c r="S247" s="28">
        <v>6852.3</v>
      </c>
    </row>
    <row r="248" spans="1:19">
      <c r="A248" s="29" t="s">
        <v>533</v>
      </c>
      <c r="B248" s="26" t="s">
        <v>534</v>
      </c>
      <c r="C248" s="26" t="s">
        <v>172</v>
      </c>
      <c r="D248" s="13" t="s">
        <v>52</v>
      </c>
      <c r="E248" s="27">
        <v>0</v>
      </c>
      <c r="F248" s="28">
        <v>0</v>
      </c>
      <c r="G248" s="13" t="s">
        <v>52</v>
      </c>
      <c r="H248" s="27">
        <v>91600</v>
      </c>
      <c r="J248" s="28">
        <v>65733.8</v>
      </c>
      <c r="K248" s="13" t="s">
        <v>52</v>
      </c>
      <c r="L248" s="27">
        <v>90500</v>
      </c>
      <c r="M248" s="28">
        <v>64872.21</v>
      </c>
      <c r="N248" s="13" t="s">
        <v>52</v>
      </c>
      <c r="P248" s="27">
        <v>1100</v>
      </c>
      <c r="Q248" s="28">
        <v>861.59</v>
      </c>
      <c r="R248" s="13" t="s">
        <v>52</v>
      </c>
      <c r="S248" s="28">
        <v>861.59</v>
      </c>
    </row>
    <row r="249" spans="1:19">
      <c r="A249" s="29" t="s">
        <v>535</v>
      </c>
      <c r="B249" s="26" t="s">
        <v>536</v>
      </c>
      <c r="C249" s="26" t="s">
        <v>172</v>
      </c>
      <c r="D249" s="13" t="s">
        <v>52</v>
      </c>
      <c r="E249" s="27">
        <v>0</v>
      </c>
      <c r="F249" s="28">
        <v>0</v>
      </c>
      <c r="G249" s="13" t="s">
        <v>52</v>
      </c>
      <c r="H249" s="27">
        <v>2000</v>
      </c>
      <c r="J249" s="28">
        <v>4450.48</v>
      </c>
      <c r="K249" s="13" t="s">
        <v>52</v>
      </c>
      <c r="L249" s="27">
        <v>2000</v>
      </c>
      <c r="M249" s="28">
        <v>4450.48</v>
      </c>
      <c r="N249" s="13" t="s">
        <v>52</v>
      </c>
      <c r="P249" s="27">
        <v>0</v>
      </c>
      <c r="Q249" s="28">
        <v>0</v>
      </c>
      <c r="R249" s="13" t="s">
        <v>52</v>
      </c>
      <c r="S249" s="28">
        <v>0</v>
      </c>
    </row>
    <row r="250" spans="1:19">
      <c r="A250" s="29" t="s">
        <v>537</v>
      </c>
      <c r="B250" s="26" t="s">
        <v>538</v>
      </c>
      <c r="C250" s="26" t="s">
        <v>91</v>
      </c>
      <c r="D250" s="13" t="s">
        <v>52</v>
      </c>
      <c r="E250" s="27">
        <v>0</v>
      </c>
      <c r="F250" s="28">
        <v>0</v>
      </c>
      <c r="G250" s="13" t="s">
        <v>52</v>
      </c>
      <c r="H250" s="27">
        <v>59100</v>
      </c>
      <c r="J250" s="28">
        <v>38965.22</v>
      </c>
      <c r="K250" s="13" t="s">
        <v>52</v>
      </c>
      <c r="L250" s="27">
        <v>57500</v>
      </c>
      <c r="M250" s="28">
        <v>37910.32</v>
      </c>
      <c r="N250" s="13" t="s">
        <v>52</v>
      </c>
      <c r="P250" s="27">
        <v>1600</v>
      </c>
      <c r="Q250" s="28">
        <v>1054.9</v>
      </c>
      <c r="R250" s="13" t="s">
        <v>52</v>
      </c>
      <c r="S250" s="28">
        <v>1054.9</v>
      </c>
    </row>
    <row r="251" ht="23" spans="1:19">
      <c r="A251" s="29" t="s">
        <v>539</v>
      </c>
      <c r="B251" s="26" t="s">
        <v>540</v>
      </c>
      <c r="C251" s="26" t="s">
        <v>91</v>
      </c>
      <c r="D251" s="13" t="s">
        <v>52</v>
      </c>
      <c r="E251" s="27">
        <v>0</v>
      </c>
      <c r="F251" s="28">
        <v>0</v>
      </c>
      <c r="G251" s="13" t="s">
        <v>52</v>
      </c>
      <c r="H251" s="27">
        <v>37400</v>
      </c>
      <c r="J251" s="28">
        <v>49955.56</v>
      </c>
      <c r="K251" s="13" t="s">
        <v>52</v>
      </c>
      <c r="L251" s="27">
        <v>35200</v>
      </c>
      <c r="M251" s="28">
        <v>47017</v>
      </c>
      <c r="N251" s="13" t="s">
        <v>52</v>
      </c>
      <c r="P251" s="27">
        <v>2200</v>
      </c>
      <c r="Q251" s="28">
        <v>2938.56</v>
      </c>
      <c r="R251" s="13" t="s">
        <v>52</v>
      </c>
      <c r="S251" s="28">
        <v>2938.56</v>
      </c>
    </row>
    <row r="252" spans="1:19">
      <c r="A252" s="29" t="s">
        <v>541</v>
      </c>
      <c r="B252" s="26" t="s">
        <v>542</v>
      </c>
      <c r="C252" s="26" t="s">
        <v>91</v>
      </c>
      <c r="D252" s="13" t="s">
        <v>52</v>
      </c>
      <c r="E252" s="27">
        <v>0</v>
      </c>
      <c r="F252" s="28">
        <v>0</v>
      </c>
      <c r="G252" s="13" t="s">
        <v>52</v>
      </c>
      <c r="H252" s="27">
        <v>665200</v>
      </c>
      <c r="J252" s="28">
        <v>459741.58</v>
      </c>
      <c r="K252" s="13" t="s">
        <v>52</v>
      </c>
      <c r="L252" s="27">
        <v>625200</v>
      </c>
      <c r="M252" s="28">
        <v>432259.18</v>
      </c>
      <c r="N252" s="13" t="s">
        <v>52</v>
      </c>
      <c r="P252" s="27">
        <v>40000</v>
      </c>
      <c r="Q252" s="28">
        <v>27482.4</v>
      </c>
      <c r="R252" s="13" t="s">
        <v>52</v>
      </c>
      <c r="S252" s="28">
        <v>27482.4</v>
      </c>
    </row>
    <row r="253" ht="23" spans="1:19">
      <c r="A253" s="29" t="s">
        <v>543</v>
      </c>
      <c r="B253" s="26" t="s">
        <v>544</v>
      </c>
      <c r="C253" s="26" t="s">
        <v>172</v>
      </c>
      <c r="D253" s="13" t="s">
        <v>52</v>
      </c>
      <c r="E253" s="27">
        <v>0</v>
      </c>
      <c r="F253" s="28">
        <v>0</v>
      </c>
      <c r="G253" s="13" t="s">
        <v>52</v>
      </c>
      <c r="H253" s="27">
        <v>101400</v>
      </c>
      <c r="J253" s="28">
        <v>89367.87</v>
      </c>
      <c r="K253" s="13" t="s">
        <v>52</v>
      </c>
      <c r="L253" s="27">
        <v>101400</v>
      </c>
      <c r="M253" s="28">
        <v>89367.87</v>
      </c>
      <c r="N253" s="13" t="s">
        <v>52</v>
      </c>
      <c r="P253" s="27">
        <v>0</v>
      </c>
      <c r="Q253" s="28">
        <v>0</v>
      </c>
      <c r="R253" s="13" t="s">
        <v>52</v>
      </c>
      <c r="S253" s="28">
        <v>0</v>
      </c>
    </row>
    <row r="254" ht="23" spans="1:19">
      <c r="A254" s="29" t="s">
        <v>545</v>
      </c>
      <c r="B254" s="26" t="s">
        <v>546</v>
      </c>
      <c r="C254" s="26" t="s">
        <v>91</v>
      </c>
      <c r="D254" s="13" t="s">
        <v>52</v>
      </c>
      <c r="E254" s="27">
        <v>0</v>
      </c>
      <c r="F254" s="28">
        <v>0</v>
      </c>
      <c r="G254" s="13" t="s">
        <v>52</v>
      </c>
      <c r="H254" s="27">
        <v>37200</v>
      </c>
      <c r="J254" s="28">
        <v>49999.77</v>
      </c>
      <c r="K254" s="13" t="s">
        <v>52</v>
      </c>
      <c r="L254" s="27">
        <v>35200</v>
      </c>
      <c r="M254" s="28">
        <v>47311.61</v>
      </c>
      <c r="N254" s="13" t="s">
        <v>52</v>
      </c>
      <c r="P254" s="27">
        <v>2000</v>
      </c>
      <c r="Q254" s="28">
        <v>2688.16</v>
      </c>
      <c r="R254" s="13" t="s">
        <v>52</v>
      </c>
      <c r="S254" s="28">
        <v>2688.16</v>
      </c>
    </row>
    <row r="255" ht="23" spans="1:19">
      <c r="A255" s="29" t="s">
        <v>547</v>
      </c>
      <c r="B255" s="26" t="s">
        <v>548</v>
      </c>
      <c r="C255" s="26" t="s">
        <v>91</v>
      </c>
      <c r="D255" s="13" t="s">
        <v>52</v>
      </c>
      <c r="E255" s="27">
        <v>0</v>
      </c>
      <c r="F255" s="28">
        <v>0</v>
      </c>
      <c r="G255" s="13" t="s">
        <v>52</v>
      </c>
      <c r="H255" s="27">
        <v>36500</v>
      </c>
      <c r="J255" s="28">
        <v>48845.4</v>
      </c>
      <c r="K255" s="13" t="s">
        <v>52</v>
      </c>
      <c r="L255" s="27">
        <v>35200</v>
      </c>
      <c r="M255" s="28">
        <v>47105.7</v>
      </c>
      <c r="N255" s="13" t="s">
        <v>52</v>
      </c>
      <c r="P255" s="27">
        <v>1300</v>
      </c>
      <c r="Q255" s="28">
        <v>1739.7</v>
      </c>
      <c r="R255" s="13" t="s">
        <v>52</v>
      </c>
      <c r="S255" s="28">
        <v>1739.7</v>
      </c>
    </row>
    <row r="256" spans="1:19">
      <c r="A256" s="29" t="s">
        <v>549</v>
      </c>
      <c r="B256" s="26" t="s">
        <v>550</v>
      </c>
      <c r="C256" s="26" t="s">
        <v>172</v>
      </c>
      <c r="D256" s="13" t="s">
        <v>52</v>
      </c>
      <c r="E256" s="27">
        <v>0</v>
      </c>
      <c r="F256" s="28">
        <v>0</v>
      </c>
      <c r="G256" s="13" t="s">
        <v>52</v>
      </c>
      <c r="H256" s="27">
        <v>106000</v>
      </c>
      <c r="J256" s="28">
        <v>18156.74</v>
      </c>
      <c r="K256" s="13" t="s">
        <v>52</v>
      </c>
      <c r="L256" s="27">
        <v>106000</v>
      </c>
      <c r="M256" s="28">
        <v>18156.74</v>
      </c>
      <c r="N256" s="13" t="s">
        <v>52</v>
      </c>
      <c r="P256" s="27">
        <v>0</v>
      </c>
      <c r="Q256" s="28">
        <v>0</v>
      </c>
      <c r="R256" s="13" t="s">
        <v>52</v>
      </c>
      <c r="S256" s="28">
        <v>0</v>
      </c>
    </row>
    <row r="257" spans="1:19">
      <c r="A257" s="29" t="s">
        <v>551</v>
      </c>
      <c r="B257" s="26" t="s">
        <v>552</v>
      </c>
      <c r="C257" s="26" t="s">
        <v>91</v>
      </c>
      <c r="D257" s="13" t="s">
        <v>52</v>
      </c>
      <c r="E257" s="27">
        <v>0</v>
      </c>
      <c r="F257" s="28">
        <v>0</v>
      </c>
      <c r="G257" s="13" t="s">
        <v>52</v>
      </c>
      <c r="H257" s="27">
        <v>38700</v>
      </c>
      <c r="J257" s="28">
        <v>44716.3</v>
      </c>
      <c r="K257" s="13" t="s">
        <v>52</v>
      </c>
      <c r="L257" s="27">
        <v>36800</v>
      </c>
      <c r="M257" s="28">
        <v>42520.93</v>
      </c>
      <c r="N257" s="13" t="s">
        <v>52</v>
      </c>
      <c r="P257" s="27">
        <v>1900</v>
      </c>
      <c r="Q257" s="28">
        <v>2195.37</v>
      </c>
      <c r="R257" s="13" t="s">
        <v>52</v>
      </c>
      <c r="S257" s="28">
        <v>2195.37</v>
      </c>
    </row>
    <row r="258" spans="1:19">
      <c r="A258" s="29" t="s">
        <v>553</v>
      </c>
      <c r="B258" s="26" t="s">
        <v>554</v>
      </c>
      <c r="C258" s="26" t="s">
        <v>172</v>
      </c>
      <c r="D258" s="13" t="s">
        <v>52</v>
      </c>
      <c r="E258" s="27">
        <v>0</v>
      </c>
      <c r="F258" s="28">
        <v>0</v>
      </c>
      <c r="G258" s="13" t="s">
        <v>52</v>
      </c>
      <c r="H258" s="27">
        <v>3300</v>
      </c>
      <c r="J258" s="28">
        <v>3590.07</v>
      </c>
      <c r="K258" s="13" t="s">
        <v>52</v>
      </c>
      <c r="L258" s="27">
        <v>3300</v>
      </c>
      <c r="M258" s="28">
        <v>3590.07</v>
      </c>
      <c r="N258" s="13" t="s">
        <v>52</v>
      </c>
      <c r="P258" s="27">
        <v>0</v>
      </c>
      <c r="Q258" s="28">
        <v>0</v>
      </c>
      <c r="R258" s="13" t="s">
        <v>52</v>
      </c>
      <c r="S258" s="28">
        <v>0</v>
      </c>
    </row>
    <row r="259" spans="1:19">
      <c r="A259" s="29" t="s">
        <v>555</v>
      </c>
      <c r="B259" s="26" t="s">
        <v>556</v>
      </c>
      <c r="C259" s="26" t="s">
        <v>172</v>
      </c>
      <c r="D259" s="13" t="s">
        <v>52</v>
      </c>
      <c r="E259" s="27">
        <v>0</v>
      </c>
      <c r="F259" s="28">
        <v>0</v>
      </c>
      <c r="G259" s="13" t="s">
        <v>52</v>
      </c>
      <c r="H259" s="27">
        <v>204600</v>
      </c>
      <c r="J259" s="28">
        <v>36259.21</v>
      </c>
      <c r="K259" s="13" t="s">
        <v>52</v>
      </c>
      <c r="L259" s="27">
        <v>204600</v>
      </c>
      <c r="M259" s="28">
        <v>36259.21</v>
      </c>
      <c r="N259" s="13" t="s">
        <v>52</v>
      </c>
      <c r="P259" s="27">
        <v>0</v>
      </c>
      <c r="Q259" s="28">
        <v>0</v>
      </c>
      <c r="R259" s="13" t="s">
        <v>52</v>
      </c>
      <c r="S259" s="28">
        <v>0</v>
      </c>
    </row>
    <row r="260" spans="1:19">
      <c r="A260" s="29" t="s">
        <v>557</v>
      </c>
      <c r="B260" s="26" t="s">
        <v>558</v>
      </c>
      <c r="C260" s="26" t="s">
        <v>172</v>
      </c>
      <c r="D260" s="13" t="s">
        <v>52</v>
      </c>
      <c r="E260" s="27">
        <v>0</v>
      </c>
      <c r="F260" s="28">
        <v>0</v>
      </c>
      <c r="G260" s="13" t="s">
        <v>52</v>
      </c>
      <c r="H260" s="27">
        <v>499000</v>
      </c>
      <c r="J260" s="28">
        <v>355996.58</v>
      </c>
      <c r="K260" s="13" t="s">
        <v>52</v>
      </c>
      <c r="L260" s="27">
        <v>495000</v>
      </c>
      <c r="M260" s="28">
        <v>353142.9</v>
      </c>
      <c r="N260" s="13" t="s">
        <v>52</v>
      </c>
      <c r="P260" s="27">
        <v>4000</v>
      </c>
      <c r="Q260" s="28">
        <v>2853.68</v>
      </c>
      <c r="R260" s="13" t="s">
        <v>52</v>
      </c>
      <c r="S260" s="28">
        <v>2853.68</v>
      </c>
    </row>
    <row r="261" spans="1:19">
      <c r="A261" s="29" t="s">
        <v>559</v>
      </c>
      <c r="B261" s="26" t="s">
        <v>560</v>
      </c>
      <c r="C261" s="26" t="s">
        <v>172</v>
      </c>
      <c r="D261" s="13" t="s">
        <v>52</v>
      </c>
      <c r="E261" s="27">
        <v>0</v>
      </c>
      <c r="F261" s="28">
        <v>0</v>
      </c>
      <c r="G261" s="13" t="s">
        <v>52</v>
      </c>
      <c r="H261" s="27">
        <v>6000</v>
      </c>
      <c r="J261" s="28">
        <v>13294.02</v>
      </c>
      <c r="K261" s="13" t="s">
        <v>52</v>
      </c>
      <c r="L261" s="27">
        <v>6000</v>
      </c>
      <c r="M261" s="28">
        <v>13294.02</v>
      </c>
      <c r="N261" s="13" t="s">
        <v>52</v>
      </c>
      <c r="P261" s="27">
        <v>0</v>
      </c>
      <c r="Q261" s="28">
        <v>0</v>
      </c>
      <c r="R261" s="13" t="s">
        <v>52</v>
      </c>
      <c r="S261" s="28">
        <v>0</v>
      </c>
    </row>
    <row r="262" spans="1:19">
      <c r="A262" s="29" t="s">
        <v>561</v>
      </c>
      <c r="B262" s="26" t="s">
        <v>562</v>
      </c>
      <c r="C262" s="26" t="s">
        <v>172</v>
      </c>
      <c r="D262" s="13" t="s">
        <v>52</v>
      </c>
      <c r="E262" s="27">
        <v>0</v>
      </c>
      <c r="F262" s="28">
        <v>0</v>
      </c>
      <c r="G262" s="13" t="s">
        <v>52</v>
      </c>
      <c r="H262" s="27">
        <v>202000</v>
      </c>
      <c r="J262" s="28">
        <v>67977.04</v>
      </c>
      <c r="K262" s="13" t="s">
        <v>52</v>
      </c>
      <c r="L262" s="27">
        <v>200000</v>
      </c>
      <c r="M262" s="28">
        <v>67304</v>
      </c>
      <c r="N262" s="13" t="s">
        <v>52</v>
      </c>
      <c r="P262" s="27">
        <v>2000</v>
      </c>
      <c r="Q262" s="28">
        <v>673.04</v>
      </c>
      <c r="R262" s="13" t="s">
        <v>52</v>
      </c>
      <c r="S262" s="28">
        <v>673.04</v>
      </c>
    </row>
    <row r="263" spans="1:19">
      <c r="A263" s="29" t="s">
        <v>563</v>
      </c>
      <c r="B263" s="26" t="s">
        <v>564</v>
      </c>
      <c r="C263" s="26" t="s">
        <v>172</v>
      </c>
      <c r="D263" s="13" t="s">
        <v>52</v>
      </c>
      <c r="E263" s="27">
        <v>0</v>
      </c>
      <c r="F263" s="28">
        <v>0</v>
      </c>
      <c r="G263" s="13" t="s">
        <v>52</v>
      </c>
      <c r="H263" s="27">
        <v>111600</v>
      </c>
      <c r="J263" s="28">
        <v>37555.63</v>
      </c>
      <c r="K263" s="13" t="s">
        <v>52</v>
      </c>
      <c r="L263" s="27">
        <v>100000</v>
      </c>
      <c r="M263" s="28">
        <v>33652</v>
      </c>
      <c r="N263" s="13" t="s">
        <v>52</v>
      </c>
      <c r="P263" s="27">
        <v>11600</v>
      </c>
      <c r="Q263" s="28">
        <v>3903.63</v>
      </c>
      <c r="R263" s="13" t="s">
        <v>52</v>
      </c>
      <c r="S263" s="28">
        <v>3903.63</v>
      </c>
    </row>
    <row r="264" spans="1:19">
      <c r="A264" s="29" t="s">
        <v>565</v>
      </c>
      <c r="B264" s="26" t="s">
        <v>566</v>
      </c>
      <c r="C264" s="26" t="s">
        <v>172</v>
      </c>
      <c r="D264" s="13" t="s">
        <v>52</v>
      </c>
      <c r="E264" s="27">
        <v>0</v>
      </c>
      <c r="F264" s="28">
        <v>0</v>
      </c>
      <c r="G264" s="13" t="s">
        <v>52</v>
      </c>
      <c r="H264" s="27">
        <v>204000</v>
      </c>
      <c r="J264" s="28">
        <v>68650.08</v>
      </c>
      <c r="K264" s="13" t="s">
        <v>52</v>
      </c>
      <c r="L264" s="27">
        <v>200000</v>
      </c>
      <c r="M264" s="28">
        <v>67304</v>
      </c>
      <c r="N264" s="13" t="s">
        <v>52</v>
      </c>
      <c r="P264" s="27">
        <v>4000</v>
      </c>
      <c r="Q264" s="28">
        <v>1346.08</v>
      </c>
      <c r="R264" s="13" t="s">
        <v>52</v>
      </c>
      <c r="S264" s="28">
        <v>1346.08</v>
      </c>
    </row>
    <row r="265" ht="7" customHeight="1" spans="1:19">
      <c r="A265" s="33" t="s">
        <v>52</v>
      </c>
      <c r="B265" s="20" t="s">
        <v>52</v>
      </c>
      <c r="C265" s="20" t="s">
        <v>52</v>
      </c>
      <c r="D265" s="20" t="s">
        <v>52</v>
      </c>
      <c r="E265" s="20" t="s">
        <v>52</v>
      </c>
      <c r="F265" s="20" t="s">
        <v>52</v>
      </c>
      <c r="G265" s="20" t="s">
        <v>52</v>
      </c>
      <c r="H265" s="20" t="s">
        <v>52</v>
      </c>
      <c r="I265" s="20" t="s">
        <v>52</v>
      </c>
      <c r="J265" s="20" t="s">
        <v>52</v>
      </c>
      <c r="K265" s="20" t="s">
        <v>52</v>
      </c>
      <c r="L265" s="20" t="s">
        <v>52</v>
      </c>
      <c r="M265" s="20" t="s">
        <v>52</v>
      </c>
      <c r="N265" s="20" t="s">
        <v>52</v>
      </c>
      <c r="O265" s="20" t="s">
        <v>52</v>
      </c>
      <c r="P265" s="20" t="s">
        <v>52</v>
      </c>
      <c r="Q265" s="20" t="s">
        <v>52</v>
      </c>
      <c r="R265" s="20" t="s">
        <v>52</v>
      </c>
      <c r="S265" s="20" t="s">
        <v>52</v>
      </c>
    </row>
    <row r="266" ht="7" customHeight="1" spans="1:1">
      <c r="A266" s="34" t="s">
        <v>52</v>
      </c>
    </row>
    <row r="267" spans="1:19">
      <c r="A267" s="13" t="s">
        <v>55</v>
      </c>
      <c r="C267" s="13" t="s">
        <v>52</v>
      </c>
      <c r="D267" s="13" t="s">
        <v>52</v>
      </c>
      <c r="E267" s="13" t="s">
        <v>52</v>
      </c>
      <c r="F267" s="35">
        <v>1740985.17</v>
      </c>
      <c r="G267" s="13" t="s">
        <v>52</v>
      </c>
      <c r="H267" s="13" t="s">
        <v>52</v>
      </c>
      <c r="J267" s="35">
        <v>98961743.4</v>
      </c>
      <c r="K267" s="13" t="s">
        <v>52</v>
      </c>
      <c r="L267" s="13" t="s">
        <v>52</v>
      </c>
      <c r="M267" s="35">
        <v>97186592.15</v>
      </c>
      <c r="N267" s="13" t="s">
        <v>52</v>
      </c>
      <c r="P267" s="13" t="s">
        <v>52</v>
      </c>
      <c r="Q267" s="35">
        <v>3516136.42</v>
      </c>
      <c r="R267" s="13" t="s">
        <v>52</v>
      </c>
      <c r="S267" s="35">
        <v>3516136.42</v>
      </c>
    </row>
    <row r="268" ht="7" customHeight="1" spans="1:19">
      <c r="A268" s="33" t="s">
        <v>52</v>
      </c>
      <c r="B268" s="20" t="s">
        <v>52</v>
      </c>
      <c r="C268" s="20" t="s">
        <v>52</v>
      </c>
      <c r="D268" s="20" t="s">
        <v>52</v>
      </c>
      <c r="E268" s="20" t="s">
        <v>52</v>
      </c>
      <c r="F268" s="20" t="s">
        <v>52</v>
      </c>
      <c r="G268" s="20" t="s">
        <v>52</v>
      </c>
      <c r="H268" s="20" t="s">
        <v>52</v>
      </c>
      <c r="I268" s="20" t="s">
        <v>52</v>
      </c>
      <c r="J268" s="20" t="s">
        <v>52</v>
      </c>
      <c r="K268" s="20" t="s">
        <v>52</v>
      </c>
      <c r="L268" s="20" t="s">
        <v>52</v>
      </c>
      <c r="M268" s="20" t="s">
        <v>52</v>
      </c>
      <c r="N268" s="20" t="s">
        <v>52</v>
      </c>
      <c r="O268" s="20" t="s">
        <v>52</v>
      </c>
      <c r="P268" s="20" t="s">
        <v>52</v>
      </c>
      <c r="Q268" s="20" t="s">
        <v>52</v>
      </c>
      <c r="R268" s="20" t="s">
        <v>52</v>
      </c>
      <c r="S268" s="20" t="s">
        <v>52</v>
      </c>
    </row>
    <row r="269" ht="7" customHeight="1" spans="1:1">
      <c r="A269" s="34" t="s">
        <v>52</v>
      </c>
    </row>
    <row r="270" ht="14" customHeight="1" spans="1:1">
      <c r="A270" s="34" t="s">
        <v>52</v>
      </c>
    </row>
    <row r="271" spans="1:19">
      <c r="A271" s="22" t="s">
        <v>567</v>
      </c>
      <c r="C271" s="13" t="s">
        <v>52</v>
      </c>
      <c r="D271" s="13" t="s">
        <v>52</v>
      </c>
      <c r="E271" s="23" t="s">
        <v>52</v>
      </c>
      <c r="F271" s="23" t="s">
        <v>52</v>
      </c>
      <c r="G271" s="13" t="s">
        <v>52</v>
      </c>
      <c r="H271" s="23" t="s">
        <v>52</v>
      </c>
      <c r="J271" s="23" t="s">
        <v>52</v>
      </c>
      <c r="K271" s="13" t="s">
        <v>52</v>
      </c>
      <c r="L271" s="23" t="s">
        <v>52</v>
      </c>
      <c r="M271" s="23" t="s">
        <v>52</v>
      </c>
      <c r="N271" s="13" t="s">
        <v>52</v>
      </c>
      <c r="P271" s="23" t="s">
        <v>52</v>
      </c>
      <c r="Q271" s="23" t="s">
        <v>52</v>
      </c>
      <c r="R271" s="13" t="s">
        <v>52</v>
      </c>
      <c r="S271" s="23" t="s">
        <v>52</v>
      </c>
    </row>
    <row r="272" ht="7" customHeight="1" spans="1:1">
      <c r="A272" s="24" t="s">
        <v>52</v>
      </c>
    </row>
    <row r="273" ht="23" spans="1:19">
      <c r="A273" s="29" t="s">
        <v>73</v>
      </c>
      <c r="B273" s="26" t="s">
        <v>568</v>
      </c>
      <c r="C273" s="26" t="s">
        <v>504</v>
      </c>
      <c r="D273" s="13" t="s">
        <v>52</v>
      </c>
      <c r="E273" s="27">
        <v>11497</v>
      </c>
      <c r="F273" s="28">
        <v>29892.2</v>
      </c>
      <c r="G273" s="13" t="s">
        <v>52</v>
      </c>
      <c r="H273" s="27">
        <v>57689</v>
      </c>
      <c r="J273" s="28">
        <v>149991.4</v>
      </c>
      <c r="K273" s="13" t="s">
        <v>52</v>
      </c>
      <c r="L273" s="27">
        <v>64073</v>
      </c>
      <c r="M273" s="28">
        <v>166589.8</v>
      </c>
      <c r="N273" s="13" t="s">
        <v>52</v>
      </c>
      <c r="P273" s="27">
        <v>5113</v>
      </c>
      <c r="Q273" s="28">
        <v>13293.8</v>
      </c>
      <c r="R273" s="13" t="s">
        <v>52</v>
      </c>
      <c r="S273" s="28">
        <v>13293.8</v>
      </c>
    </row>
    <row r="274" ht="23" spans="1:19">
      <c r="A274" s="29" t="s">
        <v>569</v>
      </c>
      <c r="B274" s="26" t="s">
        <v>570</v>
      </c>
      <c r="C274" s="26" t="s">
        <v>504</v>
      </c>
      <c r="D274" s="13" t="s">
        <v>52</v>
      </c>
      <c r="E274" s="27">
        <v>10287</v>
      </c>
      <c r="F274" s="28">
        <v>26746.2</v>
      </c>
      <c r="G274" s="13" t="s">
        <v>52</v>
      </c>
      <c r="H274" s="27">
        <v>41037</v>
      </c>
      <c r="J274" s="28">
        <v>106696.2</v>
      </c>
      <c r="K274" s="13" t="s">
        <v>52</v>
      </c>
      <c r="L274" s="27">
        <v>38947</v>
      </c>
      <c r="M274" s="28">
        <v>101262.2</v>
      </c>
      <c r="N274" s="13" t="s">
        <v>52</v>
      </c>
      <c r="P274" s="27">
        <v>12377</v>
      </c>
      <c r="Q274" s="28">
        <v>32180.2</v>
      </c>
      <c r="R274" s="13" t="s">
        <v>52</v>
      </c>
      <c r="S274" s="28">
        <v>32180.2</v>
      </c>
    </row>
    <row r="275" ht="23" spans="1:19">
      <c r="A275" s="29" t="s">
        <v>571</v>
      </c>
      <c r="B275" s="26" t="s">
        <v>572</v>
      </c>
      <c r="C275" s="26" t="s">
        <v>504</v>
      </c>
      <c r="D275" s="13" t="s">
        <v>52</v>
      </c>
      <c r="E275" s="27">
        <v>15989</v>
      </c>
      <c r="F275" s="28">
        <v>41571.4</v>
      </c>
      <c r="G275" s="13" t="s">
        <v>52</v>
      </c>
      <c r="H275" s="27">
        <v>145530</v>
      </c>
      <c r="J275" s="28">
        <v>378378</v>
      </c>
      <c r="K275" s="13" t="s">
        <v>52</v>
      </c>
      <c r="L275" s="27">
        <v>149166</v>
      </c>
      <c r="M275" s="28">
        <v>387831.6</v>
      </c>
      <c r="N275" s="13" t="s">
        <v>52</v>
      </c>
      <c r="P275" s="27">
        <v>12353</v>
      </c>
      <c r="Q275" s="28">
        <v>32117.8</v>
      </c>
      <c r="R275" s="13" t="s">
        <v>52</v>
      </c>
      <c r="S275" s="28">
        <v>32117.8</v>
      </c>
    </row>
    <row r="276" ht="23" spans="1:19">
      <c r="A276" s="29" t="s">
        <v>70</v>
      </c>
      <c r="B276" s="26" t="s">
        <v>573</v>
      </c>
      <c r="C276" s="26" t="s">
        <v>504</v>
      </c>
      <c r="D276" s="13" t="s">
        <v>52</v>
      </c>
      <c r="E276" s="27">
        <v>6512</v>
      </c>
      <c r="F276" s="28">
        <v>16931.2</v>
      </c>
      <c r="G276" s="13" t="s">
        <v>52</v>
      </c>
      <c r="H276" s="27">
        <v>32280</v>
      </c>
      <c r="J276" s="28">
        <v>83928</v>
      </c>
      <c r="K276" s="13" t="s">
        <v>52</v>
      </c>
      <c r="L276" s="27">
        <v>30943</v>
      </c>
      <c r="M276" s="28">
        <v>80451.8</v>
      </c>
      <c r="N276" s="13" t="s">
        <v>52</v>
      </c>
      <c r="P276" s="27">
        <v>7849</v>
      </c>
      <c r="Q276" s="28">
        <v>20407.4</v>
      </c>
      <c r="R276" s="13" t="s">
        <v>52</v>
      </c>
      <c r="S276" s="28">
        <v>20407.4</v>
      </c>
    </row>
    <row r="277" ht="23" spans="1:19">
      <c r="A277" s="29" t="s">
        <v>574</v>
      </c>
      <c r="B277" s="26" t="s">
        <v>575</v>
      </c>
      <c r="C277" s="26" t="s">
        <v>504</v>
      </c>
      <c r="D277" s="13" t="s">
        <v>52</v>
      </c>
      <c r="E277" s="27">
        <v>30914</v>
      </c>
      <c r="F277" s="28">
        <v>74193.6</v>
      </c>
      <c r="G277" s="13" t="s">
        <v>52</v>
      </c>
      <c r="H277" s="27">
        <v>994846</v>
      </c>
      <c r="J277" s="28">
        <v>2387630.4</v>
      </c>
      <c r="K277" s="13" t="s">
        <v>52</v>
      </c>
      <c r="L277" s="27">
        <v>1003696</v>
      </c>
      <c r="M277" s="28">
        <v>2408870.4</v>
      </c>
      <c r="N277" s="13" t="s">
        <v>52</v>
      </c>
      <c r="P277" s="27">
        <v>22064</v>
      </c>
      <c r="Q277" s="28">
        <v>52953.6</v>
      </c>
      <c r="R277" s="13" t="s">
        <v>52</v>
      </c>
      <c r="S277" s="28">
        <v>52953.6</v>
      </c>
    </row>
    <row r="278" ht="23" spans="1:19">
      <c r="A278" s="29" t="s">
        <v>576</v>
      </c>
      <c r="B278" s="26" t="s">
        <v>577</v>
      </c>
      <c r="C278" s="26" t="s">
        <v>504</v>
      </c>
      <c r="D278" s="13" t="s">
        <v>52</v>
      </c>
      <c r="E278" s="27">
        <v>7958</v>
      </c>
      <c r="F278" s="28">
        <v>23874</v>
      </c>
      <c r="G278" s="13" t="s">
        <v>52</v>
      </c>
      <c r="H278" s="27">
        <v>115832</v>
      </c>
      <c r="J278" s="28">
        <v>347496</v>
      </c>
      <c r="K278" s="13" t="s">
        <v>52</v>
      </c>
      <c r="L278" s="27">
        <v>112424</v>
      </c>
      <c r="M278" s="28">
        <v>337272</v>
      </c>
      <c r="N278" s="13" t="s">
        <v>52</v>
      </c>
      <c r="P278" s="27">
        <v>11366</v>
      </c>
      <c r="Q278" s="28">
        <v>34098</v>
      </c>
      <c r="R278" s="13" t="s">
        <v>52</v>
      </c>
      <c r="S278" s="28">
        <v>34098</v>
      </c>
    </row>
    <row r="279" ht="23" spans="1:19">
      <c r="A279" s="29" t="s">
        <v>578</v>
      </c>
      <c r="B279" s="26" t="s">
        <v>579</v>
      </c>
      <c r="C279" s="26" t="s">
        <v>504</v>
      </c>
      <c r="D279" s="13" t="s">
        <v>52</v>
      </c>
      <c r="E279" s="27">
        <v>4619</v>
      </c>
      <c r="F279" s="28">
        <v>24850.22</v>
      </c>
      <c r="G279" s="13" t="s">
        <v>52</v>
      </c>
      <c r="H279" s="27">
        <v>35075</v>
      </c>
      <c r="J279" s="28">
        <v>188703.5</v>
      </c>
      <c r="K279" s="13" t="s">
        <v>52</v>
      </c>
      <c r="L279" s="27">
        <v>25956</v>
      </c>
      <c r="M279" s="28">
        <v>139643.28</v>
      </c>
      <c r="N279" s="13" t="s">
        <v>52</v>
      </c>
      <c r="P279" s="27">
        <v>13738</v>
      </c>
      <c r="Q279" s="28">
        <v>73910.44</v>
      </c>
      <c r="R279" s="13" t="s">
        <v>52</v>
      </c>
      <c r="S279" s="28">
        <v>73910.44</v>
      </c>
    </row>
    <row r="280" ht="23" spans="1:19">
      <c r="A280" s="29" t="s">
        <v>580</v>
      </c>
      <c r="B280" s="26" t="s">
        <v>581</v>
      </c>
      <c r="C280" s="26" t="s">
        <v>504</v>
      </c>
      <c r="D280" s="13" t="s">
        <v>52</v>
      </c>
      <c r="E280" s="27">
        <v>0</v>
      </c>
      <c r="F280" s="28">
        <v>0</v>
      </c>
      <c r="G280" s="13" t="s">
        <v>52</v>
      </c>
      <c r="H280" s="27">
        <v>5262</v>
      </c>
      <c r="J280" s="28">
        <v>15259.8</v>
      </c>
      <c r="K280" s="13" t="s">
        <v>52</v>
      </c>
      <c r="L280" s="27">
        <v>2039</v>
      </c>
      <c r="M280" s="28">
        <v>5913.1</v>
      </c>
      <c r="N280" s="13" t="s">
        <v>52</v>
      </c>
      <c r="P280" s="27">
        <v>3223</v>
      </c>
      <c r="Q280" s="28">
        <v>9346.7</v>
      </c>
      <c r="R280" s="13" t="s">
        <v>52</v>
      </c>
      <c r="S280" s="28">
        <v>9346.7</v>
      </c>
    </row>
    <row r="281" ht="23" spans="1:19">
      <c r="A281" s="29" t="s">
        <v>582</v>
      </c>
      <c r="B281" s="26" t="s">
        <v>583</v>
      </c>
      <c r="C281" s="26" t="s">
        <v>504</v>
      </c>
      <c r="D281" s="13" t="s">
        <v>52</v>
      </c>
      <c r="E281" s="27">
        <v>2659</v>
      </c>
      <c r="F281" s="28">
        <v>6807.04</v>
      </c>
      <c r="G281" s="13" t="s">
        <v>52</v>
      </c>
      <c r="H281" s="27">
        <v>80</v>
      </c>
      <c r="J281" s="28">
        <v>204.8</v>
      </c>
      <c r="K281" s="13" t="s">
        <v>52</v>
      </c>
      <c r="L281" s="27">
        <v>2739</v>
      </c>
      <c r="M281" s="28">
        <v>7011.84</v>
      </c>
      <c r="N281" s="13" t="s">
        <v>52</v>
      </c>
      <c r="P281" s="27">
        <v>0</v>
      </c>
      <c r="Q281" s="28">
        <v>0</v>
      </c>
      <c r="R281" s="13" t="s">
        <v>52</v>
      </c>
      <c r="S281" s="28">
        <v>0</v>
      </c>
    </row>
    <row r="282" ht="23" spans="1:19">
      <c r="A282" s="29" t="s">
        <v>584</v>
      </c>
      <c r="B282" s="26" t="s">
        <v>585</v>
      </c>
      <c r="C282" s="26" t="s">
        <v>504</v>
      </c>
      <c r="D282" s="13" t="s">
        <v>52</v>
      </c>
      <c r="E282" s="27">
        <v>9137</v>
      </c>
      <c r="F282" s="28">
        <v>23756.2</v>
      </c>
      <c r="G282" s="13" t="s">
        <v>52</v>
      </c>
      <c r="H282" s="27">
        <v>35267</v>
      </c>
      <c r="J282" s="28">
        <v>91694.2</v>
      </c>
      <c r="K282" s="13" t="s">
        <v>52</v>
      </c>
      <c r="L282" s="27">
        <v>38262</v>
      </c>
      <c r="M282" s="28">
        <v>99481.2</v>
      </c>
      <c r="N282" s="13" t="s">
        <v>52</v>
      </c>
      <c r="P282" s="27">
        <v>6142</v>
      </c>
      <c r="Q282" s="28">
        <v>15969.2</v>
      </c>
      <c r="R282" s="13" t="s">
        <v>52</v>
      </c>
      <c r="S282" s="28">
        <v>15969.2</v>
      </c>
    </row>
    <row r="283" ht="23" spans="1:19">
      <c r="A283" s="29" t="s">
        <v>586</v>
      </c>
      <c r="B283" s="26" t="s">
        <v>587</v>
      </c>
      <c r="C283" s="26" t="s">
        <v>504</v>
      </c>
      <c r="D283" s="13" t="s">
        <v>52</v>
      </c>
      <c r="E283" s="27">
        <v>1178</v>
      </c>
      <c r="F283" s="28">
        <v>3051.02</v>
      </c>
      <c r="G283" s="13" t="s">
        <v>52</v>
      </c>
      <c r="H283" s="27">
        <v>50194</v>
      </c>
      <c r="J283" s="28">
        <v>130002.46</v>
      </c>
      <c r="K283" s="13" t="s">
        <v>52</v>
      </c>
      <c r="L283" s="27">
        <v>45302</v>
      </c>
      <c r="M283" s="28">
        <v>117332.18</v>
      </c>
      <c r="N283" s="13" t="s">
        <v>52</v>
      </c>
      <c r="P283" s="27">
        <v>6070</v>
      </c>
      <c r="Q283" s="28">
        <v>15721.3</v>
      </c>
      <c r="R283" s="13" t="s">
        <v>52</v>
      </c>
      <c r="S283" s="28">
        <v>15721.3</v>
      </c>
    </row>
    <row r="284" ht="23" spans="1:19">
      <c r="A284" s="29" t="s">
        <v>588</v>
      </c>
      <c r="B284" s="26" t="s">
        <v>589</v>
      </c>
      <c r="C284" s="26" t="s">
        <v>504</v>
      </c>
      <c r="D284" s="13" t="s">
        <v>52</v>
      </c>
      <c r="E284" s="27">
        <v>10911</v>
      </c>
      <c r="F284" s="28">
        <v>39934.26</v>
      </c>
      <c r="G284" s="13" t="s">
        <v>52</v>
      </c>
      <c r="H284" s="27">
        <v>45926</v>
      </c>
      <c r="J284" s="28">
        <v>168089.16</v>
      </c>
      <c r="K284" s="13" t="s">
        <v>52</v>
      </c>
      <c r="L284" s="27">
        <v>50949</v>
      </c>
      <c r="M284" s="28">
        <v>186473.34</v>
      </c>
      <c r="N284" s="13" t="s">
        <v>52</v>
      </c>
      <c r="P284" s="27">
        <v>5888</v>
      </c>
      <c r="Q284" s="28">
        <v>21550.08</v>
      </c>
      <c r="R284" s="13" t="s">
        <v>52</v>
      </c>
      <c r="S284" s="28">
        <v>21550.08</v>
      </c>
    </row>
    <row r="285" ht="23" spans="1:19">
      <c r="A285" s="29" t="s">
        <v>590</v>
      </c>
      <c r="B285" s="26" t="s">
        <v>591</v>
      </c>
      <c r="C285" s="26" t="s">
        <v>504</v>
      </c>
      <c r="D285" s="13" t="s">
        <v>52</v>
      </c>
      <c r="E285" s="27">
        <v>5000</v>
      </c>
      <c r="F285" s="28">
        <v>15050</v>
      </c>
      <c r="G285" s="13" t="s">
        <v>52</v>
      </c>
      <c r="H285" s="30" t="s">
        <v>52</v>
      </c>
      <c r="J285" s="30" t="s">
        <v>52</v>
      </c>
      <c r="K285" s="13" t="s">
        <v>52</v>
      </c>
      <c r="L285" s="30" t="s">
        <v>52</v>
      </c>
      <c r="M285" s="30" t="s">
        <v>52</v>
      </c>
      <c r="N285" s="13" t="s">
        <v>52</v>
      </c>
      <c r="P285" s="27">
        <v>5000</v>
      </c>
      <c r="Q285" s="28">
        <v>15050</v>
      </c>
      <c r="R285" s="13" t="s">
        <v>52</v>
      </c>
      <c r="S285" s="28">
        <v>15050</v>
      </c>
    </row>
    <row r="286" ht="23" spans="1:19">
      <c r="A286" s="29" t="s">
        <v>592</v>
      </c>
      <c r="B286" s="26" t="s">
        <v>593</v>
      </c>
      <c r="C286" s="26" t="s">
        <v>504</v>
      </c>
      <c r="D286" s="13" t="s">
        <v>52</v>
      </c>
      <c r="E286" s="27">
        <v>3934</v>
      </c>
      <c r="F286" s="28">
        <v>28364.14</v>
      </c>
      <c r="G286" s="13" t="s">
        <v>52</v>
      </c>
      <c r="H286" s="27">
        <v>7</v>
      </c>
      <c r="J286" s="28">
        <v>50.47</v>
      </c>
      <c r="K286" s="13" t="s">
        <v>52</v>
      </c>
      <c r="L286" s="27">
        <v>125</v>
      </c>
      <c r="M286" s="28">
        <v>901.25</v>
      </c>
      <c r="N286" s="13" t="s">
        <v>52</v>
      </c>
      <c r="P286" s="27">
        <v>3816</v>
      </c>
      <c r="Q286" s="28">
        <v>27513.36</v>
      </c>
      <c r="R286" s="13" t="s">
        <v>52</v>
      </c>
      <c r="S286" s="28">
        <v>27513.36</v>
      </c>
    </row>
    <row r="287" ht="23" spans="1:19">
      <c r="A287" s="29" t="s">
        <v>594</v>
      </c>
      <c r="B287" s="26" t="s">
        <v>595</v>
      </c>
      <c r="C287" s="26" t="s">
        <v>504</v>
      </c>
      <c r="D287" s="13" t="s">
        <v>52</v>
      </c>
      <c r="E287" s="27">
        <v>3266</v>
      </c>
      <c r="F287" s="28">
        <v>23547.86</v>
      </c>
      <c r="G287" s="13" t="s">
        <v>52</v>
      </c>
      <c r="H287" s="27">
        <v>5487</v>
      </c>
      <c r="J287" s="28">
        <v>39561.27</v>
      </c>
      <c r="K287" s="13" t="s">
        <v>52</v>
      </c>
      <c r="L287" s="27">
        <v>3355</v>
      </c>
      <c r="M287" s="28">
        <v>24189.55</v>
      </c>
      <c r="N287" s="13" t="s">
        <v>52</v>
      </c>
      <c r="P287" s="27">
        <v>5398</v>
      </c>
      <c r="Q287" s="28">
        <v>38919.58</v>
      </c>
      <c r="R287" s="13" t="s">
        <v>52</v>
      </c>
      <c r="S287" s="28">
        <v>38919.58</v>
      </c>
    </row>
    <row r="288" ht="23" spans="1:19">
      <c r="A288" s="29" t="s">
        <v>596</v>
      </c>
      <c r="B288" s="26" t="s">
        <v>597</v>
      </c>
      <c r="C288" s="26" t="s">
        <v>504</v>
      </c>
      <c r="D288" s="13" t="s">
        <v>52</v>
      </c>
      <c r="E288" s="27">
        <v>18898</v>
      </c>
      <c r="F288" s="28">
        <v>23622.55</v>
      </c>
      <c r="G288" s="13" t="s">
        <v>52</v>
      </c>
      <c r="H288" s="27">
        <v>464220</v>
      </c>
      <c r="J288" s="28">
        <v>580275.2</v>
      </c>
      <c r="K288" s="13" t="s">
        <v>52</v>
      </c>
      <c r="L288" s="27">
        <v>456004</v>
      </c>
      <c r="M288" s="28">
        <v>570005.25</v>
      </c>
      <c r="N288" s="13" t="s">
        <v>52</v>
      </c>
      <c r="P288" s="27">
        <v>27114</v>
      </c>
      <c r="Q288" s="28">
        <v>33892.5</v>
      </c>
      <c r="R288" s="13" t="s">
        <v>52</v>
      </c>
      <c r="S288" s="28">
        <v>33892.5</v>
      </c>
    </row>
    <row r="289" ht="23" spans="1:19">
      <c r="A289" s="29" t="s">
        <v>598</v>
      </c>
      <c r="B289" s="26" t="s">
        <v>599</v>
      </c>
      <c r="C289" s="26" t="s">
        <v>504</v>
      </c>
      <c r="D289" s="13" t="s">
        <v>52</v>
      </c>
      <c r="E289" s="27">
        <v>67</v>
      </c>
      <c r="F289" s="28">
        <v>191.22</v>
      </c>
      <c r="G289" s="13" t="s">
        <v>52</v>
      </c>
      <c r="H289" s="27">
        <v>110687</v>
      </c>
      <c r="J289" s="28">
        <v>314615.72</v>
      </c>
      <c r="K289" s="13" t="s">
        <v>52</v>
      </c>
      <c r="L289" s="27">
        <v>107964</v>
      </c>
      <c r="M289" s="28">
        <v>306883.34</v>
      </c>
      <c r="N289" s="13" t="s">
        <v>52</v>
      </c>
      <c r="P289" s="27">
        <v>2790</v>
      </c>
      <c r="Q289" s="28">
        <v>7923.6</v>
      </c>
      <c r="R289" s="13" t="s">
        <v>52</v>
      </c>
      <c r="S289" s="28">
        <v>7923.6</v>
      </c>
    </row>
    <row r="290" ht="23" spans="1:19">
      <c r="A290" s="29" t="s">
        <v>600</v>
      </c>
      <c r="B290" s="26" t="s">
        <v>601</v>
      </c>
      <c r="C290" s="26" t="s">
        <v>504</v>
      </c>
      <c r="D290" s="13" t="s">
        <v>52</v>
      </c>
      <c r="E290" s="27">
        <v>1250</v>
      </c>
      <c r="F290" s="28">
        <v>3250</v>
      </c>
      <c r="G290" s="13" t="s">
        <v>52</v>
      </c>
      <c r="H290" s="27">
        <v>27857</v>
      </c>
      <c r="J290" s="28">
        <v>72428.2</v>
      </c>
      <c r="K290" s="13" t="s">
        <v>52</v>
      </c>
      <c r="L290" s="27">
        <v>26350</v>
      </c>
      <c r="M290" s="28">
        <v>68510</v>
      </c>
      <c r="N290" s="13" t="s">
        <v>52</v>
      </c>
      <c r="P290" s="27">
        <v>2757</v>
      </c>
      <c r="Q290" s="28">
        <v>7168.2</v>
      </c>
      <c r="R290" s="13" t="s">
        <v>52</v>
      </c>
      <c r="S290" s="28">
        <v>7168.2</v>
      </c>
    </row>
    <row r="291" ht="23" spans="1:19">
      <c r="A291" s="29" t="s">
        <v>602</v>
      </c>
      <c r="B291" s="26" t="s">
        <v>603</v>
      </c>
      <c r="C291" s="26" t="s">
        <v>504</v>
      </c>
      <c r="D291" s="13" t="s">
        <v>52</v>
      </c>
      <c r="E291" s="27">
        <v>1897</v>
      </c>
      <c r="F291" s="28">
        <v>4842.57</v>
      </c>
      <c r="G291" s="13" t="s">
        <v>52</v>
      </c>
      <c r="H291" s="27">
        <v>693</v>
      </c>
      <c r="J291" s="28">
        <v>1769.05</v>
      </c>
      <c r="K291" s="13" t="s">
        <v>52</v>
      </c>
      <c r="L291" s="27">
        <v>1349</v>
      </c>
      <c r="M291" s="28">
        <v>3443.64</v>
      </c>
      <c r="N291" s="13" t="s">
        <v>52</v>
      </c>
      <c r="P291" s="27">
        <v>1241</v>
      </c>
      <c r="Q291" s="28">
        <v>3167.98</v>
      </c>
      <c r="R291" s="13" t="s">
        <v>52</v>
      </c>
      <c r="S291" s="28">
        <v>3167.98</v>
      </c>
    </row>
    <row r="292" ht="23" spans="1:19">
      <c r="A292" s="29" t="s">
        <v>604</v>
      </c>
      <c r="B292" s="26" t="s">
        <v>605</v>
      </c>
      <c r="C292" s="26" t="s">
        <v>504</v>
      </c>
      <c r="D292" s="13" t="s">
        <v>52</v>
      </c>
      <c r="E292" s="27">
        <v>2674</v>
      </c>
      <c r="F292" s="28">
        <v>9056.62</v>
      </c>
      <c r="G292" s="13" t="s">
        <v>52</v>
      </c>
      <c r="H292" s="27">
        <v>33832</v>
      </c>
      <c r="J292" s="28">
        <v>114586.22</v>
      </c>
      <c r="K292" s="13" t="s">
        <v>52</v>
      </c>
      <c r="L292" s="27">
        <v>34104</v>
      </c>
      <c r="M292" s="28">
        <v>115507.46</v>
      </c>
      <c r="N292" s="13" t="s">
        <v>52</v>
      </c>
      <c r="P292" s="27">
        <v>2402</v>
      </c>
      <c r="Q292" s="28">
        <v>8135.38</v>
      </c>
      <c r="R292" s="13" t="s">
        <v>52</v>
      </c>
      <c r="S292" s="28">
        <v>8135.38</v>
      </c>
    </row>
    <row r="293" ht="23" spans="1:19">
      <c r="A293" s="29" t="s">
        <v>606</v>
      </c>
      <c r="B293" s="26" t="s">
        <v>607</v>
      </c>
      <c r="C293" s="26" t="s">
        <v>504</v>
      </c>
      <c r="D293" s="13" t="s">
        <v>52</v>
      </c>
      <c r="E293" s="27">
        <v>1876</v>
      </c>
      <c r="F293" s="28">
        <v>5008.92</v>
      </c>
      <c r="G293" s="13" t="s">
        <v>52</v>
      </c>
      <c r="H293" s="27">
        <v>4604</v>
      </c>
      <c r="J293" s="28">
        <v>12292.68</v>
      </c>
      <c r="K293" s="13" t="s">
        <v>52</v>
      </c>
      <c r="L293" s="27">
        <v>5344</v>
      </c>
      <c r="M293" s="28">
        <v>14268.48</v>
      </c>
      <c r="N293" s="13" t="s">
        <v>52</v>
      </c>
      <c r="P293" s="27">
        <v>1136</v>
      </c>
      <c r="Q293" s="28">
        <v>3033.12</v>
      </c>
      <c r="R293" s="13" t="s">
        <v>52</v>
      </c>
      <c r="S293" s="28">
        <v>3033.12</v>
      </c>
    </row>
    <row r="294" ht="23" spans="1:19">
      <c r="A294" s="29" t="s">
        <v>608</v>
      </c>
      <c r="B294" s="26" t="s">
        <v>609</v>
      </c>
      <c r="C294" s="26" t="s">
        <v>504</v>
      </c>
      <c r="D294" s="13" t="s">
        <v>52</v>
      </c>
      <c r="E294" s="27">
        <v>1427</v>
      </c>
      <c r="F294" s="28">
        <v>3753.01</v>
      </c>
      <c r="G294" s="13" t="s">
        <v>52</v>
      </c>
      <c r="H294" s="27">
        <v>6246</v>
      </c>
      <c r="J294" s="28">
        <v>16426.98</v>
      </c>
      <c r="K294" s="13" t="s">
        <v>52</v>
      </c>
      <c r="L294" s="27">
        <v>5729</v>
      </c>
      <c r="M294" s="28">
        <v>15067.27</v>
      </c>
      <c r="N294" s="13" t="s">
        <v>52</v>
      </c>
      <c r="P294" s="27">
        <v>1944</v>
      </c>
      <c r="Q294" s="28">
        <v>5112.72</v>
      </c>
      <c r="R294" s="13" t="s">
        <v>52</v>
      </c>
      <c r="S294" s="28">
        <v>5112.72</v>
      </c>
    </row>
    <row r="295" ht="23" spans="1:19">
      <c r="A295" s="29" t="s">
        <v>610</v>
      </c>
      <c r="B295" s="26" t="s">
        <v>611</v>
      </c>
      <c r="C295" s="26" t="s">
        <v>504</v>
      </c>
      <c r="D295" s="13" t="s">
        <v>52</v>
      </c>
      <c r="E295" s="27">
        <v>1385</v>
      </c>
      <c r="F295" s="28">
        <v>4904.84</v>
      </c>
      <c r="G295" s="13" t="s">
        <v>52</v>
      </c>
      <c r="H295" s="27">
        <v>836</v>
      </c>
      <c r="J295" s="28">
        <v>2960.61</v>
      </c>
      <c r="K295" s="13" t="s">
        <v>52</v>
      </c>
      <c r="L295" s="27">
        <v>2221</v>
      </c>
      <c r="M295" s="28">
        <v>7865.45</v>
      </c>
      <c r="N295" s="13" t="s">
        <v>52</v>
      </c>
      <c r="P295" s="27">
        <v>0</v>
      </c>
      <c r="Q295" s="28">
        <v>0</v>
      </c>
      <c r="R295" s="13" t="s">
        <v>52</v>
      </c>
      <c r="S295" s="28">
        <v>0</v>
      </c>
    </row>
    <row r="296" ht="23" spans="1:19">
      <c r="A296" s="29" t="s">
        <v>612</v>
      </c>
      <c r="B296" s="26" t="s">
        <v>613</v>
      </c>
      <c r="C296" s="26" t="s">
        <v>504</v>
      </c>
      <c r="D296" s="13" t="s">
        <v>52</v>
      </c>
      <c r="E296" s="27">
        <v>0</v>
      </c>
      <c r="F296" s="28">
        <v>0</v>
      </c>
      <c r="G296" s="13" t="s">
        <v>52</v>
      </c>
      <c r="H296" s="27">
        <v>1719</v>
      </c>
      <c r="J296" s="28">
        <v>4750.82</v>
      </c>
      <c r="K296" s="13" t="s">
        <v>52</v>
      </c>
      <c r="L296" s="27">
        <v>186</v>
      </c>
      <c r="M296" s="28">
        <v>514.06</v>
      </c>
      <c r="N296" s="13" t="s">
        <v>52</v>
      </c>
      <c r="P296" s="27">
        <v>1533</v>
      </c>
      <c r="Q296" s="28">
        <v>4236.76</v>
      </c>
      <c r="R296" s="13" t="s">
        <v>52</v>
      </c>
      <c r="S296" s="28">
        <v>4236.76</v>
      </c>
    </row>
    <row r="297" ht="23" spans="1:19">
      <c r="A297" s="29" t="s">
        <v>614</v>
      </c>
      <c r="B297" s="26" t="s">
        <v>615</v>
      </c>
      <c r="C297" s="26" t="s">
        <v>504</v>
      </c>
      <c r="D297" s="13" t="s">
        <v>52</v>
      </c>
      <c r="E297" s="27">
        <v>1249</v>
      </c>
      <c r="F297" s="28">
        <v>3309.85</v>
      </c>
      <c r="G297" s="13" t="s">
        <v>52</v>
      </c>
      <c r="H297" s="27">
        <v>9292</v>
      </c>
      <c r="J297" s="28">
        <v>24623.8</v>
      </c>
      <c r="K297" s="13" t="s">
        <v>52</v>
      </c>
      <c r="L297" s="27">
        <v>10457</v>
      </c>
      <c r="M297" s="28">
        <v>27711.05</v>
      </c>
      <c r="N297" s="13" t="s">
        <v>52</v>
      </c>
      <c r="P297" s="27">
        <v>84</v>
      </c>
      <c r="Q297" s="28">
        <v>222.6</v>
      </c>
      <c r="R297" s="13" t="s">
        <v>52</v>
      </c>
      <c r="S297" s="28">
        <v>222.6</v>
      </c>
    </row>
    <row r="298" ht="23" spans="1:19">
      <c r="A298" s="29" t="s">
        <v>616</v>
      </c>
      <c r="B298" s="26" t="s">
        <v>617</v>
      </c>
      <c r="C298" s="26" t="s">
        <v>504</v>
      </c>
      <c r="D298" s="13" t="s">
        <v>52</v>
      </c>
      <c r="E298" s="27">
        <v>3380</v>
      </c>
      <c r="F298" s="28">
        <v>7610.75</v>
      </c>
      <c r="G298" s="13" t="s">
        <v>52</v>
      </c>
      <c r="H298" s="27">
        <v>19327</v>
      </c>
      <c r="J298" s="28">
        <v>43518.63</v>
      </c>
      <c r="K298" s="13" t="s">
        <v>52</v>
      </c>
      <c r="L298" s="27">
        <v>20804</v>
      </c>
      <c r="M298" s="28">
        <v>46844.4</v>
      </c>
      <c r="N298" s="13" t="s">
        <v>52</v>
      </c>
      <c r="P298" s="27">
        <v>1903</v>
      </c>
      <c r="Q298" s="28">
        <v>4284.98</v>
      </c>
      <c r="R298" s="13" t="s">
        <v>52</v>
      </c>
      <c r="S298" s="28">
        <v>4284.98</v>
      </c>
    </row>
    <row r="299" ht="23" spans="1:19">
      <c r="A299" s="29" t="s">
        <v>618</v>
      </c>
      <c r="B299" s="26" t="s">
        <v>619</v>
      </c>
      <c r="C299" s="26" t="s">
        <v>504</v>
      </c>
      <c r="D299" s="13" t="s">
        <v>52</v>
      </c>
      <c r="E299" s="27">
        <v>5362</v>
      </c>
      <c r="F299" s="28">
        <v>10724</v>
      </c>
      <c r="G299" s="13" t="s">
        <v>52</v>
      </c>
      <c r="H299" s="27">
        <v>35592</v>
      </c>
      <c r="J299" s="28">
        <v>71184</v>
      </c>
      <c r="K299" s="13" t="s">
        <v>52</v>
      </c>
      <c r="L299" s="27">
        <v>36682</v>
      </c>
      <c r="M299" s="28">
        <v>73364</v>
      </c>
      <c r="N299" s="13" t="s">
        <v>52</v>
      </c>
      <c r="P299" s="27">
        <v>4272</v>
      </c>
      <c r="Q299" s="28">
        <v>8544</v>
      </c>
      <c r="R299" s="13" t="s">
        <v>52</v>
      </c>
      <c r="S299" s="28">
        <v>8544</v>
      </c>
    </row>
    <row r="300" ht="23" spans="1:19">
      <c r="A300" s="29" t="s">
        <v>620</v>
      </c>
      <c r="B300" s="26" t="s">
        <v>621</v>
      </c>
      <c r="C300" s="26" t="s">
        <v>504</v>
      </c>
      <c r="D300" s="13" t="s">
        <v>52</v>
      </c>
      <c r="E300" s="27">
        <v>15</v>
      </c>
      <c r="F300" s="28">
        <v>36.15</v>
      </c>
      <c r="G300" s="13" t="s">
        <v>52</v>
      </c>
      <c r="H300" s="30" t="s">
        <v>52</v>
      </c>
      <c r="J300" s="30" t="s">
        <v>52</v>
      </c>
      <c r="K300" s="13" t="s">
        <v>52</v>
      </c>
      <c r="L300" s="27">
        <v>15</v>
      </c>
      <c r="M300" s="28">
        <v>36.15</v>
      </c>
      <c r="N300" s="13" t="s">
        <v>52</v>
      </c>
      <c r="P300" s="27">
        <v>0</v>
      </c>
      <c r="Q300" s="28">
        <v>0</v>
      </c>
      <c r="R300" s="13" t="s">
        <v>52</v>
      </c>
      <c r="S300" s="28">
        <v>0</v>
      </c>
    </row>
    <row r="301" ht="23" spans="1:19">
      <c r="A301" s="29" t="s">
        <v>622</v>
      </c>
      <c r="B301" s="26" t="s">
        <v>623</v>
      </c>
      <c r="C301" s="26" t="s">
        <v>504</v>
      </c>
      <c r="D301" s="13" t="s">
        <v>52</v>
      </c>
      <c r="E301" s="27">
        <v>3535</v>
      </c>
      <c r="F301" s="28">
        <v>9403.1</v>
      </c>
      <c r="G301" s="13" t="s">
        <v>52</v>
      </c>
      <c r="H301" s="27">
        <v>133</v>
      </c>
      <c r="J301" s="28">
        <v>353.78</v>
      </c>
      <c r="K301" s="13" t="s">
        <v>52</v>
      </c>
      <c r="L301" s="27">
        <v>1748</v>
      </c>
      <c r="M301" s="28">
        <v>4649.68</v>
      </c>
      <c r="N301" s="13" t="s">
        <v>52</v>
      </c>
      <c r="P301" s="27">
        <v>1920</v>
      </c>
      <c r="Q301" s="28">
        <v>5107.2</v>
      </c>
      <c r="R301" s="13" t="s">
        <v>52</v>
      </c>
      <c r="S301" s="28">
        <v>5107.2</v>
      </c>
    </row>
    <row r="302" ht="23" spans="1:19">
      <c r="A302" s="29" t="s">
        <v>624</v>
      </c>
      <c r="B302" s="26" t="s">
        <v>625</v>
      </c>
      <c r="C302" s="26" t="s">
        <v>504</v>
      </c>
      <c r="D302" s="13" t="s">
        <v>52</v>
      </c>
      <c r="E302" s="27">
        <v>2430</v>
      </c>
      <c r="F302" s="28">
        <v>0</v>
      </c>
      <c r="G302" s="13" t="s">
        <v>52</v>
      </c>
      <c r="H302" s="27">
        <v>76</v>
      </c>
      <c r="J302" s="30" t="s">
        <v>52</v>
      </c>
      <c r="K302" s="13" t="s">
        <v>52</v>
      </c>
      <c r="L302" s="27">
        <v>5</v>
      </c>
      <c r="M302" s="30" t="s">
        <v>52</v>
      </c>
      <c r="N302" s="13" t="s">
        <v>52</v>
      </c>
      <c r="P302" s="27">
        <v>2501</v>
      </c>
      <c r="Q302" s="28">
        <v>0</v>
      </c>
      <c r="R302" s="13" t="s">
        <v>52</v>
      </c>
      <c r="S302" s="28">
        <v>0</v>
      </c>
    </row>
    <row r="303" ht="23" spans="1:19">
      <c r="A303" s="29" t="s">
        <v>626</v>
      </c>
      <c r="B303" s="26" t="s">
        <v>627</v>
      </c>
      <c r="C303" s="26" t="s">
        <v>504</v>
      </c>
      <c r="D303" s="13" t="s">
        <v>52</v>
      </c>
      <c r="E303" s="27">
        <v>1473</v>
      </c>
      <c r="F303" s="28">
        <v>3594.12</v>
      </c>
      <c r="G303" s="13" t="s">
        <v>52</v>
      </c>
      <c r="H303" s="27">
        <v>132</v>
      </c>
      <c r="J303" s="28">
        <v>322.08</v>
      </c>
      <c r="K303" s="13" t="s">
        <v>52</v>
      </c>
      <c r="L303" s="27">
        <v>59</v>
      </c>
      <c r="M303" s="28">
        <v>143.96</v>
      </c>
      <c r="N303" s="13" t="s">
        <v>52</v>
      </c>
      <c r="P303" s="27">
        <v>1546</v>
      </c>
      <c r="Q303" s="28">
        <v>3772.24</v>
      </c>
      <c r="R303" s="13" t="s">
        <v>52</v>
      </c>
      <c r="S303" s="28">
        <v>3772.24</v>
      </c>
    </row>
    <row r="304" ht="23" spans="1:19">
      <c r="A304" s="29" t="s">
        <v>628</v>
      </c>
      <c r="B304" s="26" t="s">
        <v>629</v>
      </c>
      <c r="C304" s="26" t="s">
        <v>504</v>
      </c>
      <c r="D304" s="13" t="s">
        <v>52</v>
      </c>
      <c r="E304" s="27">
        <v>820</v>
      </c>
      <c r="F304" s="28">
        <v>2300.94</v>
      </c>
      <c r="G304" s="13" t="s">
        <v>52</v>
      </c>
      <c r="H304" s="27">
        <v>4344</v>
      </c>
      <c r="J304" s="28">
        <v>12189.24</v>
      </c>
      <c r="K304" s="13" t="s">
        <v>52</v>
      </c>
      <c r="L304" s="27">
        <v>3266</v>
      </c>
      <c r="M304" s="28">
        <v>9164.41</v>
      </c>
      <c r="N304" s="13" t="s">
        <v>52</v>
      </c>
      <c r="P304" s="27">
        <v>1898</v>
      </c>
      <c r="Q304" s="28">
        <v>5325.77</v>
      </c>
      <c r="R304" s="13" t="s">
        <v>52</v>
      </c>
      <c r="S304" s="28">
        <v>5325.77</v>
      </c>
    </row>
    <row r="305" ht="23" spans="1:19">
      <c r="A305" s="29" t="s">
        <v>630</v>
      </c>
      <c r="B305" s="26" t="s">
        <v>631</v>
      </c>
      <c r="C305" s="26" t="s">
        <v>504</v>
      </c>
      <c r="D305" s="13" t="s">
        <v>52</v>
      </c>
      <c r="E305" s="27">
        <v>2060</v>
      </c>
      <c r="F305" s="28">
        <v>4161.2</v>
      </c>
      <c r="G305" s="13" t="s">
        <v>52</v>
      </c>
      <c r="H305" s="27">
        <v>14181.03</v>
      </c>
      <c r="J305" s="28">
        <v>28645.68</v>
      </c>
      <c r="K305" s="13" t="s">
        <v>52</v>
      </c>
      <c r="L305" s="27">
        <v>14688.03</v>
      </c>
      <c r="M305" s="28">
        <v>29669.82</v>
      </c>
      <c r="N305" s="13" t="s">
        <v>52</v>
      </c>
      <c r="P305" s="27">
        <v>1553</v>
      </c>
      <c r="Q305" s="28">
        <v>3137.06</v>
      </c>
      <c r="R305" s="13" t="s">
        <v>52</v>
      </c>
      <c r="S305" s="28">
        <v>3137.06</v>
      </c>
    </row>
    <row r="306" ht="23" spans="1:19">
      <c r="A306" s="29" t="s">
        <v>632</v>
      </c>
      <c r="B306" s="26" t="s">
        <v>633</v>
      </c>
      <c r="C306" s="26" t="s">
        <v>504</v>
      </c>
      <c r="D306" s="13" t="s">
        <v>52</v>
      </c>
      <c r="E306" s="27">
        <v>740</v>
      </c>
      <c r="F306" s="28">
        <v>1487.4</v>
      </c>
      <c r="G306" s="13" t="s">
        <v>52</v>
      </c>
      <c r="H306" s="27">
        <v>1563</v>
      </c>
      <c r="J306" s="28">
        <v>3141.63</v>
      </c>
      <c r="K306" s="13" t="s">
        <v>52</v>
      </c>
      <c r="L306" s="27">
        <v>2303</v>
      </c>
      <c r="M306" s="28">
        <v>4629.03</v>
      </c>
      <c r="N306" s="13" t="s">
        <v>52</v>
      </c>
      <c r="P306" s="27">
        <v>0</v>
      </c>
      <c r="Q306" s="28">
        <v>0</v>
      </c>
      <c r="R306" s="13" t="s">
        <v>52</v>
      </c>
      <c r="S306" s="28">
        <v>0</v>
      </c>
    </row>
    <row r="307" ht="23" spans="1:19">
      <c r="A307" s="29" t="s">
        <v>634</v>
      </c>
      <c r="B307" s="26" t="s">
        <v>635</v>
      </c>
      <c r="C307" s="26" t="s">
        <v>504</v>
      </c>
      <c r="D307" s="13" t="s">
        <v>52</v>
      </c>
      <c r="E307" s="27">
        <v>1500</v>
      </c>
      <c r="F307" s="28">
        <v>2955</v>
      </c>
      <c r="G307" s="13" t="s">
        <v>52</v>
      </c>
      <c r="H307" s="27">
        <v>9938</v>
      </c>
      <c r="J307" s="28">
        <v>19577.86</v>
      </c>
      <c r="K307" s="13" t="s">
        <v>52</v>
      </c>
      <c r="L307" s="27">
        <v>10021</v>
      </c>
      <c r="M307" s="28">
        <v>19741.37</v>
      </c>
      <c r="N307" s="13" t="s">
        <v>52</v>
      </c>
      <c r="P307" s="27">
        <v>1417</v>
      </c>
      <c r="Q307" s="28">
        <v>2791.49</v>
      </c>
      <c r="R307" s="13" t="s">
        <v>52</v>
      </c>
      <c r="S307" s="28">
        <v>2791.49</v>
      </c>
    </row>
    <row r="308" ht="23" spans="1:19">
      <c r="A308" s="29" t="s">
        <v>636</v>
      </c>
      <c r="B308" s="26" t="s">
        <v>637</v>
      </c>
      <c r="C308" s="26" t="s">
        <v>504</v>
      </c>
      <c r="D308" s="13" t="s">
        <v>52</v>
      </c>
      <c r="E308" s="27">
        <v>0</v>
      </c>
      <c r="F308" s="28">
        <v>0</v>
      </c>
      <c r="G308" s="13" t="s">
        <v>52</v>
      </c>
      <c r="H308" s="27">
        <v>115</v>
      </c>
      <c r="J308" s="28">
        <v>273.7</v>
      </c>
      <c r="K308" s="13" t="s">
        <v>52</v>
      </c>
      <c r="L308" s="27">
        <v>115</v>
      </c>
      <c r="M308" s="28">
        <v>273.7</v>
      </c>
      <c r="N308" s="13" t="s">
        <v>52</v>
      </c>
      <c r="P308" s="27">
        <v>0</v>
      </c>
      <c r="Q308" s="28">
        <v>0</v>
      </c>
      <c r="R308" s="13" t="s">
        <v>52</v>
      </c>
      <c r="S308" s="28">
        <v>0</v>
      </c>
    </row>
    <row r="309" ht="23" spans="1:19">
      <c r="A309" s="29" t="s">
        <v>638</v>
      </c>
      <c r="B309" s="26" t="s">
        <v>639</v>
      </c>
      <c r="C309" s="26" t="s">
        <v>504</v>
      </c>
      <c r="D309" s="13" t="s">
        <v>52</v>
      </c>
      <c r="E309" s="27">
        <v>1440</v>
      </c>
      <c r="F309" s="28">
        <v>3700.8</v>
      </c>
      <c r="G309" s="13" t="s">
        <v>52</v>
      </c>
      <c r="H309" s="27">
        <v>76</v>
      </c>
      <c r="J309" s="28">
        <v>195.32</v>
      </c>
      <c r="K309" s="13" t="s">
        <v>52</v>
      </c>
      <c r="L309" s="27">
        <v>2</v>
      </c>
      <c r="M309" s="28">
        <v>5.14</v>
      </c>
      <c r="N309" s="13" t="s">
        <v>52</v>
      </c>
      <c r="P309" s="27">
        <v>1514</v>
      </c>
      <c r="Q309" s="28">
        <v>3890.98</v>
      </c>
      <c r="R309" s="13" t="s">
        <v>52</v>
      </c>
      <c r="S309" s="28">
        <v>3890.98</v>
      </c>
    </row>
    <row r="310" ht="23" spans="1:19">
      <c r="A310" s="29" t="s">
        <v>640</v>
      </c>
      <c r="B310" s="26" t="s">
        <v>641</v>
      </c>
      <c r="C310" s="26" t="s">
        <v>504</v>
      </c>
      <c r="D310" s="13" t="s">
        <v>52</v>
      </c>
      <c r="E310" s="27">
        <v>0</v>
      </c>
      <c r="F310" s="28">
        <v>0</v>
      </c>
      <c r="G310" s="13" t="s">
        <v>52</v>
      </c>
      <c r="H310" s="27">
        <v>1908</v>
      </c>
      <c r="J310" s="28">
        <v>9921.6</v>
      </c>
      <c r="K310" s="13" t="s">
        <v>52</v>
      </c>
      <c r="L310" s="27">
        <v>1034</v>
      </c>
      <c r="M310" s="28">
        <v>5376.8</v>
      </c>
      <c r="N310" s="13" t="s">
        <v>52</v>
      </c>
      <c r="P310" s="27">
        <v>874</v>
      </c>
      <c r="Q310" s="28">
        <v>4544.8</v>
      </c>
      <c r="R310" s="13" t="s">
        <v>52</v>
      </c>
      <c r="S310" s="28">
        <v>4544.8</v>
      </c>
    </row>
    <row r="311" ht="23" spans="1:19">
      <c r="A311" s="29" t="s">
        <v>642</v>
      </c>
      <c r="B311" s="26" t="s">
        <v>643</v>
      </c>
      <c r="C311" s="26" t="s">
        <v>504</v>
      </c>
      <c r="D311" s="13" t="s">
        <v>52</v>
      </c>
      <c r="E311" s="27">
        <v>5057</v>
      </c>
      <c r="F311" s="28">
        <v>13148.2</v>
      </c>
      <c r="G311" s="13" t="s">
        <v>52</v>
      </c>
      <c r="H311" s="27">
        <v>63283</v>
      </c>
      <c r="J311" s="28">
        <v>164535.8</v>
      </c>
      <c r="K311" s="13" t="s">
        <v>52</v>
      </c>
      <c r="L311" s="27">
        <v>65237</v>
      </c>
      <c r="M311" s="28">
        <v>169616.2</v>
      </c>
      <c r="N311" s="13" t="s">
        <v>52</v>
      </c>
      <c r="P311" s="27">
        <v>3103</v>
      </c>
      <c r="Q311" s="28">
        <v>8067.8</v>
      </c>
      <c r="R311" s="13" t="s">
        <v>52</v>
      </c>
      <c r="S311" s="28">
        <v>8067.8</v>
      </c>
    </row>
    <row r="312" ht="23" spans="1:19">
      <c r="A312" s="29" t="s">
        <v>644</v>
      </c>
      <c r="B312" s="26" t="s">
        <v>645</v>
      </c>
      <c r="C312" s="26" t="s">
        <v>504</v>
      </c>
      <c r="D312" s="13" t="s">
        <v>52</v>
      </c>
      <c r="E312" s="27">
        <v>1422</v>
      </c>
      <c r="F312" s="28">
        <v>3256.38</v>
      </c>
      <c r="G312" s="13" t="s">
        <v>52</v>
      </c>
      <c r="H312" s="27">
        <v>1688</v>
      </c>
      <c r="J312" s="28">
        <v>3865.52</v>
      </c>
      <c r="K312" s="13" t="s">
        <v>52</v>
      </c>
      <c r="L312" s="27">
        <v>612</v>
      </c>
      <c r="M312" s="28">
        <v>1401.48</v>
      </c>
      <c r="N312" s="13" t="s">
        <v>52</v>
      </c>
      <c r="P312" s="27">
        <v>2498</v>
      </c>
      <c r="Q312" s="28">
        <v>5720.42</v>
      </c>
      <c r="R312" s="13" t="s">
        <v>52</v>
      </c>
      <c r="S312" s="28">
        <v>5720.42</v>
      </c>
    </row>
    <row r="313" ht="23" spans="1:19">
      <c r="A313" s="29" t="s">
        <v>646</v>
      </c>
      <c r="B313" s="26" t="s">
        <v>647</v>
      </c>
      <c r="C313" s="26" t="s">
        <v>504</v>
      </c>
      <c r="D313" s="13" t="s">
        <v>52</v>
      </c>
      <c r="E313" s="27">
        <v>2665</v>
      </c>
      <c r="F313" s="28">
        <v>5010.2</v>
      </c>
      <c r="G313" s="13" t="s">
        <v>52</v>
      </c>
      <c r="H313" s="27">
        <v>75</v>
      </c>
      <c r="J313" s="28">
        <v>141</v>
      </c>
      <c r="K313" s="13" t="s">
        <v>52</v>
      </c>
      <c r="L313" s="27">
        <v>437</v>
      </c>
      <c r="M313" s="28">
        <v>821.56</v>
      </c>
      <c r="N313" s="13" t="s">
        <v>52</v>
      </c>
      <c r="P313" s="27">
        <v>2303</v>
      </c>
      <c r="Q313" s="28">
        <v>4329.64</v>
      </c>
      <c r="R313" s="13" t="s">
        <v>52</v>
      </c>
      <c r="S313" s="28">
        <v>4329.64</v>
      </c>
    </row>
    <row r="314" ht="23" spans="1:19">
      <c r="A314" s="29" t="s">
        <v>648</v>
      </c>
      <c r="B314" s="26" t="s">
        <v>649</v>
      </c>
      <c r="C314" s="26" t="s">
        <v>504</v>
      </c>
      <c r="D314" s="13" t="s">
        <v>52</v>
      </c>
      <c r="E314" s="27">
        <v>2344</v>
      </c>
      <c r="F314" s="28">
        <v>6149.02</v>
      </c>
      <c r="G314" s="13" t="s">
        <v>52</v>
      </c>
      <c r="H314" s="27">
        <v>2182</v>
      </c>
      <c r="J314" s="28">
        <v>5724.09</v>
      </c>
      <c r="K314" s="13" t="s">
        <v>52</v>
      </c>
      <c r="L314" s="27">
        <v>2573</v>
      </c>
      <c r="M314" s="28">
        <v>6749.77</v>
      </c>
      <c r="N314" s="13" t="s">
        <v>52</v>
      </c>
      <c r="P314" s="27">
        <v>1953</v>
      </c>
      <c r="Q314" s="28">
        <v>5123.34</v>
      </c>
      <c r="R314" s="13" t="s">
        <v>52</v>
      </c>
      <c r="S314" s="28">
        <v>5123.34</v>
      </c>
    </row>
    <row r="315" ht="23" spans="1:19">
      <c r="A315" s="29" t="s">
        <v>650</v>
      </c>
      <c r="B315" s="26" t="s">
        <v>651</v>
      </c>
      <c r="C315" s="26" t="s">
        <v>504</v>
      </c>
      <c r="D315" s="13" t="s">
        <v>52</v>
      </c>
      <c r="E315" s="27">
        <v>2288</v>
      </c>
      <c r="F315" s="28">
        <v>5205.16</v>
      </c>
      <c r="G315" s="13" t="s">
        <v>52</v>
      </c>
      <c r="H315" s="27">
        <v>18395</v>
      </c>
      <c r="J315" s="28">
        <v>41848.65</v>
      </c>
      <c r="K315" s="13" t="s">
        <v>52</v>
      </c>
      <c r="L315" s="27">
        <v>19034</v>
      </c>
      <c r="M315" s="28">
        <v>43302.35</v>
      </c>
      <c r="N315" s="13" t="s">
        <v>52</v>
      </c>
      <c r="P315" s="27">
        <v>1649</v>
      </c>
      <c r="Q315" s="28">
        <v>3751.46</v>
      </c>
      <c r="R315" s="13" t="s">
        <v>52</v>
      </c>
      <c r="S315" s="28">
        <v>3751.46</v>
      </c>
    </row>
    <row r="316" ht="23" spans="1:19">
      <c r="A316" s="29" t="s">
        <v>652</v>
      </c>
      <c r="B316" s="26" t="s">
        <v>653</v>
      </c>
      <c r="C316" s="26" t="s">
        <v>504</v>
      </c>
      <c r="D316" s="13" t="s">
        <v>52</v>
      </c>
      <c r="E316" s="27">
        <v>1154</v>
      </c>
      <c r="F316" s="28">
        <v>4616</v>
      </c>
      <c r="G316" s="13" t="s">
        <v>52</v>
      </c>
      <c r="H316" s="27">
        <v>76</v>
      </c>
      <c r="J316" s="28">
        <v>304</v>
      </c>
      <c r="K316" s="13" t="s">
        <v>52</v>
      </c>
      <c r="L316" s="30" t="s">
        <v>52</v>
      </c>
      <c r="M316" s="30" t="s">
        <v>52</v>
      </c>
      <c r="N316" s="13" t="s">
        <v>52</v>
      </c>
      <c r="P316" s="27">
        <v>1230</v>
      </c>
      <c r="Q316" s="28">
        <v>4920</v>
      </c>
      <c r="R316" s="13" t="s">
        <v>52</v>
      </c>
      <c r="S316" s="28">
        <v>4920</v>
      </c>
    </row>
    <row r="317" ht="23" spans="1:19">
      <c r="A317" s="29" t="s">
        <v>654</v>
      </c>
      <c r="B317" s="26" t="s">
        <v>655</v>
      </c>
      <c r="C317" s="26" t="s">
        <v>504</v>
      </c>
      <c r="D317" s="13" t="s">
        <v>52</v>
      </c>
      <c r="E317" s="27">
        <v>1733</v>
      </c>
      <c r="F317" s="28">
        <v>3795.27</v>
      </c>
      <c r="G317" s="13" t="s">
        <v>52</v>
      </c>
      <c r="H317" s="27">
        <v>165</v>
      </c>
      <c r="J317" s="28">
        <v>361.35</v>
      </c>
      <c r="K317" s="13" t="s">
        <v>52</v>
      </c>
      <c r="L317" s="27">
        <v>330</v>
      </c>
      <c r="M317" s="28">
        <v>722.7</v>
      </c>
      <c r="N317" s="13" t="s">
        <v>52</v>
      </c>
      <c r="P317" s="27">
        <v>1568</v>
      </c>
      <c r="Q317" s="28">
        <v>3433.92</v>
      </c>
      <c r="R317" s="13" t="s">
        <v>52</v>
      </c>
      <c r="S317" s="28">
        <v>3433.92</v>
      </c>
    </row>
    <row r="318" ht="23" spans="1:19">
      <c r="A318" s="29" t="s">
        <v>656</v>
      </c>
      <c r="B318" s="26" t="s">
        <v>657</v>
      </c>
      <c r="C318" s="26" t="s">
        <v>504</v>
      </c>
      <c r="D318" s="13" t="s">
        <v>52</v>
      </c>
      <c r="E318" s="27">
        <v>0</v>
      </c>
      <c r="F318" s="28">
        <v>0</v>
      </c>
      <c r="G318" s="13" t="s">
        <v>52</v>
      </c>
      <c r="H318" s="27">
        <v>4462</v>
      </c>
      <c r="J318" s="28">
        <v>11601.2</v>
      </c>
      <c r="K318" s="13" t="s">
        <v>52</v>
      </c>
      <c r="L318" s="27">
        <v>2669</v>
      </c>
      <c r="M318" s="28">
        <v>6939.4</v>
      </c>
      <c r="N318" s="13" t="s">
        <v>52</v>
      </c>
      <c r="P318" s="27">
        <v>1793</v>
      </c>
      <c r="Q318" s="28">
        <v>4661.8</v>
      </c>
      <c r="R318" s="13" t="s">
        <v>52</v>
      </c>
      <c r="S318" s="28">
        <v>4661.8</v>
      </c>
    </row>
    <row r="319" ht="23" spans="1:19">
      <c r="A319" s="29" t="s">
        <v>658</v>
      </c>
      <c r="B319" s="26" t="s">
        <v>659</v>
      </c>
      <c r="C319" s="26" t="s">
        <v>504</v>
      </c>
      <c r="D319" s="13" t="s">
        <v>52</v>
      </c>
      <c r="E319" s="27">
        <v>1789</v>
      </c>
      <c r="F319" s="28">
        <v>4043.14</v>
      </c>
      <c r="G319" s="13" t="s">
        <v>52</v>
      </c>
      <c r="H319" s="27">
        <v>4</v>
      </c>
      <c r="J319" s="28">
        <v>9.04</v>
      </c>
      <c r="K319" s="13" t="s">
        <v>52</v>
      </c>
      <c r="L319" s="27">
        <v>3</v>
      </c>
      <c r="M319" s="28">
        <v>6.78</v>
      </c>
      <c r="N319" s="13" t="s">
        <v>52</v>
      </c>
      <c r="P319" s="27">
        <v>1790</v>
      </c>
      <c r="Q319" s="28">
        <v>4045.4</v>
      </c>
      <c r="R319" s="13" t="s">
        <v>52</v>
      </c>
      <c r="S319" s="28">
        <v>4045.4</v>
      </c>
    </row>
    <row r="320" ht="23" spans="1:19">
      <c r="A320" s="29" t="s">
        <v>660</v>
      </c>
      <c r="B320" s="26" t="s">
        <v>661</v>
      </c>
      <c r="C320" s="26" t="s">
        <v>504</v>
      </c>
      <c r="D320" s="13" t="s">
        <v>52</v>
      </c>
      <c r="E320" s="27">
        <v>1706</v>
      </c>
      <c r="F320" s="28">
        <v>3753.2</v>
      </c>
      <c r="G320" s="13" t="s">
        <v>52</v>
      </c>
      <c r="H320" s="27">
        <v>7130</v>
      </c>
      <c r="J320" s="28">
        <v>15686</v>
      </c>
      <c r="K320" s="13" t="s">
        <v>52</v>
      </c>
      <c r="L320" s="27">
        <v>7637</v>
      </c>
      <c r="M320" s="28">
        <v>16801.4</v>
      </c>
      <c r="N320" s="13" t="s">
        <v>52</v>
      </c>
      <c r="P320" s="27">
        <v>1199</v>
      </c>
      <c r="Q320" s="28">
        <v>2637.8</v>
      </c>
      <c r="R320" s="13" t="s">
        <v>52</v>
      </c>
      <c r="S320" s="28">
        <v>2637.8</v>
      </c>
    </row>
    <row r="321" ht="23" spans="1:19">
      <c r="A321" s="29" t="s">
        <v>662</v>
      </c>
      <c r="B321" s="26" t="s">
        <v>663</v>
      </c>
      <c r="C321" s="26" t="s">
        <v>504</v>
      </c>
      <c r="D321" s="13" t="s">
        <v>52</v>
      </c>
      <c r="E321" s="27">
        <v>2306</v>
      </c>
      <c r="F321" s="28">
        <v>5073.2</v>
      </c>
      <c r="G321" s="13" t="s">
        <v>52</v>
      </c>
      <c r="H321" s="27">
        <v>95</v>
      </c>
      <c r="J321" s="28">
        <v>209</v>
      </c>
      <c r="K321" s="13" t="s">
        <v>52</v>
      </c>
      <c r="L321" s="27">
        <v>338</v>
      </c>
      <c r="M321" s="28">
        <v>743.6</v>
      </c>
      <c r="N321" s="13" t="s">
        <v>52</v>
      </c>
      <c r="P321" s="27">
        <v>2063</v>
      </c>
      <c r="Q321" s="28">
        <v>4538.6</v>
      </c>
      <c r="R321" s="13" t="s">
        <v>52</v>
      </c>
      <c r="S321" s="28">
        <v>4538.6</v>
      </c>
    </row>
    <row r="322" ht="23" spans="1:19">
      <c r="A322" s="29" t="s">
        <v>664</v>
      </c>
      <c r="B322" s="26" t="s">
        <v>665</v>
      </c>
      <c r="C322" s="26" t="s">
        <v>504</v>
      </c>
      <c r="D322" s="13" t="s">
        <v>52</v>
      </c>
      <c r="E322" s="27">
        <v>2653</v>
      </c>
      <c r="F322" s="28">
        <v>9100</v>
      </c>
      <c r="G322" s="13" t="s">
        <v>52</v>
      </c>
      <c r="H322" s="30" t="s">
        <v>52</v>
      </c>
      <c r="J322" s="30" t="s">
        <v>52</v>
      </c>
      <c r="K322" s="13" t="s">
        <v>52</v>
      </c>
      <c r="L322" s="27">
        <v>122</v>
      </c>
      <c r="M322" s="30" t="s">
        <v>52</v>
      </c>
      <c r="N322" s="13" t="s">
        <v>52</v>
      </c>
      <c r="P322" s="27">
        <v>2531</v>
      </c>
      <c r="Q322" s="28">
        <v>9100</v>
      </c>
      <c r="R322" s="13" t="s">
        <v>52</v>
      </c>
      <c r="S322" s="28">
        <v>9100</v>
      </c>
    </row>
    <row r="323" ht="23" spans="1:19">
      <c r="A323" s="29" t="s">
        <v>666</v>
      </c>
      <c r="B323" s="26" t="s">
        <v>667</v>
      </c>
      <c r="C323" s="26" t="s">
        <v>504</v>
      </c>
      <c r="D323" s="13" t="s">
        <v>52</v>
      </c>
      <c r="E323" s="27">
        <v>2080</v>
      </c>
      <c r="F323" s="28">
        <v>0</v>
      </c>
      <c r="G323" s="13" t="s">
        <v>52</v>
      </c>
      <c r="H323" s="27">
        <v>5</v>
      </c>
      <c r="J323" s="30" t="s">
        <v>52</v>
      </c>
      <c r="K323" s="13" t="s">
        <v>52</v>
      </c>
      <c r="L323" s="27">
        <v>4</v>
      </c>
      <c r="M323" s="30" t="s">
        <v>52</v>
      </c>
      <c r="N323" s="13" t="s">
        <v>52</v>
      </c>
      <c r="P323" s="27">
        <v>2081</v>
      </c>
      <c r="Q323" s="28">
        <v>0</v>
      </c>
      <c r="R323" s="13" t="s">
        <v>52</v>
      </c>
      <c r="S323" s="28">
        <v>0</v>
      </c>
    </row>
    <row r="324" ht="23" spans="1:19">
      <c r="A324" s="29" t="s">
        <v>668</v>
      </c>
      <c r="B324" s="26" t="s">
        <v>669</v>
      </c>
      <c r="C324" s="26" t="s">
        <v>504</v>
      </c>
      <c r="D324" s="13" t="s">
        <v>52</v>
      </c>
      <c r="E324" s="27">
        <v>86</v>
      </c>
      <c r="F324" s="28">
        <v>0</v>
      </c>
      <c r="G324" s="13" t="s">
        <v>52</v>
      </c>
      <c r="H324" s="30" t="s">
        <v>52</v>
      </c>
      <c r="J324" s="30" t="s">
        <v>52</v>
      </c>
      <c r="K324" s="13" t="s">
        <v>52</v>
      </c>
      <c r="L324" s="30" t="s">
        <v>52</v>
      </c>
      <c r="M324" s="30" t="s">
        <v>52</v>
      </c>
      <c r="N324" s="13" t="s">
        <v>52</v>
      </c>
      <c r="P324" s="27">
        <v>86</v>
      </c>
      <c r="Q324" s="28">
        <v>0</v>
      </c>
      <c r="R324" s="13" t="s">
        <v>52</v>
      </c>
      <c r="S324" s="28">
        <v>0</v>
      </c>
    </row>
    <row r="325" ht="23" spans="1:19">
      <c r="A325" s="29" t="s">
        <v>670</v>
      </c>
      <c r="B325" s="26" t="s">
        <v>671</v>
      </c>
      <c r="C325" s="26" t="s">
        <v>504</v>
      </c>
      <c r="D325" s="13" t="s">
        <v>52</v>
      </c>
      <c r="E325" s="27">
        <v>5000</v>
      </c>
      <c r="F325" s="28">
        <v>60255.55</v>
      </c>
      <c r="G325" s="13" t="s">
        <v>52</v>
      </c>
      <c r="H325" s="30" t="s">
        <v>52</v>
      </c>
      <c r="J325" s="30" t="s">
        <v>52</v>
      </c>
      <c r="K325" s="13" t="s">
        <v>52</v>
      </c>
      <c r="L325" s="30" t="s">
        <v>52</v>
      </c>
      <c r="M325" s="30" t="s">
        <v>52</v>
      </c>
      <c r="N325" s="13" t="s">
        <v>52</v>
      </c>
      <c r="P325" s="27">
        <v>5000</v>
      </c>
      <c r="Q325" s="28">
        <v>60255.55</v>
      </c>
      <c r="R325" s="13" t="s">
        <v>52</v>
      </c>
      <c r="S325" s="28">
        <v>60255.55</v>
      </c>
    </row>
    <row r="326" ht="23" spans="1:19">
      <c r="A326" s="29" t="s">
        <v>672</v>
      </c>
      <c r="B326" s="26" t="s">
        <v>673</v>
      </c>
      <c r="C326" s="26" t="s">
        <v>504</v>
      </c>
      <c r="D326" s="13" t="s">
        <v>52</v>
      </c>
      <c r="E326" s="27">
        <v>5000</v>
      </c>
      <c r="F326" s="28">
        <v>15310</v>
      </c>
      <c r="G326" s="13" t="s">
        <v>52</v>
      </c>
      <c r="H326" s="30" t="s">
        <v>52</v>
      </c>
      <c r="J326" s="30" t="s">
        <v>52</v>
      </c>
      <c r="K326" s="13" t="s">
        <v>52</v>
      </c>
      <c r="L326" s="30" t="s">
        <v>52</v>
      </c>
      <c r="M326" s="30" t="s">
        <v>52</v>
      </c>
      <c r="N326" s="13" t="s">
        <v>52</v>
      </c>
      <c r="P326" s="27">
        <v>5000</v>
      </c>
      <c r="Q326" s="28">
        <v>15310</v>
      </c>
      <c r="R326" s="13" t="s">
        <v>52</v>
      </c>
      <c r="S326" s="28">
        <v>15310</v>
      </c>
    </row>
    <row r="327" ht="23" spans="1:19">
      <c r="A327" s="29" t="s">
        <v>674</v>
      </c>
      <c r="B327" s="26" t="s">
        <v>675</v>
      </c>
      <c r="C327" s="26" t="s">
        <v>504</v>
      </c>
      <c r="D327" s="13" t="s">
        <v>52</v>
      </c>
      <c r="E327" s="27">
        <v>1711</v>
      </c>
      <c r="F327" s="28">
        <v>4020.85</v>
      </c>
      <c r="G327" s="13" t="s">
        <v>52</v>
      </c>
      <c r="H327" s="27">
        <v>6191</v>
      </c>
      <c r="J327" s="28">
        <v>14548.85</v>
      </c>
      <c r="K327" s="13" t="s">
        <v>52</v>
      </c>
      <c r="L327" s="27">
        <v>6589</v>
      </c>
      <c r="M327" s="28">
        <v>15484.15</v>
      </c>
      <c r="N327" s="13" t="s">
        <v>52</v>
      </c>
      <c r="P327" s="27">
        <v>1313</v>
      </c>
      <c r="Q327" s="28">
        <v>3085.55</v>
      </c>
      <c r="R327" s="13" t="s">
        <v>52</v>
      </c>
      <c r="S327" s="28">
        <v>3085.55</v>
      </c>
    </row>
    <row r="328" ht="23" spans="1:19">
      <c r="A328" s="29" t="s">
        <v>676</v>
      </c>
      <c r="B328" s="26" t="s">
        <v>677</v>
      </c>
      <c r="C328" s="26" t="s">
        <v>504</v>
      </c>
      <c r="D328" s="13" t="s">
        <v>52</v>
      </c>
      <c r="E328" s="27">
        <v>2874</v>
      </c>
      <c r="F328" s="28">
        <v>7472.4</v>
      </c>
      <c r="G328" s="13" t="s">
        <v>52</v>
      </c>
      <c r="H328" s="27">
        <v>5793</v>
      </c>
      <c r="J328" s="28">
        <v>15061.8</v>
      </c>
      <c r="K328" s="13" t="s">
        <v>52</v>
      </c>
      <c r="L328" s="27">
        <v>6219</v>
      </c>
      <c r="M328" s="28">
        <v>16169.4</v>
      </c>
      <c r="N328" s="13" t="s">
        <v>52</v>
      </c>
      <c r="P328" s="27">
        <v>2448</v>
      </c>
      <c r="Q328" s="28">
        <v>6364.8</v>
      </c>
      <c r="R328" s="13" t="s">
        <v>52</v>
      </c>
      <c r="S328" s="28">
        <v>6364.8</v>
      </c>
    </row>
    <row r="329" ht="23" spans="1:19">
      <c r="A329" s="29" t="s">
        <v>678</v>
      </c>
      <c r="B329" s="26" t="s">
        <v>679</v>
      </c>
      <c r="C329" s="26" t="s">
        <v>504</v>
      </c>
      <c r="D329" s="13" t="s">
        <v>52</v>
      </c>
      <c r="E329" s="27">
        <v>1865</v>
      </c>
      <c r="F329" s="28">
        <v>4829.42</v>
      </c>
      <c r="G329" s="13" t="s">
        <v>52</v>
      </c>
      <c r="H329" s="27">
        <v>1534</v>
      </c>
      <c r="J329" s="28">
        <v>3972.29</v>
      </c>
      <c r="K329" s="13" t="s">
        <v>52</v>
      </c>
      <c r="L329" s="27">
        <v>3399</v>
      </c>
      <c r="M329" s="28">
        <v>8801.71</v>
      </c>
      <c r="N329" s="13" t="s">
        <v>52</v>
      </c>
      <c r="P329" s="27">
        <v>0</v>
      </c>
      <c r="Q329" s="28">
        <v>0</v>
      </c>
      <c r="R329" s="13" t="s">
        <v>52</v>
      </c>
      <c r="S329" s="28">
        <v>0</v>
      </c>
    </row>
    <row r="330" ht="23" spans="1:19">
      <c r="A330" s="29" t="s">
        <v>680</v>
      </c>
      <c r="B330" s="26" t="s">
        <v>681</v>
      </c>
      <c r="C330" s="26" t="s">
        <v>504</v>
      </c>
      <c r="D330" s="13" t="s">
        <v>52</v>
      </c>
      <c r="E330" s="27">
        <v>1631</v>
      </c>
      <c r="F330" s="28">
        <v>4485.28</v>
      </c>
      <c r="G330" s="13" t="s">
        <v>52</v>
      </c>
      <c r="H330" s="27">
        <v>2753</v>
      </c>
      <c r="J330" s="28">
        <v>7570.75</v>
      </c>
      <c r="K330" s="13" t="s">
        <v>52</v>
      </c>
      <c r="L330" s="27">
        <v>1974</v>
      </c>
      <c r="M330" s="28">
        <v>5428.53</v>
      </c>
      <c r="N330" s="13" t="s">
        <v>52</v>
      </c>
      <c r="P330" s="27">
        <v>2410</v>
      </c>
      <c r="Q330" s="28">
        <v>6627.5</v>
      </c>
      <c r="R330" s="13" t="s">
        <v>52</v>
      </c>
      <c r="S330" s="28">
        <v>6627.5</v>
      </c>
    </row>
    <row r="331" ht="23" spans="1:19">
      <c r="A331" s="29" t="s">
        <v>682</v>
      </c>
      <c r="B331" s="26" t="s">
        <v>683</v>
      </c>
      <c r="C331" s="26" t="s">
        <v>504</v>
      </c>
      <c r="D331" s="13" t="s">
        <v>52</v>
      </c>
      <c r="E331" s="27">
        <v>2026</v>
      </c>
      <c r="F331" s="28">
        <v>5556.09</v>
      </c>
      <c r="G331" s="13" t="s">
        <v>52</v>
      </c>
      <c r="H331" s="27">
        <v>13019</v>
      </c>
      <c r="J331" s="28">
        <v>35703.28</v>
      </c>
      <c r="K331" s="13" t="s">
        <v>52</v>
      </c>
      <c r="L331" s="27">
        <v>13712</v>
      </c>
      <c r="M331" s="28">
        <v>37603.74</v>
      </c>
      <c r="N331" s="13" t="s">
        <v>52</v>
      </c>
      <c r="P331" s="27">
        <v>1333</v>
      </c>
      <c r="Q331" s="28">
        <v>3655.63</v>
      </c>
      <c r="R331" s="13" t="s">
        <v>52</v>
      </c>
      <c r="S331" s="28">
        <v>3655.63</v>
      </c>
    </row>
    <row r="332" ht="23" spans="1:19">
      <c r="A332" s="29" t="s">
        <v>684</v>
      </c>
      <c r="B332" s="26" t="s">
        <v>685</v>
      </c>
      <c r="C332" s="26" t="s">
        <v>504</v>
      </c>
      <c r="D332" s="13" t="s">
        <v>52</v>
      </c>
      <c r="E332" s="27">
        <v>1967</v>
      </c>
      <c r="F332" s="28">
        <v>5292.23</v>
      </c>
      <c r="G332" s="13" t="s">
        <v>52</v>
      </c>
      <c r="H332" s="27">
        <v>10860</v>
      </c>
      <c r="J332" s="28">
        <v>29218.93</v>
      </c>
      <c r="K332" s="13" t="s">
        <v>52</v>
      </c>
      <c r="L332" s="27">
        <v>9801</v>
      </c>
      <c r="M332" s="28">
        <v>26369.67</v>
      </c>
      <c r="N332" s="13" t="s">
        <v>52</v>
      </c>
      <c r="P332" s="27">
        <v>3026</v>
      </c>
      <c r="Q332" s="28">
        <v>8141.49</v>
      </c>
      <c r="R332" s="13" t="s">
        <v>52</v>
      </c>
      <c r="S332" s="28">
        <v>8141.49</v>
      </c>
    </row>
    <row r="333" ht="23" spans="1:19">
      <c r="A333" s="29" t="s">
        <v>686</v>
      </c>
      <c r="B333" s="26" t="s">
        <v>687</v>
      </c>
      <c r="C333" s="26" t="s">
        <v>504</v>
      </c>
      <c r="D333" s="13" t="s">
        <v>52</v>
      </c>
      <c r="E333" s="27">
        <v>1740</v>
      </c>
      <c r="F333" s="28">
        <v>5503.92</v>
      </c>
      <c r="G333" s="13" t="s">
        <v>52</v>
      </c>
      <c r="H333" s="27">
        <v>2548</v>
      </c>
      <c r="J333" s="28">
        <v>8059.78</v>
      </c>
      <c r="K333" s="13" t="s">
        <v>52</v>
      </c>
      <c r="L333" s="27">
        <v>2526</v>
      </c>
      <c r="M333" s="28">
        <v>7990.18</v>
      </c>
      <c r="N333" s="13" t="s">
        <v>52</v>
      </c>
      <c r="P333" s="27">
        <v>1762</v>
      </c>
      <c r="Q333" s="28">
        <v>5573.52</v>
      </c>
      <c r="R333" s="13" t="s">
        <v>52</v>
      </c>
      <c r="S333" s="28">
        <v>5573.52</v>
      </c>
    </row>
    <row r="334" ht="23" spans="1:19">
      <c r="A334" s="29" t="s">
        <v>688</v>
      </c>
      <c r="B334" s="26" t="s">
        <v>689</v>
      </c>
      <c r="C334" s="26" t="s">
        <v>504</v>
      </c>
      <c r="D334" s="13" t="s">
        <v>52</v>
      </c>
      <c r="E334" s="27">
        <v>1269</v>
      </c>
      <c r="F334" s="28">
        <v>3264.34</v>
      </c>
      <c r="G334" s="13" t="s">
        <v>52</v>
      </c>
      <c r="H334" s="27">
        <v>74</v>
      </c>
      <c r="J334" s="28">
        <v>190.36</v>
      </c>
      <c r="K334" s="13" t="s">
        <v>52</v>
      </c>
      <c r="L334" s="27">
        <v>57</v>
      </c>
      <c r="M334" s="28">
        <v>146.63</v>
      </c>
      <c r="N334" s="13" t="s">
        <v>52</v>
      </c>
      <c r="P334" s="27">
        <v>1286</v>
      </c>
      <c r="Q334" s="28">
        <v>3308.07</v>
      </c>
      <c r="R334" s="13" t="s">
        <v>52</v>
      </c>
      <c r="S334" s="28">
        <v>3308.07</v>
      </c>
    </row>
    <row r="335" ht="23" spans="1:19">
      <c r="A335" s="29" t="s">
        <v>690</v>
      </c>
      <c r="B335" s="26" t="s">
        <v>691</v>
      </c>
      <c r="C335" s="26" t="s">
        <v>504</v>
      </c>
      <c r="D335" s="13" t="s">
        <v>52</v>
      </c>
      <c r="E335" s="27">
        <v>139</v>
      </c>
      <c r="F335" s="28">
        <v>636.42</v>
      </c>
      <c r="G335" s="13" t="s">
        <v>52</v>
      </c>
      <c r="H335" s="27">
        <v>9916</v>
      </c>
      <c r="J335" s="28">
        <v>45400.69</v>
      </c>
      <c r="K335" s="13" t="s">
        <v>52</v>
      </c>
      <c r="L335" s="27">
        <v>8630</v>
      </c>
      <c r="M335" s="28">
        <v>39512.73</v>
      </c>
      <c r="N335" s="13" t="s">
        <v>52</v>
      </c>
      <c r="P335" s="27">
        <v>1425</v>
      </c>
      <c r="Q335" s="28">
        <v>6524.38</v>
      </c>
      <c r="R335" s="13" t="s">
        <v>52</v>
      </c>
      <c r="S335" s="28">
        <v>6524.38</v>
      </c>
    </row>
    <row r="336" ht="23" spans="1:19">
      <c r="A336" s="29" t="s">
        <v>692</v>
      </c>
      <c r="B336" s="26" t="s">
        <v>693</v>
      </c>
      <c r="C336" s="26" t="s">
        <v>504</v>
      </c>
      <c r="D336" s="13" t="s">
        <v>52</v>
      </c>
      <c r="E336" s="27">
        <v>879</v>
      </c>
      <c r="F336" s="28">
        <v>2285.4</v>
      </c>
      <c r="G336" s="13" t="s">
        <v>52</v>
      </c>
      <c r="H336" s="27">
        <v>4998</v>
      </c>
      <c r="J336" s="28">
        <v>12994.8</v>
      </c>
      <c r="K336" s="13" t="s">
        <v>52</v>
      </c>
      <c r="L336" s="27">
        <v>4179</v>
      </c>
      <c r="M336" s="28">
        <v>10865.4</v>
      </c>
      <c r="N336" s="13" t="s">
        <v>52</v>
      </c>
      <c r="P336" s="27">
        <v>1698</v>
      </c>
      <c r="Q336" s="28">
        <v>4414.8</v>
      </c>
      <c r="R336" s="13" t="s">
        <v>52</v>
      </c>
      <c r="S336" s="28">
        <v>4414.8</v>
      </c>
    </row>
    <row r="337" ht="23" spans="1:19">
      <c r="A337" s="29" t="s">
        <v>694</v>
      </c>
      <c r="B337" s="26" t="s">
        <v>695</v>
      </c>
      <c r="C337" s="26" t="s">
        <v>504</v>
      </c>
      <c r="D337" s="13" t="s">
        <v>52</v>
      </c>
      <c r="E337" s="27">
        <v>1565</v>
      </c>
      <c r="F337" s="28">
        <v>5727.9</v>
      </c>
      <c r="G337" s="13" t="s">
        <v>52</v>
      </c>
      <c r="H337" s="27">
        <v>209</v>
      </c>
      <c r="J337" s="28">
        <v>764.94</v>
      </c>
      <c r="K337" s="13" t="s">
        <v>52</v>
      </c>
      <c r="L337" s="27">
        <v>362</v>
      </c>
      <c r="M337" s="28">
        <v>1324.92</v>
      </c>
      <c r="N337" s="13" t="s">
        <v>52</v>
      </c>
      <c r="P337" s="27">
        <v>1412</v>
      </c>
      <c r="Q337" s="28">
        <v>5167.92</v>
      </c>
      <c r="R337" s="13" t="s">
        <v>52</v>
      </c>
      <c r="S337" s="28">
        <v>5167.92</v>
      </c>
    </row>
    <row r="338" ht="23" spans="1:19">
      <c r="A338" s="29" t="s">
        <v>696</v>
      </c>
      <c r="B338" s="26" t="s">
        <v>697</v>
      </c>
      <c r="C338" s="26" t="s">
        <v>504</v>
      </c>
      <c r="D338" s="13" t="s">
        <v>52</v>
      </c>
      <c r="E338" s="27">
        <v>2553</v>
      </c>
      <c r="F338" s="28">
        <v>7120.06</v>
      </c>
      <c r="G338" s="13" t="s">
        <v>52</v>
      </c>
      <c r="H338" s="27">
        <v>91601</v>
      </c>
      <c r="J338" s="28">
        <v>255466.01</v>
      </c>
      <c r="K338" s="13" t="s">
        <v>52</v>
      </c>
      <c r="L338" s="27">
        <v>92491</v>
      </c>
      <c r="M338" s="28">
        <v>257948.12</v>
      </c>
      <c r="N338" s="13" t="s">
        <v>52</v>
      </c>
      <c r="P338" s="27">
        <v>1663</v>
      </c>
      <c r="Q338" s="28">
        <v>4637.95</v>
      </c>
      <c r="R338" s="13" t="s">
        <v>52</v>
      </c>
      <c r="S338" s="28">
        <v>4637.95</v>
      </c>
    </row>
    <row r="339" ht="23" spans="1:19">
      <c r="A339" s="29" t="s">
        <v>698</v>
      </c>
      <c r="B339" s="26" t="s">
        <v>699</v>
      </c>
      <c r="C339" s="26" t="s">
        <v>504</v>
      </c>
      <c r="D339" s="13" t="s">
        <v>52</v>
      </c>
      <c r="E339" s="27">
        <v>2233</v>
      </c>
      <c r="F339" s="28">
        <v>5805.49</v>
      </c>
      <c r="G339" s="13" t="s">
        <v>52</v>
      </c>
      <c r="H339" s="27">
        <v>79</v>
      </c>
      <c r="J339" s="28">
        <v>205.39</v>
      </c>
      <c r="K339" s="13" t="s">
        <v>52</v>
      </c>
      <c r="L339" s="30" t="s">
        <v>52</v>
      </c>
      <c r="M339" s="30" t="s">
        <v>52</v>
      </c>
      <c r="N339" s="13" t="s">
        <v>52</v>
      </c>
      <c r="P339" s="27">
        <v>2312</v>
      </c>
      <c r="Q339" s="28">
        <v>6010.88</v>
      </c>
      <c r="R339" s="13" t="s">
        <v>52</v>
      </c>
      <c r="S339" s="28">
        <v>6010.88</v>
      </c>
    </row>
    <row r="340" ht="23" spans="1:19">
      <c r="A340" s="29" t="s">
        <v>700</v>
      </c>
      <c r="B340" s="26" t="s">
        <v>701</v>
      </c>
      <c r="C340" s="26" t="s">
        <v>504</v>
      </c>
      <c r="D340" s="13" t="s">
        <v>52</v>
      </c>
      <c r="E340" s="27">
        <v>2225</v>
      </c>
      <c r="F340" s="28">
        <v>6071.71</v>
      </c>
      <c r="G340" s="13" t="s">
        <v>52</v>
      </c>
      <c r="H340" s="27">
        <v>75</v>
      </c>
      <c r="J340" s="28">
        <v>204.67</v>
      </c>
      <c r="K340" s="13" t="s">
        <v>52</v>
      </c>
      <c r="L340" s="30" t="s">
        <v>52</v>
      </c>
      <c r="M340" s="30" t="s">
        <v>52</v>
      </c>
      <c r="N340" s="13" t="s">
        <v>52</v>
      </c>
      <c r="P340" s="27">
        <v>2300</v>
      </c>
      <c r="Q340" s="28">
        <v>6276.38</v>
      </c>
      <c r="R340" s="13" t="s">
        <v>52</v>
      </c>
      <c r="S340" s="28">
        <v>6276.38</v>
      </c>
    </row>
    <row r="341" ht="23" spans="1:19">
      <c r="A341" s="29" t="s">
        <v>702</v>
      </c>
      <c r="B341" s="26" t="s">
        <v>703</v>
      </c>
      <c r="C341" s="26" t="s">
        <v>504</v>
      </c>
      <c r="D341" s="13" t="s">
        <v>52</v>
      </c>
      <c r="E341" s="27">
        <v>4818</v>
      </c>
      <c r="F341" s="28">
        <v>8431.5</v>
      </c>
      <c r="G341" s="13" t="s">
        <v>52</v>
      </c>
      <c r="H341" s="27">
        <v>209</v>
      </c>
      <c r="J341" s="28">
        <v>365.75</v>
      </c>
      <c r="K341" s="13" t="s">
        <v>52</v>
      </c>
      <c r="L341" s="27">
        <v>202</v>
      </c>
      <c r="M341" s="28">
        <v>353.5</v>
      </c>
      <c r="N341" s="13" t="s">
        <v>52</v>
      </c>
      <c r="P341" s="27">
        <v>4825</v>
      </c>
      <c r="Q341" s="28">
        <v>8443.75</v>
      </c>
      <c r="R341" s="13" t="s">
        <v>52</v>
      </c>
      <c r="S341" s="28">
        <v>8443.75</v>
      </c>
    </row>
    <row r="342" ht="23" spans="1:19">
      <c r="A342" s="29" t="s">
        <v>704</v>
      </c>
      <c r="B342" s="26" t="s">
        <v>705</v>
      </c>
      <c r="C342" s="26" t="s">
        <v>504</v>
      </c>
      <c r="D342" s="13" t="s">
        <v>52</v>
      </c>
      <c r="E342" s="27">
        <v>2581</v>
      </c>
      <c r="F342" s="28">
        <v>0</v>
      </c>
      <c r="G342" s="13" t="s">
        <v>52</v>
      </c>
      <c r="H342" s="27">
        <v>73</v>
      </c>
      <c r="J342" s="30" t="s">
        <v>52</v>
      </c>
      <c r="K342" s="13" t="s">
        <v>52</v>
      </c>
      <c r="L342" s="27">
        <v>741</v>
      </c>
      <c r="M342" s="30" t="s">
        <v>52</v>
      </c>
      <c r="N342" s="13" t="s">
        <v>52</v>
      </c>
      <c r="P342" s="27">
        <v>1913</v>
      </c>
      <c r="Q342" s="28">
        <v>0</v>
      </c>
      <c r="R342" s="13" t="s">
        <v>52</v>
      </c>
      <c r="S342" s="28">
        <v>0</v>
      </c>
    </row>
    <row r="343" ht="23" spans="1:19">
      <c r="A343" s="29" t="s">
        <v>706</v>
      </c>
      <c r="B343" s="26" t="s">
        <v>707</v>
      </c>
      <c r="C343" s="26" t="s">
        <v>504</v>
      </c>
      <c r="D343" s="13" t="s">
        <v>52</v>
      </c>
      <c r="E343" s="27">
        <v>1355</v>
      </c>
      <c r="F343" s="28">
        <v>0</v>
      </c>
      <c r="G343" s="13" t="s">
        <v>52</v>
      </c>
      <c r="H343" s="27">
        <v>2</v>
      </c>
      <c r="J343" s="30" t="s">
        <v>52</v>
      </c>
      <c r="K343" s="13" t="s">
        <v>52</v>
      </c>
      <c r="L343" s="27">
        <v>193</v>
      </c>
      <c r="M343" s="30" t="s">
        <v>52</v>
      </c>
      <c r="N343" s="13" t="s">
        <v>52</v>
      </c>
      <c r="P343" s="27">
        <v>1164</v>
      </c>
      <c r="Q343" s="28">
        <v>0</v>
      </c>
      <c r="R343" s="13" t="s">
        <v>52</v>
      </c>
      <c r="S343" s="28">
        <v>0</v>
      </c>
    </row>
    <row r="344" ht="23" spans="1:19">
      <c r="A344" s="29" t="s">
        <v>708</v>
      </c>
      <c r="B344" s="26" t="s">
        <v>709</v>
      </c>
      <c r="C344" s="26" t="s">
        <v>504</v>
      </c>
      <c r="D344" s="13" t="s">
        <v>52</v>
      </c>
      <c r="E344" s="27">
        <v>1410</v>
      </c>
      <c r="F344" s="28">
        <v>3658.39</v>
      </c>
      <c r="G344" s="13" t="s">
        <v>52</v>
      </c>
      <c r="H344" s="27">
        <v>77</v>
      </c>
      <c r="J344" s="28">
        <v>199.78</v>
      </c>
      <c r="K344" s="13" t="s">
        <v>52</v>
      </c>
      <c r="L344" s="27">
        <v>3</v>
      </c>
      <c r="M344" s="28">
        <v>7.78</v>
      </c>
      <c r="N344" s="13" t="s">
        <v>52</v>
      </c>
      <c r="P344" s="27">
        <v>1484</v>
      </c>
      <c r="Q344" s="28">
        <v>3850.39</v>
      </c>
      <c r="R344" s="13" t="s">
        <v>52</v>
      </c>
      <c r="S344" s="28">
        <v>3850.39</v>
      </c>
    </row>
    <row r="345" ht="23" spans="1:19">
      <c r="A345" s="29" t="s">
        <v>710</v>
      </c>
      <c r="B345" s="26" t="s">
        <v>711</v>
      </c>
      <c r="C345" s="26" t="s">
        <v>504</v>
      </c>
      <c r="D345" s="13" t="s">
        <v>52</v>
      </c>
      <c r="E345" s="27">
        <v>2157</v>
      </c>
      <c r="F345" s="28">
        <v>6677.19</v>
      </c>
      <c r="G345" s="13" t="s">
        <v>52</v>
      </c>
      <c r="H345" s="27">
        <v>1082</v>
      </c>
      <c r="J345" s="28">
        <v>3349.42</v>
      </c>
      <c r="K345" s="13" t="s">
        <v>52</v>
      </c>
      <c r="L345" s="27">
        <v>253</v>
      </c>
      <c r="M345" s="28">
        <v>783.19</v>
      </c>
      <c r="N345" s="13" t="s">
        <v>52</v>
      </c>
      <c r="P345" s="27">
        <v>2986</v>
      </c>
      <c r="Q345" s="28">
        <v>9243.42</v>
      </c>
      <c r="R345" s="13" t="s">
        <v>52</v>
      </c>
      <c r="S345" s="28">
        <v>9243.42</v>
      </c>
    </row>
    <row r="346" ht="23" spans="1:19">
      <c r="A346" s="29" t="s">
        <v>712</v>
      </c>
      <c r="B346" s="26" t="s">
        <v>713</v>
      </c>
      <c r="C346" s="26" t="s">
        <v>504</v>
      </c>
      <c r="D346" s="13" t="s">
        <v>52</v>
      </c>
      <c r="E346" s="27">
        <v>0</v>
      </c>
      <c r="F346" s="28">
        <v>0</v>
      </c>
      <c r="G346" s="13" t="s">
        <v>52</v>
      </c>
      <c r="H346" s="27">
        <v>3162</v>
      </c>
      <c r="J346" s="28">
        <v>8160.46</v>
      </c>
      <c r="K346" s="13" t="s">
        <v>52</v>
      </c>
      <c r="L346" s="27">
        <v>531</v>
      </c>
      <c r="M346" s="28">
        <v>1370.41</v>
      </c>
      <c r="N346" s="13" t="s">
        <v>52</v>
      </c>
      <c r="P346" s="27">
        <v>2631</v>
      </c>
      <c r="Q346" s="28">
        <v>6790.05</v>
      </c>
      <c r="R346" s="13" t="s">
        <v>52</v>
      </c>
      <c r="S346" s="28">
        <v>6790.05</v>
      </c>
    </row>
    <row r="347" ht="23" spans="1:19">
      <c r="A347" s="29" t="s">
        <v>714</v>
      </c>
      <c r="B347" s="26" t="s">
        <v>715</v>
      </c>
      <c r="C347" s="26" t="s">
        <v>504</v>
      </c>
      <c r="D347" s="13" t="s">
        <v>52</v>
      </c>
      <c r="E347" s="27">
        <v>0</v>
      </c>
      <c r="F347" s="28">
        <v>0</v>
      </c>
      <c r="G347" s="13" t="s">
        <v>52</v>
      </c>
      <c r="H347" s="27">
        <v>6359</v>
      </c>
      <c r="J347" s="28">
        <v>16379.26</v>
      </c>
      <c r="K347" s="13" t="s">
        <v>52</v>
      </c>
      <c r="L347" s="27">
        <v>1678</v>
      </c>
      <c r="M347" s="28">
        <v>4322.13</v>
      </c>
      <c r="N347" s="13" t="s">
        <v>52</v>
      </c>
      <c r="P347" s="27">
        <v>4681</v>
      </c>
      <c r="Q347" s="28">
        <v>12057.13</v>
      </c>
      <c r="R347" s="13" t="s">
        <v>52</v>
      </c>
      <c r="S347" s="28">
        <v>12057.13</v>
      </c>
    </row>
    <row r="348" ht="23" spans="1:19">
      <c r="A348" s="29" t="s">
        <v>716</v>
      </c>
      <c r="B348" s="26" t="s">
        <v>717</v>
      </c>
      <c r="C348" s="26" t="s">
        <v>504</v>
      </c>
      <c r="D348" s="13" t="s">
        <v>52</v>
      </c>
      <c r="E348" s="27">
        <v>0</v>
      </c>
      <c r="F348" s="28">
        <v>0</v>
      </c>
      <c r="G348" s="13" t="s">
        <v>52</v>
      </c>
      <c r="H348" s="27">
        <v>13680</v>
      </c>
      <c r="J348" s="28">
        <v>36483.48</v>
      </c>
      <c r="K348" s="13" t="s">
        <v>52</v>
      </c>
      <c r="L348" s="27">
        <v>9594</v>
      </c>
      <c r="M348" s="28">
        <v>25586.44</v>
      </c>
      <c r="N348" s="13" t="s">
        <v>52</v>
      </c>
      <c r="P348" s="27">
        <v>4086</v>
      </c>
      <c r="Q348" s="28">
        <v>10897.04</v>
      </c>
      <c r="R348" s="13" t="s">
        <v>52</v>
      </c>
      <c r="S348" s="28">
        <v>10897.04</v>
      </c>
    </row>
    <row r="349" ht="23" spans="1:19">
      <c r="A349" s="29" t="s">
        <v>718</v>
      </c>
      <c r="B349" s="26" t="s">
        <v>719</v>
      </c>
      <c r="C349" s="26" t="s">
        <v>504</v>
      </c>
      <c r="D349" s="13" t="s">
        <v>52</v>
      </c>
      <c r="E349" s="27">
        <v>0</v>
      </c>
      <c r="F349" s="28">
        <v>0</v>
      </c>
      <c r="G349" s="13" t="s">
        <v>52</v>
      </c>
      <c r="H349" s="27">
        <v>1892</v>
      </c>
      <c r="J349" s="28">
        <v>4630.72</v>
      </c>
      <c r="K349" s="13" t="s">
        <v>52</v>
      </c>
      <c r="L349" s="27">
        <v>567</v>
      </c>
      <c r="M349" s="28">
        <v>1387.75</v>
      </c>
      <c r="N349" s="13" t="s">
        <v>52</v>
      </c>
      <c r="P349" s="27">
        <v>1325</v>
      </c>
      <c r="Q349" s="28">
        <v>3242.97</v>
      </c>
      <c r="R349" s="13" t="s">
        <v>52</v>
      </c>
      <c r="S349" s="28">
        <v>3242.97</v>
      </c>
    </row>
    <row r="350" ht="23" spans="1:19">
      <c r="A350" s="29" t="s">
        <v>720</v>
      </c>
      <c r="B350" s="26" t="s">
        <v>721</v>
      </c>
      <c r="C350" s="26" t="s">
        <v>504</v>
      </c>
      <c r="D350" s="13" t="s">
        <v>52</v>
      </c>
      <c r="E350" s="27">
        <v>0</v>
      </c>
      <c r="F350" s="28">
        <v>0</v>
      </c>
      <c r="G350" s="13" t="s">
        <v>52</v>
      </c>
      <c r="H350" s="27">
        <v>1648</v>
      </c>
      <c r="J350" s="28">
        <v>8467.69</v>
      </c>
      <c r="K350" s="13" t="s">
        <v>52</v>
      </c>
      <c r="L350" s="27">
        <v>335</v>
      </c>
      <c r="M350" s="28">
        <v>1721.28</v>
      </c>
      <c r="N350" s="13" t="s">
        <v>52</v>
      </c>
      <c r="P350" s="27">
        <v>1313</v>
      </c>
      <c r="Q350" s="28">
        <v>6746.41</v>
      </c>
      <c r="R350" s="13" t="s">
        <v>52</v>
      </c>
      <c r="S350" s="28">
        <v>6746.41</v>
      </c>
    </row>
    <row r="351" ht="23" spans="1:19">
      <c r="A351" s="29" t="s">
        <v>722</v>
      </c>
      <c r="B351" s="26" t="s">
        <v>723</v>
      </c>
      <c r="C351" s="26" t="s">
        <v>504</v>
      </c>
      <c r="D351" s="13" t="s">
        <v>52</v>
      </c>
      <c r="E351" s="27">
        <v>0</v>
      </c>
      <c r="F351" s="28">
        <v>0</v>
      </c>
      <c r="G351" s="13" t="s">
        <v>52</v>
      </c>
      <c r="H351" s="27">
        <v>2437</v>
      </c>
      <c r="J351" s="28">
        <v>6408.44</v>
      </c>
      <c r="K351" s="13" t="s">
        <v>52</v>
      </c>
      <c r="L351" s="27">
        <v>342</v>
      </c>
      <c r="M351" s="28">
        <v>899.32</v>
      </c>
      <c r="N351" s="13" t="s">
        <v>52</v>
      </c>
      <c r="P351" s="27">
        <v>2095</v>
      </c>
      <c r="Q351" s="28">
        <v>5509.12</v>
      </c>
      <c r="R351" s="13" t="s">
        <v>52</v>
      </c>
      <c r="S351" s="28">
        <v>5509.12</v>
      </c>
    </row>
    <row r="352" ht="23" spans="1:19">
      <c r="A352" s="29" t="s">
        <v>724</v>
      </c>
      <c r="B352" s="26" t="s">
        <v>725</v>
      </c>
      <c r="C352" s="26" t="s">
        <v>504</v>
      </c>
      <c r="D352" s="13" t="s">
        <v>52</v>
      </c>
      <c r="E352" s="27">
        <v>0</v>
      </c>
      <c r="F352" s="28">
        <v>0</v>
      </c>
      <c r="G352" s="13" t="s">
        <v>52</v>
      </c>
      <c r="H352" s="27">
        <v>1882</v>
      </c>
      <c r="J352" s="28">
        <v>5290.27</v>
      </c>
      <c r="K352" s="13" t="s">
        <v>52</v>
      </c>
      <c r="L352" s="27">
        <v>25</v>
      </c>
      <c r="M352" s="28">
        <v>70.27</v>
      </c>
      <c r="N352" s="13" t="s">
        <v>52</v>
      </c>
      <c r="P352" s="27">
        <v>1857</v>
      </c>
      <c r="Q352" s="28">
        <v>5220</v>
      </c>
      <c r="R352" s="13" t="s">
        <v>52</v>
      </c>
      <c r="S352" s="28">
        <v>5220</v>
      </c>
    </row>
    <row r="353" ht="23" spans="1:19">
      <c r="A353" s="29" t="s">
        <v>726</v>
      </c>
      <c r="B353" s="26" t="s">
        <v>727</v>
      </c>
      <c r="C353" s="26" t="s">
        <v>504</v>
      </c>
      <c r="D353" s="13" t="s">
        <v>52</v>
      </c>
      <c r="E353" s="27">
        <v>0</v>
      </c>
      <c r="F353" s="28">
        <v>0</v>
      </c>
      <c r="G353" s="13" t="s">
        <v>52</v>
      </c>
      <c r="H353" s="27">
        <v>10</v>
      </c>
      <c r="J353" s="28">
        <v>49231.5</v>
      </c>
      <c r="K353" s="13" t="s">
        <v>52</v>
      </c>
      <c r="L353" s="30" t="s">
        <v>52</v>
      </c>
      <c r="M353" s="30" t="s">
        <v>52</v>
      </c>
      <c r="N353" s="13" t="s">
        <v>52</v>
      </c>
      <c r="P353" s="27">
        <v>10</v>
      </c>
      <c r="Q353" s="28">
        <v>49231.5</v>
      </c>
      <c r="R353" s="13" t="s">
        <v>52</v>
      </c>
      <c r="S353" s="28">
        <v>49231.5</v>
      </c>
    </row>
    <row r="354" ht="23" spans="1:19">
      <c r="A354" s="29" t="s">
        <v>728</v>
      </c>
      <c r="B354" s="26" t="s">
        <v>729</v>
      </c>
      <c r="C354" s="26" t="s">
        <v>504</v>
      </c>
      <c r="D354" s="13" t="s">
        <v>52</v>
      </c>
      <c r="E354" s="27">
        <v>0</v>
      </c>
      <c r="F354" s="28">
        <v>0</v>
      </c>
      <c r="G354" s="13" t="s">
        <v>52</v>
      </c>
      <c r="H354" s="27">
        <v>3575</v>
      </c>
      <c r="J354" s="28">
        <v>9351.7</v>
      </c>
      <c r="K354" s="13" t="s">
        <v>52</v>
      </c>
      <c r="L354" s="27">
        <v>1454</v>
      </c>
      <c r="M354" s="28">
        <v>3803.46</v>
      </c>
      <c r="N354" s="13" t="s">
        <v>52</v>
      </c>
      <c r="P354" s="27">
        <v>2121</v>
      </c>
      <c r="Q354" s="28">
        <v>5548.24</v>
      </c>
      <c r="R354" s="13" t="s">
        <v>52</v>
      </c>
      <c r="S354" s="28">
        <v>5548.24</v>
      </c>
    </row>
    <row r="355" ht="23" spans="1:19">
      <c r="A355" s="29" t="s">
        <v>730</v>
      </c>
      <c r="B355" s="26" t="s">
        <v>731</v>
      </c>
      <c r="C355" s="26" t="s">
        <v>504</v>
      </c>
      <c r="D355" s="13" t="s">
        <v>52</v>
      </c>
      <c r="E355" s="27">
        <v>0</v>
      </c>
      <c r="F355" s="28">
        <v>0</v>
      </c>
      <c r="G355" s="13" t="s">
        <v>52</v>
      </c>
      <c r="H355" s="27">
        <v>14000</v>
      </c>
      <c r="J355" s="30" t="s">
        <v>52</v>
      </c>
      <c r="K355" s="13" t="s">
        <v>52</v>
      </c>
      <c r="L355" s="27">
        <v>2500</v>
      </c>
      <c r="M355" s="30" t="s">
        <v>52</v>
      </c>
      <c r="N355" s="13" t="s">
        <v>52</v>
      </c>
      <c r="P355" s="27">
        <v>11500</v>
      </c>
      <c r="Q355" s="28">
        <v>0</v>
      </c>
      <c r="R355" s="13" t="s">
        <v>52</v>
      </c>
      <c r="S355" s="28">
        <v>0</v>
      </c>
    </row>
    <row r="356" ht="23" spans="1:19">
      <c r="A356" s="29" t="s">
        <v>732</v>
      </c>
      <c r="B356" s="26" t="s">
        <v>733</v>
      </c>
      <c r="C356" s="26" t="s">
        <v>504</v>
      </c>
      <c r="D356" s="13" t="s">
        <v>52</v>
      </c>
      <c r="E356" s="27">
        <v>0</v>
      </c>
      <c r="F356" s="28">
        <v>0</v>
      </c>
      <c r="G356" s="13" t="s">
        <v>52</v>
      </c>
      <c r="H356" s="27">
        <v>1277</v>
      </c>
      <c r="J356" s="28">
        <v>3356.21</v>
      </c>
      <c r="K356" s="13" t="s">
        <v>52</v>
      </c>
      <c r="L356" s="27">
        <v>13</v>
      </c>
      <c r="M356" s="28">
        <v>34.17</v>
      </c>
      <c r="N356" s="13" t="s">
        <v>52</v>
      </c>
      <c r="P356" s="27">
        <v>1264</v>
      </c>
      <c r="Q356" s="28">
        <v>3322.04</v>
      </c>
      <c r="R356" s="13" t="s">
        <v>52</v>
      </c>
      <c r="S356" s="28">
        <v>3322.04</v>
      </c>
    </row>
    <row r="357" ht="7" customHeight="1" spans="1:19">
      <c r="A357" s="33" t="s">
        <v>52</v>
      </c>
      <c r="B357" s="20" t="s">
        <v>52</v>
      </c>
      <c r="C357" s="20" t="s">
        <v>52</v>
      </c>
      <c r="D357" s="20" t="s">
        <v>52</v>
      </c>
      <c r="E357" s="20" t="s">
        <v>52</v>
      </c>
      <c r="F357" s="20" t="s">
        <v>52</v>
      </c>
      <c r="G357" s="20" t="s">
        <v>52</v>
      </c>
      <c r="H357" s="20" t="s">
        <v>52</v>
      </c>
      <c r="I357" s="20" t="s">
        <v>52</v>
      </c>
      <c r="J357" s="20" t="s">
        <v>52</v>
      </c>
      <c r="K357" s="20" t="s">
        <v>52</v>
      </c>
      <c r="L357" s="20" t="s">
        <v>52</v>
      </c>
      <c r="M357" s="20" t="s">
        <v>52</v>
      </c>
      <c r="N357" s="20" t="s">
        <v>52</v>
      </c>
      <c r="O357" s="20" t="s">
        <v>52</v>
      </c>
      <c r="P357" s="20" t="s">
        <v>52</v>
      </c>
      <c r="Q357" s="20" t="s">
        <v>52</v>
      </c>
      <c r="R357" s="20" t="s">
        <v>52</v>
      </c>
      <c r="S357" s="20" t="s">
        <v>52</v>
      </c>
    </row>
    <row r="358" ht="7" customHeight="1" spans="1:1">
      <c r="A358" s="34" t="s">
        <v>52</v>
      </c>
    </row>
    <row r="359" spans="1:19">
      <c r="A359" s="13" t="s">
        <v>567</v>
      </c>
      <c r="C359" s="13" t="s">
        <v>52</v>
      </c>
      <c r="D359" s="13" t="s">
        <v>52</v>
      </c>
      <c r="E359" s="13" t="s">
        <v>52</v>
      </c>
      <c r="F359" s="35">
        <v>708036.29</v>
      </c>
      <c r="G359" s="13" t="s">
        <v>52</v>
      </c>
      <c r="H359" s="13" t="s">
        <v>52</v>
      </c>
      <c r="J359" s="35">
        <v>6247061.33</v>
      </c>
      <c r="K359" s="13" t="s">
        <v>52</v>
      </c>
      <c r="L359" s="13" t="s">
        <v>52</v>
      </c>
      <c r="M359" s="35">
        <v>6101988.12</v>
      </c>
      <c r="N359" s="13" t="s">
        <v>52</v>
      </c>
      <c r="P359" s="13" t="s">
        <v>52</v>
      </c>
      <c r="Q359" s="35">
        <v>853109.5</v>
      </c>
      <c r="R359" s="13" t="s">
        <v>52</v>
      </c>
      <c r="S359" s="35">
        <v>853109.5</v>
      </c>
    </row>
    <row r="360" ht="7" customHeight="1" spans="1:19">
      <c r="A360" s="33" t="s">
        <v>52</v>
      </c>
      <c r="B360" s="20" t="s">
        <v>52</v>
      </c>
      <c r="C360" s="20" t="s">
        <v>52</v>
      </c>
      <c r="D360" s="20" t="s">
        <v>52</v>
      </c>
      <c r="E360" s="20" t="s">
        <v>52</v>
      </c>
      <c r="F360" s="20" t="s">
        <v>52</v>
      </c>
      <c r="G360" s="20" t="s">
        <v>52</v>
      </c>
      <c r="H360" s="20" t="s">
        <v>52</v>
      </c>
      <c r="I360" s="20" t="s">
        <v>52</v>
      </c>
      <c r="J360" s="20" t="s">
        <v>52</v>
      </c>
      <c r="K360" s="20" t="s">
        <v>52</v>
      </c>
      <c r="L360" s="20" t="s">
        <v>52</v>
      </c>
      <c r="M360" s="20" t="s">
        <v>52</v>
      </c>
      <c r="N360" s="20" t="s">
        <v>52</v>
      </c>
      <c r="O360" s="20" t="s">
        <v>52</v>
      </c>
      <c r="P360" s="20" t="s">
        <v>52</v>
      </c>
      <c r="Q360" s="20" t="s">
        <v>52</v>
      </c>
      <c r="R360" s="20" t="s">
        <v>52</v>
      </c>
      <c r="S360" s="20" t="s">
        <v>52</v>
      </c>
    </row>
    <row r="361" ht="7" customHeight="1" spans="1:1">
      <c r="A361" s="34" t="s">
        <v>52</v>
      </c>
    </row>
    <row r="362" ht="14" customHeight="1" spans="1:1">
      <c r="A362" s="34" t="s">
        <v>52</v>
      </c>
    </row>
    <row r="363" spans="1:19">
      <c r="A363" s="22" t="s">
        <v>734</v>
      </c>
      <c r="C363" s="13" t="s">
        <v>52</v>
      </c>
      <c r="D363" s="13" t="s">
        <v>52</v>
      </c>
      <c r="E363" s="23" t="s">
        <v>52</v>
      </c>
      <c r="F363" s="23" t="s">
        <v>52</v>
      </c>
      <c r="G363" s="13" t="s">
        <v>52</v>
      </c>
      <c r="H363" s="23" t="s">
        <v>52</v>
      </c>
      <c r="J363" s="23" t="s">
        <v>52</v>
      </c>
      <c r="K363" s="13" t="s">
        <v>52</v>
      </c>
      <c r="L363" s="23" t="s">
        <v>52</v>
      </c>
      <c r="M363" s="23" t="s">
        <v>52</v>
      </c>
      <c r="N363" s="13" t="s">
        <v>52</v>
      </c>
      <c r="P363" s="23" t="s">
        <v>52</v>
      </c>
      <c r="Q363" s="23" t="s">
        <v>52</v>
      </c>
      <c r="R363" s="13" t="s">
        <v>52</v>
      </c>
      <c r="S363" s="23" t="s">
        <v>52</v>
      </c>
    </row>
    <row r="364" ht="7" customHeight="1" spans="1:1">
      <c r="A364" s="24" t="s">
        <v>52</v>
      </c>
    </row>
    <row r="365" spans="1:19">
      <c r="A365" s="29" t="s">
        <v>735</v>
      </c>
      <c r="B365" s="26" t="s">
        <v>736</v>
      </c>
      <c r="C365" s="26" t="s">
        <v>737</v>
      </c>
      <c r="D365" s="13" t="s">
        <v>52</v>
      </c>
      <c r="E365" s="27">
        <v>0.57</v>
      </c>
      <c r="F365" s="28">
        <v>8071.53</v>
      </c>
      <c r="G365" s="13" t="s">
        <v>52</v>
      </c>
      <c r="H365" s="30" t="s">
        <v>52</v>
      </c>
      <c r="J365" s="30" t="s">
        <v>52</v>
      </c>
      <c r="K365" s="13" t="s">
        <v>52</v>
      </c>
      <c r="L365" s="27">
        <v>0.57</v>
      </c>
      <c r="M365" s="28">
        <v>8071.53</v>
      </c>
      <c r="N365" s="13" t="s">
        <v>52</v>
      </c>
      <c r="P365" s="27">
        <v>0</v>
      </c>
      <c r="Q365" s="28">
        <v>0</v>
      </c>
      <c r="R365" s="13" t="s">
        <v>52</v>
      </c>
      <c r="S365" s="28">
        <v>0</v>
      </c>
    </row>
    <row r="366" spans="1:19">
      <c r="A366" s="29" t="s">
        <v>738</v>
      </c>
      <c r="B366" s="26" t="s">
        <v>739</v>
      </c>
      <c r="C366" s="26" t="s">
        <v>737</v>
      </c>
      <c r="D366" s="13" t="s">
        <v>52</v>
      </c>
      <c r="E366" s="27">
        <v>20</v>
      </c>
      <c r="F366" s="28">
        <v>390</v>
      </c>
      <c r="G366" s="13" t="s">
        <v>52</v>
      </c>
      <c r="H366" s="30" t="s">
        <v>52</v>
      </c>
      <c r="J366" s="30" t="s">
        <v>52</v>
      </c>
      <c r="K366" s="13" t="s">
        <v>52</v>
      </c>
      <c r="L366" s="30" t="s">
        <v>52</v>
      </c>
      <c r="M366" s="30" t="s">
        <v>52</v>
      </c>
      <c r="N366" s="13" t="s">
        <v>52</v>
      </c>
      <c r="P366" s="27">
        <v>20</v>
      </c>
      <c r="Q366" s="28">
        <v>390</v>
      </c>
      <c r="R366" s="13" t="s">
        <v>52</v>
      </c>
      <c r="S366" s="28">
        <v>390</v>
      </c>
    </row>
    <row r="367" spans="1:19">
      <c r="A367" s="29" t="s">
        <v>740</v>
      </c>
      <c r="B367" s="26" t="s">
        <v>741</v>
      </c>
      <c r="C367" s="26" t="s">
        <v>438</v>
      </c>
      <c r="D367" s="13" t="s">
        <v>52</v>
      </c>
      <c r="E367" s="27">
        <v>205</v>
      </c>
      <c r="F367" s="28">
        <v>50333.65</v>
      </c>
      <c r="G367" s="13" t="s">
        <v>52</v>
      </c>
      <c r="H367" s="27">
        <v>305</v>
      </c>
      <c r="J367" s="28">
        <v>75325.85</v>
      </c>
      <c r="K367" s="13" t="s">
        <v>52</v>
      </c>
      <c r="L367" s="27">
        <v>370</v>
      </c>
      <c r="M367" s="28">
        <v>91083.7</v>
      </c>
      <c r="N367" s="13" t="s">
        <v>52</v>
      </c>
      <c r="P367" s="27">
        <v>140</v>
      </c>
      <c r="Q367" s="28">
        <v>34575.8</v>
      </c>
      <c r="R367" s="13" t="s">
        <v>52</v>
      </c>
      <c r="S367" s="28">
        <v>34575.8</v>
      </c>
    </row>
    <row r="368" spans="1:19">
      <c r="A368" s="29" t="s">
        <v>742</v>
      </c>
      <c r="B368" s="26" t="s">
        <v>743</v>
      </c>
      <c r="C368" s="26" t="s">
        <v>438</v>
      </c>
      <c r="D368" s="13" t="s">
        <v>52</v>
      </c>
      <c r="E368" s="27">
        <v>10</v>
      </c>
      <c r="F368" s="28">
        <v>3340.8</v>
      </c>
      <c r="G368" s="13" t="s">
        <v>52</v>
      </c>
      <c r="H368" s="30" t="s">
        <v>52</v>
      </c>
      <c r="J368" s="30" t="s">
        <v>52</v>
      </c>
      <c r="K368" s="13" t="s">
        <v>52</v>
      </c>
      <c r="L368" s="30" t="s">
        <v>52</v>
      </c>
      <c r="M368" s="30" t="s">
        <v>52</v>
      </c>
      <c r="N368" s="13" t="s">
        <v>52</v>
      </c>
      <c r="P368" s="27">
        <v>10</v>
      </c>
      <c r="Q368" s="28">
        <v>3340.8</v>
      </c>
      <c r="R368" s="13" t="s">
        <v>52</v>
      </c>
      <c r="S368" s="28">
        <v>3340.8</v>
      </c>
    </row>
    <row r="369" spans="1:19">
      <c r="A369" s="29" t="s">
        <v>744</v>
      </c>
      <c r="B369" s="26" t="s">
        <v>745</v>
      </c>
      <c r="C369" s="26" t="s">
        <v>737</v>
      </c>
      <c r="D369" s="13" t="s">
        <v>52</v>
      </c>
      <c r="E369" s="27">
        <v>1</v>
      </c>
      <c r="F369" s="28">
        <v>11143.41</v>
      </c>
      <c r="G369" s="13" t="s">
        <v>52</v>
      </c>
      <c r="H369" s="30" t="s">
        <v>52</v>
      </c>
      <c r="J369" s="30" t="s">
        <v>52</v>
      </c>
      <c r="K369" s="13" t="s">
        <v>52</v>
      </c>
      <c r="L369" s="27">
        <v>0.149</v>
      </c>
      <c r="M369" s="28">
        <v>1660.37</v>
      </c>
      <c r="N369" s="13" t="s">
        <v>52</v>
      </c>
      <c r="P369" s="27">
        <v>0.851</v>
      </c>
      <c r="Q369" s="28">
        <v>9483.04</v>
      </c>
      <c r="R369" s="13" t="s">
        <v>52</v>
      </c>
      <c r="S369" s="28">
        <v>9483.04</v>
      </c>
    </row>
    <row r="370" spans="1:19">
      <c r="A370" s="29" t="s">
        <v>746</v>
      </c>
      <c r="B370" s="26" t="s">
        <v>747</v>
      </c>
      <c r="C370" s="26" t="s">
        <v>438</v>
      </c>
      <c r="D370" s="13" t="s">
        <v>52</v>
      </c>
      <c r="E370" s="27">
        <v>2</v>
      </c>
      <c r="F370" s="28">
        <v>75233.26</v>
      </c>
      <c r="G370" s="13" t="s">
        <v>52</v>
      </c>
      <c r="H370" s="27">
        <v>2</v>
      </c>
      <c r="J370" s="28">
        <v>75600.7</v>
      </c>
      <c r="K370" s="13" t="s">
        <v>52</v>
      </c>
      <c r="L370" s="27">
        <v>2</v>
      </c>
      <c r="M370" s="28">
        <v>75233.26</v>
      </c>
      <c r="N370" s="13" t="s">
        <v>52</v>
      </c>
      <c r="P370" s="27">
        <v>2</v>
      </c>
      <c r="Q370" s="28">
        <v>75600.7</v>
      </c>
      <c r="R370" s="13" t="s">
        <v>52</v>
      </c>
      <c r="S370" s="28">
        <v>75600.7</v>
      </c>
    </row>
    <row r="371" spans="1:19">
      <c r="A371" s="29" t="s">
        <v>748</v>
      </c>
      <c r="B371" s="26" t="s">
        <v>749</v>
      </c>
      <c r="C371" s="26" t="s">
        <v>737</v>
      </c>
      <c r="D371" s="13" t="s">
        <v>52</v>
      </c>
      <c r="E371" s="27">
        <v>3.601</v>
      </c>
      <c r="F371" s="28">
        <v>13480.85</v>
      </c>
      <c r="G371" s="13" t="s">
        <v>52</v>
      </c>
      <c r="H371" s="27">
        <v>1.596</v>
      </c>
      <c r="J371" s="28">
        <v>5974.85</v>
      </c>
      <c r="K371" s="13" t="s">
        <v>52</v>
      </c>
      <c r="L371" s="27">
        <v>1.817</v>
      </c>
      <c r="M371" s="28">
        <v>6802.2</v>
      </c>
      <c r="N371" s="13" t="s">
        <v>52</v>
      </c>
      <c r="P371" s="27">
        <v>3.38</v>
      </c>
      <c r="Q371" s="28">
        <v>12653.5</v>
      </c>
      <c r="R371" s="13" t="s">
        <v>52</v>
      </c>
      <c r="S371" s="28">
        <v>12653.5</v>
      </c>
    </row>
    <row r="372" spans="1:19">
      <c r="A372" s="29" t="s">
        <v>750</v>
      </c>
      <c r="B372" s="26" t="s">
        <v>751</v>
      </c>
      <c r="C372" s="26" t="s">
        <v>438</v>
      </c>
      <c r="D372" s="13" t="s">
        <v>52</v>
      </c>
      <c r="E372" s="27">
        <v>4</v>
      </c>
      <c r="F372" s="28">
        <v>3908.32</v>
      </c>
      <c r="G372" s="13" t="s">
        <v>52</v>
      </c>
      <c r="H372" s="30" t="s">
        <v>52</v>
      </c>
      <c r="J372" s="30" t="s">
        <v>52</v>
      </c>
      <c r="K372" s="13" t="s">
        <v>52</v>
      </c>
      <c r="L372" s="30" t="s">
        <v>52</v>
      </c>
      <c r="M372" s="30" t="s">
        <v>52</v>
      </c>
      <c r="N372" s="13" t="s">
        <v>52</v>
      </c>
      <c r="P372" s="27">
        <v>4</v>
      </c>
      <c r="Q372" s="28">
        <v>3908.32</v>
      </c>
      <c r="R372" s="13" t="s">
        <v>52</v>
      </c>
      <c r="S372" s="28">
        <v>3908.32</v>
      </c>
    </row>
    <row r="373" spans="1:19">
      <c r="A373" s="29" t="s">
        <v>752</v>
      </c>
      <c r="B373" s="26" t="s">
        <v>753</v>
      </c>
      <c r="C373" s="26" t="s">
        <v>438</v>
      </c>
      <c r="D373" s="13" t="s">
        <v>52</v>
      </c>
      <c r="E373" s="27">
        <v>1</v>
      </c>
      <c r="F373" s="28">
        <v>3444</v>
      </c>
      <c r="G373" s="13" t="s">
        <v>52</v>
      </c>
      <c r="H373" s="30" t="s">
        <v>52</v>
      </c>
      <c r="J373" s="30" t="s">
        <v>52</v>
      </c>
      <c r="K373" s="13" t="s">
        <v>52</v>
      </c>
      <c r="L373" s="30" t="s">
        <v>52</v>
      </c>
      <c r="M373" s="30" t="s">
        <v>52</v>
      </c>
      <c r="N373" s="13" t="s">
        <v>52</v>
      </c>
      <c r="P373" s="27">
        <v>1</v>
      </c>
      <c r="Q373" s="28">
        <v>3444</v>
      </c>
      <c r="R373" s="13" t="s">
        <v>52</v>
      </c>
      <c r="S373" s="28">
        <v>3444</v>
      </c>
    </row>
    <row r="374" spans="1:19">
      <c r="A374" s="29" t="s">
        <v>754</v>
      </c>
      <c r="B374" s="26" t="s">
        <v>755</v>
      </c>
      <c r="C374" s="26" t="s">
        <v>438</v>
      </c>
      <c r="D374" s="13" t="s">
        <v>52</v>
      </c>
      <c r="E374" s="27">
        <v>5</v>
      </c>
      <c r="F374" s="28">
        <v>41514.12</v>
      </c>
      <c r="G374" s="13" t="s">
        <v>52</v>
      </c>
      <c r="H374" s="30" t="s">
        <v>52</v>
      </c>
      <c r="J374" s="30" t="s">
        <v>52</v>
      </c>
      <c r="K374" s="13" t="s">
        <v>52</v>
      </c>
      <c r="L374" s="30" t="s">
        <v>52</v>
      </c>
      <c r="M374" s="30" t="s">
        <v>52</v>
      </c>
      <c r="N374" s="13" t="s">
        <v>52</v>
      </c>
      <c r="P374" s="27">
        <v>5</v>
      </c>
      <c r="Q374" s="28">
        <v>41514.12</v>
      </c>
      <c r="R374" s="13" t="s">
        <v>52</v>
      </c>
      <c r="S374" s="28">
        <v>41514.12</v>
      </c>
    </row>
    <row r="375" spans="1:19">
      <c r="A375" s="29" t="s">
        <v>756</v>
      </c>
      <c r="B375" s="26" t="s">
        <v>757</v>
      </c>
      <c r="C375" s="26" t="s">
        <v>438</v>
      </c>
      <c r="D375" s="13" t="s">
        <v>52</v>
      </c>
      <c r="E375" s="27">
        <v>6</v>
      </c>
      <c r="F375" s="28">
        <v>26359.38</v>
      </c>
      <c r="G375" s="13" t="s">
        <v>52</v>
      </c>
      <c r="H375" s="27">
        <v>1</v>
      </c>
      <c r="J375" s="28">
        <v>4393.23</v>
      </c>
      <c r="K375" s="13" t="s">
        <v>52</v>
      </c>
      <c r="L375" s="30" t="s">
        <v>52</v>
      </c>
      <c r="M375" s="30" t="s">
        <v>52</v>
      </c>
      <c r="N375" s="13" t="s">
        <v>52</v>
      </c>
      <c r="P375" s="27">
        <v>7</v>
      </c>
      <c r="Q375" s="28">
        <v>30752.61</v>
      </c>
      <c r="R375" s="13" t="s">
        <v>52</v>
      </c>
      <c r="S375" s="28">
        <v>30752.61</v>
      </c>
    </row>
    <row r="376" spans="1:19">
      <c r="A376" s="29" t="s">
        <v>758</v>
      </c>
      <c r="B376" s="26" t="s">
        <v>759</v>
      </c>
      <c r="C376" s="26" t="s">
        <v>438</v>
      </c>
      <c r="D376" s="13" t="s">
        <v>52</v>
      </c>
      <c r="E376" s="27">
        <v>0</v>
      </c>
      <c r="F376" s="28">
        <v>0</v>
      </c>
      <c r="G376" s="13" t="s">
        <v>52</v>
      </c>
      <c r="H376" s="27">
        <v>3</v>
      </c>
      <c r="J376" s="28">
        <v>27696</v>
      </c>
      <c r="K376" s="13" t="s">
        <v>52</v>
      </c>
      <c r="L376" s="27">
        <v>1</v>
      </c>
      <c r="M376" s="28">
        <v>9232</v>
      </c>
      <c r="N376" s="13" t="s">
        <v>52</v>
      </c>
      <c r="P376" s="27">
        <v>2</v>
      </c>
      <c r="Q376" s="28">
        <v>18464</v>
      </c>
      <c r="R376" s="13" t="s">
        <v>52</v>
      </c>
      <c r="S376" s="28">
        <v>18464</v>
      </c>
    </row>
    <row r="377" ht="23" spans="1:19">
      <c r="A377" s="29" t="s">
        <v>760</v>
      </c>
      <c r="B377" s="26" t="s">
        <v>761</v>
      </c>
      <c r="C377" s="26" t="s">
        <v>504</v>
      </c>
      <c r="D377" s="13" t="s">
        <v>52</v>
      </c>
      <c r="E377" s="27">
        <v>400</v>
      </c>
      <c r="F377" s="28">
        <v>0</v>
      </c>
      <c r="G377" s="13" t="s">
        <v>52</v>
      </c>
      <c r="H377" s="30" t="s">
        <v>52</v>
      </c>
      <c r="J377" s="30" t="s">
        <v>52</v>
      </c>
      <c r="K377" s="13" t="s">
        <v>52</v>
      </c>
      <c r="L377" s="27">
        <v>400</v>
      </c>
      <c r="M377" s="30" t="s">
        <v>52</v>
      </c>
      <c r="N377" s="13" t="s">
        <v>52</v>
      </c>
      <c r="P377" s="27">
        <v>0</v>
      </c>
      <c r="Q377" s="28">
        <v>0</v>
      </c>
      <c r="R377" s="13" t="s">
        <v>52</v>
      </c>
      <c r="S377" s="28">
        <v>0</v>
      </c>
    </row>
    <row r="378" ht="7" customHeight="1" spans="1:19">
      <c r="A378" s="33" t="s">
        <v>52</v>
      </c>
      <c r="B378" s="20" t="s">
        <v>52</v>
      </c>
      <c r="C378" s="20" t="s">
        <v>52</v>
      </c>
      <c r="D378" s="20" t="s">
        <v>52</v>
      </c>
      <c r="E378" s="20" t="s">
        <v>52</v>
      </c>
      <c r="F378" s="20" t="s">
        <v>52</v>
      </c>
      <c r="G378" s="20" t="s">
        <v>52</v>
      </c>
      <c r="H378" s="20" t="s">
        <v>52</v>
      </c>
      <c r="I378" s="20" t="s">
        <v>52</v>
      </c>
      <c r="J378" s="20" t="s">
        <v>52</v>
      </c>
      <c r="K378" s="20" t="s">
        <v>52</v>
      </c>
      <c r="L378" s="20" t="s">
        <v>52</v>
      </c>
      <c r="M378" s="20" t="s">
        <v>52</v>
      </c>
      <c r="N378" s="20" t="s">
        <v>52</v>
      </c>
      <c r="O378" s="20" t="s">
        <v>52</v>
      </c>
      <c r="P378" s="20" t="s">
        <v>52</v>
      </c>
      <c r="Q378" s="20" t="s">
        <v>52</v>
      </c>
      <c r="R378" s="20" t="s">
        <v>52</v>
      </c>
      <c r="S378" s="20" t="s">
        <v>52</v>
      </c>
    </row>
    <row r="379" ht="7" customHeight="1" spans="1:1">
      <c r="A379" s="34" t="s">
        <v>52</v>
      </c>
    </row>
    <row r="380" spans="1:19">
      <c r="A380" s="13" t="s">
        <v>734</v>
      </c>
      <c r="C380" s="13" t="s">
        <v>52</v>
      </c>
      <c r="D380" s="13" t="s">
        <v>52</v>
      </c>
      <c r="E380" s="13" t="s">
        <v>52</v>
      </c>
      <c r="F380" s="35">
        <v>237219.32</v>
      </c>
      <c r="G380" s="13" t="s">
        <v>52</v>
      </c>
      <c r="H380" s="13" t="s">
        <v>52</v>
      </c>
      <c r="J380" s="35">
        <v>188990.63</v>
      </c>
      <c r="K380" s="13" t="s">
        <v>52</v>
      </c>
      <c r="L380" s="13" t="s">
        <v>52</v>
      </c>
      <c r="M380" s="35">
        <v>192083.06</v>
      </c>
      <c r="N380" s="13" t="s">
        <v>52</v>
      </c>
      <c r="P380" s="13" t="s">
        <v>52</v>
      </c>
      <c r="Q380" s="35">
        <v>234126.89</v>
      </c>
      <c r="R380" s="13" t="s">
        <v>52</v>
      </c>
      <c r="S380" s="35">
        <v>234126.89</v>
      </c>
    </row>
    <row r="381" ht="7" customHeight="1" spans="1:19">
      <c r="A381" s="33" t="s">
        <v>52</v>
      </c>
      <c r="B381" s="20" t="s">
        <v>52</v>
      </c>
      <c r="C381" s="20" t="s">
        <v>52</v>
      </c>
      <c r="D381" s="20" t="s">
        <v>52</v>
      </c>
      <c r="E381" s="20" t="s">
        <v>52</v>
      </c>
      <c r="F381" s="20" t="s">
        <v>52</v>
      </c>
      <c r="G381" s="20" t="s">
        <v>52</v>
      </c>
      <c r="H381" s="20" t="s">
        <v>52</v>
      </c>
      <c r="I381" s="20" t="s">
        <v>52</v>
      </c>
      <c r="J381" s="20" t="s">
        <v>52</v>
      </c>
      <c r="K381" s="20" t="s">
        <v>52</v>
      </c>
      <c r="L381" s="20" t="s">
        <v>52</v>
      </c>
      <c r="M381" s="20" t="s">
        <v>52</v>
      </c>
      <c r="N381" s="20" t="s">
        <v>52</v>
      </c>
      <c r="O381" s="20" t="s">
        <v>52</v>
      </c>
      <c r="P381" s="20" t="s">
        <v>52</v>
      </c>
      <c r="Q381" s="20" t="s">
        <v>52</v>
      </c>
      <c r="R381" s="20" t="s">
        <v>52</v>
      </c>
      <c r="S381" s="20" t="s">
        <v>52</v>
      </c>
    </row>
    <row r="382" ht="7" customHeight="1" spans="1:1">
      <c r="A382" s="34" t="s">
        <v>52</v>
      </c>
    </row>
    <row r="383" ht="14" customHeight="1" spans="1:1">
      <c r="A383" s="34" t="s">
        <v>52</v>
      </c>
    </row>
    <row r="384" spans="1:19">
      <c r="A384" s="22" t="s">
        <v>762</v>
      </c>
      <c r="C384" s="13" t="s">
        <v>52</v>
      </c>
      <c r="D384" s="13" t="s">
        <v>52</v>
      </c>
      <c r="E384" s="23" t="s">
        <v>52</v>
      </c>
      <c r="F384" s="23" t="s">
        <v>52</v>
      </c>
      <c r="G384" s="13" t="s">
        <v>52</v>
      </c>
      <c r="H384" s="23" t="s">
        <v>52</v>
      </c>
      <c r="J384" s="23" t="s">
        <v>52</v>
      </c>
      <c r="K384" s="13" t="s">
        <v>52</v>
      </c>
      <c r="L384" s="23" t="s">
        <v>52</v>
      </c>
      <c r="M384" s="23" t="s">
        <v>52</v>
      </c>
      <c r="N384" s="13" t="s">
        <v>52</v>
      </c>
      <c r="P384" s="23" t="s">
        <v>52</v>
      </c>
      <c r="Q384" s="23" t="s">
        <v>52</v>
      </c>
      <c r="R384" s="13" t="s">
        <v>52</v>
      </c>
      <c r="S384" s="23" t="s">
        <v>52</v>
      </c>
    </row>
    <row r="385" ht="7" customHeight="1" spans="1:1">
      <c r="A385" s="24" t="s">
        <v>52</v>
      </c>
    </row>
    <row r="386" spans="1:19">
      <c r="A386" s="29" t="s">
        <v>763</v>
      </c>
      <c r="B386" s="26" t="s">
        <v>764</v>
      </c>
      <c r="C386" s="26" t="s">
        <v>438</v>
      </c>
      <c r="D386" s="13" t="s">
        <v>52</v>
      </c>
      <c r="E386" s="27">
        <v>1</v>
      </c>
      <c r="F386" s="28">
        <v>47449.73</v>
      </c>
      <c r="G386" s="13" t="s">
        <v>52</v>
      </c>
      <c r="H386" s="30" t="s">
        <v>52</v>
      </c>
      <c r="J386" s="30" t="s">
        <v>52</v>
      </c>
      <c r="K386" s="13" t="s">
        <v>52</v>
      </c>
      <c r="L386" s="30" t="s">
        <v>52</v>
      </c>
      <c r="M386" s="30" t="s">
        <v>52</v>
      </c>
      <c r="N386" s="13" t="s">
        <v>52</v>
      </c>
      <c r="P386" s="27">
        <v>1</v>
      </c>
      <c r="Q386" s="28">
        <v>47449.73</v>
      </c>
      <c r="R386" s="13" t="s">
        <v>52</v>
      </c>
      <c r="S386" s="28">
        <v>47449.73</v>
      </c>
    </row>
    <row r="387" spans="1:19">
      <c r="A387" s="29" t="s">
        <v>765</v>
      </c>
      <c r="B387" s="26" t="s">
        <v>766</v>
      </c>
      <c r="C387" s="26" t="s">
        <v>438</v>
      </c>
      <c r="D387" s="13" t="s">
        <v>52</v>
      </c>
      <c r="E387" s="27">
        <v>2</v>
      </c>
      <c r="F387" s="28">
        <v>0</v>
      </c>
      <c r="G387" s="13" t="s">
        <v>52</v>
      </c>
      <c r="H387" s="30" t="s">
        <v>52</v>
      </c>
      <c r="J387" s="30" t="s">
        <v>52</v>
      </c>
      <c r="K387" s="13" t="s">
        <v>52</v>
      </c>
      <c r="L387" s="30" t="s">
        <v>52</v>
      </c>
      <c r="M387" s="30" t="s">
        <v>52</v>
      </c>
      <c r="N387" s="13" t="s">
        <v>52</v>
      </c>
      <c r="P387" s="27">
        <v>2</v>
      </c>
      <c r="Q387" s="28">
        <v>0</v>
      </c>
      <c r="R387" s="13" t="s">
        <v>52</v>
      </c>
      <c r="S387" s="28">
        <v>0</v>
      </c>
    </row>
    <row r="388" spans="1:19">
      <c r="A388" s="29" t="s">
        <v>767</v>
      </c>
      <c r="B388" s="26" t="s">
        <v>768</v>
      </c>
      <c r="C388" s="26" t="s">
        <v>438</v>
      </c>
      <c r="D388" s="13" t="s">
        <v>52</v>
      </c>
      <c r="E388" s="27">
        <v>2</v>
      </c>
      <c r="F388" s="28">
        <v>0</v>
      </c>
      <c r="G388" s="13" t="s">
        <v>52</v>
      </c>
      <c r="H388" s="30" t="s">
        <v>52</v>
      </c>
      <c r="J388" s="30" t="s">
        <v>52</v>
      </c>
      <c r="K388" s="13" t="s">
        <v>52</v>
      </c>
      <c r="L388" s="30" t="s">
        <v>52</v>
      </c>
      <c r="M388" s="30" t="s">
        <v>52</v>
      </c>
      <c r="N388" s="13" t="s">
        <v>52</v>
      </c>
      <c r="P388" s="27">
        <v>2</v>
      </c>
      <c r="Q388" s="28">
        <v>0</v>
      </c>
      <c r="R388" s="13" t="s">
        <v>52</v>
      </c>
      <c r="S388" s="28">
        <v>0</v>
      </c>
    </row>
    <row r="389" spans="1:19">
      <c r="A389" s="29" t="s">
        <v>769</v>
      </c>
      <c r="B389" s="26" t="s">
        <v>770</v>
      </c>
      <c r="C389" s="26" t="s">
        <v>438</v>
      </c>
      <c r="D389" s="13" t="s">
        <v>52</v>
      </c>
      <c r="E389" s="27">
        <v>21</v>
      </c>
      <c r="F389" s="28">
        <v>46365.48</v>
      </c>
      <c r="G389" s="13" t="s">
        <v>52</v>
      </c>
      <c r="H389" s="30" t="s">
        <v>52</v>
      </c>
      <c r="J389" s="30" t="s">
        <v>52</v>
      </c>
      <c r="K389" s="13" t="s">
        <v>52</v>
      </c>
      <c r="L389" s="27">
        <v>6</v>
      </c>
      <c r="M389" s="28">
        <v>13247.28</v>
      </c>
      <c r="N389" s="13" t="s">
        <v>52</v>
      </c>
      <c r="P389" s="27">
        <v>15</v>
      </c>
      <c r="Q389" s="28">
        <v>33118.2</v>
      </c>
      <c r="R389" s="13" t="s">
        <v>52</v>
      </c>
      <c r="S389" s="28">
        <v>33118.2</v>
      </c>
    </row>
    <row r="390" spans="1:19">
      <c r="A390" s="29" t="s">
        <v>771</v>
      </c>
      <c r="B390" s="26" t="s">
        <v>772</v>
      </c>
      <c r="C390" s="26" t="s">
        <v>438</v>
      </c>
      <c r="D390" s="13" t="s">
        <v>52</v>
      </c>
      <c r="E390" s="27">
        <v>2</v>
      </c>
      <c r="F390" s="28">
        <v>5106</v>
      </c>
      <c r="G390" s="13" t="s">
        <v>52</v>
      </c>
      <c r="H390" s="30" t="s">
        <v>52</v>
      </c>
      <c r="J390" s="30" t="s">
        <v>52</v>
      </c>
      <c r="K390" s="13" t="s">
        <v>52</v>
      </c>
      <c r="L390" s="30" t="s">
        <v>52</v>
      </c>
      <c r="M390" s="30" t="s">
        <v>52</v>
      </c>
      <c r="N390" s="13" t="s">
        <v>52</v>
      </c>
      <c r="P390" s="27">
        <v>2</v>
      </c>
      <c r="Q390" s="28">
        <v>5106</v>
      </c>
      <c r="R390" s="13" t="s">
        <v>52</v>
      </c>
      <c r="S390" s="28">
        <v>5106</v>
      </c>
    </row>
    <row r="391" ht="23" spans="1:19">
      <c r="A391" s="29" t="s">
        <v>773</v>
      </c>
      <c r="B391" s="26" t="s">
        <v>774</v>
      </c>
      <c r="C391" s="26" t="s">
        <v>438</v>
      </c>
      <c r="D391" s="13" t="s">
        <v>52</v>
      </c>
      <c r="E391" s="27">
        <v>1</v>
      </c>
      <c r="F391" s="28">
        <v>10479</v>
      </c>
      <c r="G391" s="13" t="s">
        <v>52</v>
      </c>
      <c r="H391" s="30" t="s">
        <v>52</v>
      </c>
      <c r="J391" s="30" t="s">
        <v>52</v>
      </c>
      <c r="K391" s="13" t="s">
        <v>52</v>
      </c>
      <c r="L391" s="30" t="s">
        <v>52</v>
      </c>
      <c r="M391" s="30" t="s">
        <v>52</v>
      </c>
      <c r="N391" s="13" t="s">
        <v>52</v>
      </c>
      <c r="P391" s="27">
        <v>1</v>
      </c>
      <c r="Q391" s="28">
        <v>10479</v>
      </c>
      <c r="R391" s="13" t="s">
        <v>52</v>
      </c>
      <c r="S391" s="28">
        <v>10479</v>
      </c>
    </row>
    <row r="392" spans="1:19">
      <c r="A392" s="29" t="s">
        <v>775</v>
      </c>
      <c r="B392" s="26" t="s">
        <v>776</v>
      </c>
      <c r="C392" s="26" t="s">
        <v>438</v>
      </c>
      <c r="D392" s="13" t="s">
        <v>52</v>
      </c>
      <c r="E392" s="27">
        <v>2</v>
      </c>
      <c r="F392" s="28">
        <v>13130</v>
      </c>
      <c r="G392" s="13" t="s">
        <v>52</v>
      </c>
      <c r="H392" s="30" t="s">
        <v>52</v>
      </c>
      <c r="J392" s="30" t="s">
        <v>52</v>
      </c>
      <c r="K392" s="13" t="s">
        <v>52</v>
      </c>
      <c r="L392" s="30" t="s">
        <v>52</v>
      </c>
      <c r="M392" s="30" t="s">
        <v>52</v>
      </c>
      <c r="N392" s="13" t="s">
        <v>52</v>
      </c>
      <c r="P392" s="27">
        <v>2</v>
      </c>
      <c r="Q392" s="28">
        <v>13130</v>
      </c>
      <c r="R392" s="13" t="s">
        <v>52</v>
      </c>
      <c r="S392" s="28">
        <v>13130</v>
      </c>
    </row>
    <row r="393" spans="1:19">
      <c r="A393" s="29" t="s">
        <v>777</v>
      </c>
      <c r="B393" s="26" t="s">
        <v>778</v>
      </c>
      <c r="C393" s="26" t="s">
        <v>438</v>
      </c>
      <c r="D393" s="13" t="s">
        <v>52</v>
      </c>
      <c r="E393" s="27">
        <v>3</v>
      </c>
      <c r="F393" s="28">
        <v>4500</v>
      </c>
      <c r="G393" s="13" t="s">
        <v>52</v>
      </c>
      <c r="H393" s="30" t="s">
        <v>52</v>
      </c>
      <c r="J393" s="30" t="s">
        <v>52</v>
      </c>
      <c r="K393" s="13" t="s">
        <v>52</v>
      </c>
      <c r="L393" s="30" t="s">
        <v>52</v>
      </c>
      <c r="M393" s="30" t="s">
        <v>52</v>
      </c>
      <c r="N393" s="13" t="s">
        <v>52</v>
      </c>
      <c r="P393" s="27">
        <v>3</v>
      </c>
      <c r="Q393" s="28">
        <v>4500</v>
      </c>
      <c r="R393" s="13" t="s">
        <v>52</v>
      </c>
      <c r="S393" s="28">
        <v>4500</v>
      </c>
    </row>
    <row r="394" spans="1:19">
      <c r="A394" s="29" t="s">
        <v>779</v>
      </c>
      <c r="B394" s="26" t="s">
        <v>780</v>
      </c>
      <c r="C394" s="26" t="s">
        <v>438</v>
      </c>
      <c r="D394" s="13" t="s">
        <v>52</v>
      </c>
      <c r="E394" s="27">
        <v>1</v>
      </c>
      <c r="F394" s="28">
        <v>400</v>
      </c>
      <c r="G394" s="13" t="s">
        <v>52</v>
      </c>
      <c r="H394" s="30" t="s">
        <v>52</v>
      </c>
      <c r="J394" s="30" t="s">
        <v>52</v>
      </c>
      <c r="K394" s="13" t="s">
        <v>52</v>
      </c>
      <c r="L394" s="30" t="s">
        <v>52</v>
      </c>
      <c r="M394" s="30" t="s">
        <v>52</v>
      </c>
      <c r="N394" s="13" t="s">
        <v>52</v>
      </c>
      <c r="P394" s="27">
        <v>1</v>
      </c>
      <c r="Q394" s="28">
        <v>400</v>
      </c>
      <c r="R394" s="13" t="s">
        <v>52</v>
      </c>
      <c r="S394" s="28">
        <v>400</v>
      </c>
    </row>
    <row r="395" spans="1:19">
      <c r="A395" s="29" t="s">
        <v>781</v>
      </c>
      <c r="B395" s="26" t="s">
        <v>782</v>
      </c>
      <c r="C395" s="26" t="s">
        <v>438</v>
      </c>
      <c r="D395" s="13" t="s">
        <v>52</v>
      </c>
      <c r="E395" s="27">
        <v>2</v>
      </c>
      <c r="F395" s="28">
        <v>0</v>
      </c>
      <c r="G395" s="13" t="s">
        <v>52</v>
      </c>
      <c r="H395" s="30" t="s">
        <v>52</v>
      </c>
      <c r="J395" s="30" t="s">
        <v>52</v>
      </c>
      <c r="K395" s="13" t="s">
        <v>52</v>
      </c>
      <c r="L395" s="30" t="s">
        <v>52</v>
      </c>
      <c r="M395" s="30" t="s">
        <v>52</v>
      </c>
      <c r="N395" s="13" t="s">
        <v>52</v>
      </c>
      <c r="P395" s="27">
        <v>2</v>
      </c>
      <c r="Q395" s="28">
        <v>0</v>
      </c>
      <c r="R395" s="13" t="s">
        <v>52</v>
      </c>
      <c r="S395" s="28">
        <v>0</v>
      </c>
    </row>
    <row r="396" spans="1:19">
      <c r="A396" s="29" t="s">
        <v>783</v>
      </c>
      <c r="B396" s="26" t="s">
        <v>784</v>
      </c>
      <c r="C396" s="26" t="s">
        <v>438</v>
      </c>
      <c r="D396" s="13" t="s">
        <v>52</v>
      </c>
      <c r="E396" s="27">
        <v>9</v>
      </c>
      <c r="F396" s="28">
        <v>180</v>
      </c>
      <c r="G396" s="13" t="s">
        <v>52</v>
      </c>
      <c r="H396" s="30" t="s">
        <v>52</v>
      </c>
      <c r="J396" s="30" t="s">
        <v>52</v>
      </c>
      <c r="K396" s="13" t="s">
        <v>52</v>
      </c>
      <c r="L396" s="30" t="s">
        <v>52</v>
      </c>
      <c r="M396" s="30" t="s">
        <v>52</v>
      </c>
      <c r="N396" s="13" t="s">
        <v>52</v>
      </c>
      <c r="P396" s="27">
        <v>9</v>
      </c>
      <c r="Q396" s="28">
        <v>180</v>
      </c>
      <c r="R396" s="13" t="s">
        <v>52</v>
      </c>
      <c r="S396" s="28">
        <v>180</v>
      </c>
    </row>
    <row r="397" spans="1:19">
      <c r="A397" s="29" t="s">
        <v>785</v>
      </c>
      <c r="B397" s="26" t="s">
        <v>786</v>
      </c>
      <c r="C397" s="26" t="s">
        <v>438</v>
      </c>
      <c r="D397" s="13" t="s">
        <v>52</v>
      </c>
      <c r="E397" s="27">
        <v>3</v>
      </c>
      <c r="F397" s="28">
        <v>1650</v>
      </c>
      <c r="G397" s="13" t="s">
        <v>52</v>
      </c>
      <c r="H397" s="27">
        <v>12</v>
      </c>
      <c r="J397" s="28">
        <v>6600</v>
      </c>
      <c r="K397" s="13" t="s">
        <v>52</v>
      </c>
      <c r="L397" s="27">
        <v>2</v>
      </c>
      <c r="M397" s="28">
        <v>1100</v>
      </c>
      <c r="N397" s="13" t="s">
        <v>52</v>
      </c>
      <c r="P397" s="27">
        <v>13</v>
      </c>
      <c r="Q397" s="28">
        <v>7150</v>
      </c>
      <c r="R397" s="13" t="s">
        <v>52</v>
      </c>
      <c r="S397" s="28">
        <v>7150</v>
      </c>
    </row>
    <row r="398" spans="1:19">
      <c r="A398" s="29" t="s">
        <v>787</v>
      </c>
      <c r="B398" s="26" t="s">
        <v>788</v>
      </c>
      <c r="C398" s="26" t="s">
        <v>438</v>
      </c>
      <c r="D398" s="13" t="s">
        <v>52</v>
      </c>
      <c r="E398" s="27">
        <v>1</v>
      </c>
      <c r="F398" s="28">
        <v>0</v>
      </c>
      <c r="G398" s="13" t="s">
        <v>52</v>
      </c>
      <c r="H398" s="30" t="s">
        <v>52</v>
      </c>
      <c r="J398" s="30" t="s">
        <v>52</v>
      </c>
      <c r="K398" s="13" t="s">
        <v>52</v>
      </c>
      <c r="L398" s="30" t="s">
        <v>52</v>
      </c>
      <c r="M398" s="30" t="s">
        <v>52</v>
      </c>
      <c r="N398" s="13" t="s">
        <v>52</v>
      </c>
      <c r="P398" s="27">
        <v>1</v>
      </c>
      <c r="Q398" s="28">
        <v>0</v>
      </c>
      <c r="R398" s="13" t="s">
        <v>52</v>
      </c>
      <c r="S398" s="28">
        <v>0</v>
      </c>
    </row>
    <row r="399" spans="1:19">
      <c r="A399" s="29" t="s">
        <v>789</v>
      </c>
      <c r="B399" s="26" t="s">
        <v>790</v>
      </c>
      <c r="C399" s="26" t="s">
        <v>438</v>
      </c>
      <c r="D399" s="13" t="s">
        <v>52</v>
      </c>
      <c r="E399" s="27">
        <v>1</v>
      </c>
      <c r="F399" s="28">
        <v>3030</v>
      </c>
      <c r="G399" s="13" t="s">
        <v>52</v>
      </c>
      <c r="H399" s="27">
        <v>1</v>
      </c>
      <c r="J399" s="28">
        <v>3030</v>
      </c>
      <c r="K399" s="13" t="s">
        <v>52</v>
      </c>
      <c r="L399" s="30" t="s">
        <v>52</v>
      </c>
      <c r="M399" s="30" t="s">
        <v>52</v>
      </c>
      <c r="N399" s="13" t="s">
        <v>52</v>
      </c>
      <c r="P399" s="27">
        <v>2</v>
      </c>
      <c r="Q399" s="28">
        <v>6060</v>
      </c>
      <c r="R399" s="13" t="s">
        <v>52</v>
      </c>
      <c r="S399" s="28">
        <v>6060</v>
      </c>
    </row>
    <row r="400" spans="1:19">
      <c r="A400" s="29" t="s">
        <v>791</v>
      </c>
      <c r="B400" s="26" t="s">
        <v>792</v>
      </c>
      <c r="C400" s="26" t="s">
        <v>438</v>
      </c>
      <c r="D400" s="13" t="s">
        <v>52</v>
      </c>
      <c r="E400" s="27">
        <v>4</v>
      </c>
      <c r="F400" s="28">
        <v>5252</v>
      </c>
      <c r="G400" s="13" t="s">
        <v>52</v>
      </c>
      <c r="H400" s="30" t="s">
        <v>52</v>
      </c>
      <c r="J400" s="30" t="s">
        <v>52</v>
      </c>
      <c r="K400" s="13" t="s">
        <v>52</v>
      </c>
      <c r="L400" s="30" t="s">
        <v>52</v>
      </c>
      <c r="M400" s="30" t="s">
        <v>52</v>
      </c>
      <c r="N400" s="13" t="s">
        <v>52</v>
      </c>
      <c r="P400" s="27">
        <v>4</v>
      </c>
      <c r="Q400" s="28">
        <v>5252</v>
      </c>
      <c r="R400" s="13" t="s">
        <v>52</v>
      </c>
      <c r="S400" s="28">
        <v>5252</v>
      </c>
    </row>
    <row r="401" spans="1:19">
      <c r="A401" s="29" t="s">
        <v>793</v>
      </c>
      <c r="B401" s="26" t="s">
        <v>794</v>
      </c>
      <c r="C401" s="26" t="s">
        <v>438</v>
      </c>
      <c r="D401" s="13" t="s">
        <v>52</v>
      </c>
      <c r="E401" s="27">
        <v>5</v>
      </c>
      <c r="F401" s="28">
        <v>909</v>
      </c>
      <c r="G401" s="13" t="s">
        <v>52</v>
      </c>
      <c r="H401" s="27">
        <v>10</v>
      </c>
      <c r="J401" s="28">
        <v>1818</v>
      </c>
      <c r="K401" s="13" t="s">
        <v>52</v>
      </c>
      <c r="L401" s="27">
        <v>10</v>
      </c>
      <c r="M401" s="28">
        <v>1818</v>
      </c>
      <c r="N401" s="13" t="s">
        <v>52</v>
      </c>
      <c r="P401" s="27">
        <v>5</v>
      </c>
      <c r="Q401" s="28">
        <v>909</v>
      </c>
      <c r="R401" s="13" t="s">
        <v>52</v>
      </c>
      <c r="S401" s="28">
        <v>909</v>
      </c>
    </row>
    <row r="402" spans="1:19">
      <c r="A402" s="29" t="s">
        <v>795</v>
      </c>
      <c r="B402" s="26" t="s">
        <v>796</v>
      </c>
      <c r="C402" s="26" t="s">
        <v>438</v>
      </c>
      <c r="D402" s="13" t="s">
        <v>52</v>
      </c>
      <c r="E402" s="27">
        <v>1</v>
      </c>
      <c r="F402" s="28">
        <v>8787</v>
      </c>
      <c r="G402" s="13" t="s">
        <v>52</v>
      </c>
      <c r="H402" s="30" t="s">
        <v>52</v>
      </c>
      <c r="J402" s="30" t="s">
        <v>52</v>
      </c>
      <c r="K402" s="13" t="s">
        <v>52</v>
      </c>
      <c r="L402" s="30" t="s">
        <v>52</v>
      </c>
      <c r="M402" s="30" t="s">
        <v>52</v>
      </c>
      <c r="N402" s="13" t="s">
        <v>52</v>
      </c>
      <c r="P402" s="27">
        <v>1</v>
      </c>
      <c r="Q402" s="28">
        <v>8787</v>
      </c>
      <c r="R402" s="13" t="s">
        <v>52</v>
      </c>
      <c r="S402" s="28">
        <v>8787</v>
      </c>
    </row>
    <row r="403" spans="1:19">
      <c r="A403" s="29" t="s">
        <v>797</v>
      </c>
      <c r="B403" s="26" t="s">
        <v>798</v>
      </c>
      <c r="C403" s="26" t="s">
        <v>438</v>
      </c>
      <c r="D403" s="13" t="s">
        <v>52</v>
      </c>
      <c r="E403" s="27">
        <v>7</v>
      </c>
      <c r="F403" s="28">
        <v>0</v>
      </c>
      <c r="G403" s="13" t="s">
        <v>52</v>
      </c>
      <c r="H403" s="30" t="s">
        <v>52</v>
      </c>
      <c r="J403" s="30" t="s">
        <v>52</v>
      </c>
      <c r="K403" s="13" t="s">
        <v>52</v>
      </c>
      <c r="L403" s="27">
        <v>7</v>
      </c>
      <c r="M403" s="30" t="s">
        <v>52</v>
      </c>
      <c r="N403" s="13" t="s">
        <v>52</v>
      </c>
      <c r="P403" s="27">
        <v>0</v>
      </c>
      <c r="Q403" s="28">
        <v>0</v>
      </c>
      <c r="R403" s="13" t="s">
        <v>52</v>
      </c>
      <c r="S403" s="28">
        <v>0</v>
      </c>
    </row>
    <row r="404" spans="1:19">
      <c r="A404" s="29" t="s">
        <v>799</v>
      </c>
      <c r="B404" s="26" t="s">
        <v>800</v>
      </c>
      <c r="C404" s="26" t="s">
        <v>438</v>
      </c>
      <c r="D404" s="13" t="s">
        <v>52</v>
      </c>
      <c r="E404" s="27">
        <v>4</v>
      </c>
      <c r="F404" s="28">
        <v>320</v>
      </c>
      <c r="G404" s="13" t="s">
        <v>52</v>
      </c>
      <c r="H404" s="30" t="s">
        <v>52</v>
      </c>
      <c r="J404" s="30" t="s">
        <v>52</v>
      </c>
      <c r="K404" s="13" t="s">
        <v>52</v>
      </c>
      <c r="L404" s="30" t="s">
        <v>52</v>
      </c>
      <c r="M404" s="30" t="s">
        <v>52</v>
      </c>
      <c r="N404" s="13" t="s">
        <v>52</v>
      </c>
      <c r="P404" s="27">
        <v>4</v>
      </c>
      <c r="Q404" s="28">
        <v>320</v>
      </c>
      <c r="R404" s="13" t="s">
        <v>52</v>
      </c>
      <c r="S404" s="28">
        <v>320</v>
      </c>
    </row>
    <row r="405" spans="1:19">
      <c r="A405" s="29" t="s">
        <v>801</v>
      </c>
      <c r="B405" s="26" t="s">
        <v>802</v>
      </c>
      <c r="C405" s="26" t="s">
        <v>438</v>
      </c>
      <c r="D405" s="13" t="s">
        <v>52</v>
      </c>
      <c r="E405" s="27">
        <v>7</v>
      </c>
      <c r="F405" s="28">
        <v>28863.52</v>
      </c>
      <c r="G405" s="13" t="s">
        <v>52</v>
      </c>
      <c r="H405" s="30" t="s">
        <v>52</v>
      </c>
      <c r="J405" s="30" t="s">
        <v>52</v>
      </c>
      <c r="K405" s="13" t="s">
        <v>52</v>
      </c>
      <c r="L405" s="27">
        <v>5</v>
      </c>
      <c r="M405" s="28">
        <v>20616.8</v>
      </c>
      <c r="N405" s="13" t="s">
        <v>52</v>
      </c>
      <c r="P405" s="27">
        <v>2</v>
      </c>
      <c r="Q405" s="28">
        <v>8246.72</v>
      </c>
      <c r="R405" s="13" t="s">
        <v>52</v>
      </c>
      <c r="S405" s="28">
        <v>8246.72</v>
      </c>
    </row>
    <row r="406" spans="1:19">
      <c r="A406" s="29" t="s">
        <v>803</v>
      </c>
      <c r="B406" s="26" t="s">
        <v>804</v>
      </c>
      <c r="C406" s="26" t="s">
        <v>438</v>
      </c>
      <c r="D406" s="13" t="s">
        <v>52</v>
      </c>
      <c r="E406" s="27">
        <v>2</v>
      </c>
      <c r="F406" s="28">
        <v>10100</v>
      </c>
      <c r="G406" s="13" t="s">
        <v>52</v>
      </c>
      <c r="H406" s="30" t="s">
        <v>52</v>
      </c>
      <c r="J406" s="30" t="s">
        <v>52</v>
      </c>
      <c r="K406" s="13" t="s">
        <v>52</v>
      </c>
      <c r="L406" s="30" t="s">
        <v>52</v>
      </c>
      <c r="M406" s="30" t="s">
        <v>52</v>
      </c>
      <c r="N406" s="13" t="s">
        <v>52</v>
      </c>
      <c r="P406" s="27">
        <v>2</v>
      </c>
      <c r="Q406" s="28">
        <v>10100</v>
      </c>
      <c r="R406" s="13" t="s">
        <v>52</v>
      </c>
      <c r="S406" s="28">
        <v>10100</v>
      </c>
    </row>
    <row r="407" spans="1:19">
      <c r="A407" s="29" t="s">
        <v>805</v>
      </c>
      <c r="B407" s="26" t="s">
        <v>806</v>
      </c>
      <c r="C407" s="26" t="s">
        <v>438</v>
      </c>
      <c r="D407" s="13" t="s">
        <v>52</v>
      </c>
      <c r="E407" s="27">
        <v>12</v>
      </c>
      <c r="F407" s="28">
        <v>13464.24</v>
      </c>
      <c r="G407" s="13" t="s">
        <v>52</v>
      </c>
      <c r="H407" s="30" t="s">
        <v>52</v>
      </c>
      <c r="J407" s="30" t="s">
        <v>52</v>
      </c>
      <c r="K407" s="13" t="s">
        <v>52</v>
      </c>
      <c r="L407" s="30" t="s">
        <v>52</v>
      </c>
      <c r="M407" s="30" t="s">
        <v>52</v>
      </c>
      <c r="N407" s="13" t="s">
        <v>52</v>
      </c>
      <c r="P407" s="27">
        <v>12</v>
      </c>
      <c r="Q407" s="28">
        <v>13464.24</v>
      </c>
      <c r="R407" s="13" t="s">
        <v>52</v>
      </c>
      <c r="S407" s="28">
        <v>13464.24</v>
      </c>
    </row>
    <row r="408" spans="1:19">
      <c r="A408" s="29" t="s">
        <v>807</v>
      </c>
      <c r="B408" s="26" t="s">
        <v>808</v>
      </c>
      <c r="C408" s="26" t="s">
        <v>438</v>
      </c>
      <c r="D408" s="13" t="s">
        <v>52</v>
      </c>
      <c r="E408" s="27">
        <v>6</v>
      </c>
      <c r="F408" s="28">
        <v>484.8</v>
      </c>
      <c r="G408" s="13" t="s">
        <v>52</v>
      </c>
      <c r="H408" s="30" t="s">
        <v>52</v>
      </c>
      <c r="J408" s="30" t="s">
        <v>52</v>
      </c>
      <c r="K408" s="13" t="s">
        <v>52</v>
      </c>
      <c r="L408" s="30" t="s">
        <v>52</v>
      </c>
      <c r="M408" s="30" t="s">
        <v>52</v>
      </c>
      <c r="N408" s="13" t="s">
        <v>52</v>
      </c>
      <c r="P408" s="27">
        <v>6</v>
      </c>
      <c r="Q408" s="28">
        <v>484.8</v>
      </c>
      <c r="R408" s="13" t="s">
        <v>52</v>
      </c>
      <c r="S408" s="28">
        <v>484.8</v>
      </c>
    </row>
    <row r="409" spans="1:19">
      <c r="A409" s="29" t="s">
        <v>809</v>
      </c>
      <c r="B409" s="26" t="s">
        <v>810</v>
      </c>
      <c r="C409" s="26" t="s">
        <v>438</v>
      </c>
      <c r="D409" s="13" t="s">
        <v>52</v>
      </c>
      <c r="E409" s="27">
        <v>100</v>
      </c>
      <c r="F409" s="28">
        <v>3444</v>
      </c>
      <c r="G409" s="13" t="s">
        <v>52</v>
      </c>
      <c r="H409" s="30" t="s">
        <v>52</v>
      </c>
      <c r="J409" s="30" t="s">
        <v>52</v>
      </c>
      <c r="K409" s="13" t="s">
        <v>52</v>
      </c>
      <c r="L409" s="30" t="s">
        <v>52</v>
      </c>
      <c r="M409" s="30" t="s">
        <v>52</v>
      </c>
      <c r="N409" s="13" t="s">
        <v>52</v>
      </c>
      <c r="P409" s="27">
        <v>100</v>
      </c>
      <c r="Q409" s="28">
        <v>3444</v>
      </c>
      <c r="R409" s="13" t="s">
        <v>52</v>
      </c>
      <c r="S409" s="28">
        <v>3444</v>
      </c>
    </row>
    <row r="410" spans="1:19">
      <c r="A410" s="29" t="s">
        <v>811</v>
      </c>
      <c r="B410" s="26" t="s">
        <v>812</v>
      </c>
      <c r="C410" s="26" t="s">
        <v>438</v>
      </c>
      <c r="D410" s="13" t="s">
        <v>52</v>
      </c>
      <c r="E410" s="27">
        <v>1</v>
      </c>
      <c r="F410" s="28">
        <v>10441.42</v>
      </c>
      <c r="G410" s="13" t="s">
        <v>52</v>
      </c>
      <c r="H410" s="30" t="s">
        <v>52</v>
      </c>
      <c r="J410" s="30" t="s">
        <v>52</v>
      </c>
      <c r="K410" s="13" t="s">
        <v>52</v>
      </c>
      <c r="L410" s="30" t="s">
        <v>52</v>
      </c>
      <c r="M410" s="30" t="s">
        <v>52</v>
      </c>
      <c r="N410" s="13" t="s">
        <v>52</v>
      </c>
      <c r="P410" s="27">
        <v>1</v>
      </c>
      <c r="Q410" s="28">
        <v>10441.42</v>
      </c>
      <c r="R410" s="13" t="s">
        <v>52</v>
      </c>
      <c r="S410" s="28">
        <v>10441.42</v>
      </c>
    </row>
    <row r="411" spans="1:19">
      <c r="A411" s="29" t="s">
        <v>813</v>
      </c>
      <c r="B411" s="26" t="s">
        <v>814</v>
      </c>
      <c r="C411" s="26" t="s">
        <v>438</v>
      </c>
      <c r="D411" s="13" t="s">
        <v>52</v>
      </c>
      <c r="E411" s="27">
        <v>2</v>
      </c>
      <c r="F411" s="28">
        <v>989.8</v>
      </c>
      <c r="G411" s="13" t="s">
        <v>52</v>
      </c>
      <c r="H411" s="30" t="s">
        <v>52</v>
      </c>
      <c r="J411" s="30" t="s">
        <v>52</v>
      </c>
      <c r="K411" s="13" t="s">
        <v>52</v>
      </c>
      <c r="L411" s="30" t="s">
        <v>52</v>
      </c>
      <c r="M411" s="30" t="s">
        <v>52</v>
      </c>
      <c r="N411" s="13" t="s">
        <v>52</v>
      </c>
      <c r="P411" s="27">
        <v>2</v>
      </c>
      <c r="Q411" s="28">
        <v>989.8</v>
      </c>
      <c r="R411" s="13" t="s">
        <v>52</v>
      </c>
      <c r="S411" s="28">
        <v>989.8</v>
      </c>
    </row>
    <row r="412" spans="1:19">
      <c r="A412" s="29" t="s">
        <v>815</v>
      </c>
      <c r="B412" s="26" t="s">
        <v>816</v>
      </c>
      <c r="C412" s="26" t="s">
        <v>438</v>
      </c>
      <c r="D412" s="13" t="s">
        <v>52</v>
      </c>
      <c r="E412" s="27">
        <v>4</v>
      </c>
      <c r="F412" s="28">
        <v>117644.8</v>
      </c>
      <c r="G412" s="13" t="s">
        <v>52</v>
      </c>
      <c r="H412" s="30" t="s">
        <v>52</v>
      </c>
      <c r="J412" s="30" t="s">
        <v>52</v>
      </c>
      <c r="K412" s="13" t="s">
        <v>52</v>
      </c>
      <c r="L412" s="30" t="s">
        <v>52</v>
      </c>
      <c r="M412" s="30" t="s">
        <v>52</v>
      </c>
      <c r="N412" s="13" t="s">
        <v>52</v>
      </c>
      <c r="P412" s="27">
        <v>4</v>
      </c>
      <c r="Q412" s="28">
        <v>117644.8</v>
      </c>
      <c r="R412" s="13" t="s">
        <v>52</v>
      </c>
      <c r="S412" s="28">
        <v>117644.8</v>
      </c>
    </row>
    <row r="413" spans="1:19">
      <c r="A413" s="29" t="s">
        <v>817</v>
      </c>
      <c r="B413" s="26" t="s">
        <v>818</v>
      </c>
      <c r="C413" s="26" t="s">
        <v>438</v>
      </c>
      <c r="D413" s="13" t="s">
        <v>52</v>
      </c>
      <c r="E413" s="27">
        <v>2</v>
      </c>
      <c r="F413" s="28">
        <v>130550.7</v>
      </c>
      <c r="G413" s="13" t="s">
        <v>52</v>
      </c>
      <c r="H413" s="30" t="s">
        <v>52</v>
      </c>
      <c r="J413" s="30" t="s">
        <v>52</v>
      </c>
      <c r="K413" s="13" t="s">
        <v>52</v>
      </c>
      <c r="L413" s="30" t="s">
        <v>52</v>
      </c>
      <c r="M413" s="30" t="s">
        <v>52</v>
      </c>
      <c r="N413" s="13" t="s">
        <v>52</v>
      </c>
      <c r="P413" s="27">
        <v>2</v>
      </c>
      <c r="Q413" s="28">
        <v>130550.7</v>
      </c>
      <c r="R413" s="13" t="s">
        <v>52</v>
      </c>
      <c r="S413" s="28">
        <v>130550.7</v>
      </c>
    </row>
    <row r="414" spans="1:19">
      <c r="A414" s="29" t="s">
        <v>819</v>
      </c>
      <c r="B414" s="26" t="s">
        <v>820</v>
      </c>
      <c r="C414" s="26" t="s">
        <v>438</v>
      </c>
      <c r="D414" s="13" t="s">
        <v>52</v>
      </c>
      <c r="E414" s="27">
        <v>12</v>
      </c>
      <c r="F414" s="28">
        <v>242.4</v>
      </c>
      <c r="G414" s="13" t="s">
        <v>52</v>
      </c>
      <c r="H414" s="27">
        <v>6</v>
      </c>
      <c r="J414" s="28">
        <v>121.2</v>
      </c>
      <c r="K414" s="13" t="s">
        <v>52</v>
      </c>
      <c r="L414" s="27">
        <v>6</v>
      </c>
      <c r="M414" s="28">
        <v>121.2</v>
      </c>
      <c r="N414" s="13" t="s">
        <v>52</v>
      </c>
      <c r="P414" s="27">
        <v>12</v>
      </c>
      <c r="Q414" s="28">
        <v>242.4</v>
      </c>
      <c r="R414" s="13" t="s">
        <v>52</v>
      </c>
      <c r="S414" s="28">
        <v>242.4</v>
      </c>
    </row>
    <row r="415" spans="1:19">
      <c r="A415" s="29" t="s">
        <v>821</v>
      </c>
      <c r="B415" s="26" t="s">
        <v>822</v>
      </c>
      <c r="C415" s="26" t="s">
        <v>438</v>
      </c>
      <c r="D415" s="13" t="s">
        <v>52</v>
      </c>
      <c r="E415" s="27">
        <v>16</v>
      </c>
      <c r="F415" s="28">
        <v>320</v>
      </c>
      <c r="G415" s="13" t="s">
        <v>52</v>
      </c>
      <c r="H415" s="30" t="s">
        <v>52</v>
      </c>
      <c r="J415" s="30" t="s">
        <v>52</v>
      </c>
      <c r="K415" s="13" t="s">
        <v>52</v>
      </c>
      <c r="L415" s="30" t="s">
        <v>52</v>
      </c>
      <c r="M415" s="30" t="s">
        <v>52</v>
      </c>
      <c r="N415" s="13" t="s">
        <v>52</v>
      </c>
      <c r="P415" s="27">
        <v>16</v>
      </c>
      <c r="Q415" s="28">
        <v>320</v>
      </c>
      <c r="R415" s="13" t="s">
        <v>52</v>
      </c>
      <c r="S415" s="28">
        <v>320</v>
      </c>
    </row>
    <row r="416" spans="1:19">
      <c r="A416" s="29" t="s">
        <v>823</v>
      </c>
      <c r="B416" s="26" t="s">
        <v>824</v>
      </c>
      <c r="C416" s="26" t="s">
        <v>438</v>
      </c>
      <c r="D416" s="13" t="s">
        <v>52</v>
      </c>
      <c r="E416" s="27">
        <v>10</v>
      </c>
      <c r="F416" s="28">
        <v>21276.4</v>
      </c>
      <c r="G416" s="13" t="s">
        <v>52</v>
      </c>
      <c r="H416" s="30" t="s">
        <v>52</v>
      </c>
      <c r="J416" s="30" t="s">
        <v>52</v>
      </c>
      <c r="K416" s="13" t="s">
        <v>52</v>
      </c>
      <c r="L416" s="30" t="s">
        <v>52</v>
      </c>
      <c r="M416" s="30" t="s">
        <v>52</v>
      </c>
      <c r="N416" s="13" t="s">
        <v>52</v>
      </c>
      <c r="P416" s="27">
        <v>10</v>
      </c>
      <c r="Q416" s="28">
        <v>21276.4</v>
      </c>
      <c r="R416" s="13" t="s">
        <v>52</v>
      </c>
      <c r="S416" s="28">
        <v>21276.4</v>
      </c>
    </row>
    <row r="417" spans="1:19">
      <c r="A417" s="29" t="s">
        <v>825</v>
      </c>
      <c r="B417" s="26" t="s">
        <v>826</v>
      </c>
      <c r="C417" s="26" t="s">
        <v>438</v>
      </c>
      <c r="D417" s="13" t="s">
        <v>52</v>
      </c>
      <c r="E417" s="27">
        <v>10</v>
      </c>
      <c r="F417" s="28">
        <v>0</v>
      </c>
      <c r="G417" s="13" t="s">
        <v>52</v>
      </c>
      <c r="H417" s="30" t="s">
        <v>52</v>
      </c>
      <c r="J417" s="30" t="s">
        <v>52</v>
      </c>
      <c r="K417" s="13" t="s">
        <v>52</v>
      </c>
      <c r="L417" s="27">
        <v>1</v>
      </c>
      <c r="M417" s="30" t="s">
        <v>52</v>
      </c>
      <c r="N417" s="13" t="s">
        <v>52</v>
      </c>
      <c r="P417" s="27">
        <v>9</v>
      </c>
      <c r="Q417" s="28">
        <v>0</v>
      </c>
      <c r="R417" s="13" t="s">
        <v>52</v>
      </c>
      <c r="S417" s="28">
        <v>0</v>
      </c>
    </row>
    <row r="418" spans="1:19">
      <c r="A418" s="29" t="s">
        <v>827</v>
      </c>
      <c r="B418" s="26" t="s">
        <v>828</v>
      </c>
      <c r="C418" s="26" t="s">
        <v>438</v>
      </c>
      <c r="D418" s="13" t="s">
        <v>52</v>
      </c>
      <c r="E418" s="27">
        <v>2</v>
      </c>
      <c r="F418" s="28">
        <v>38014.64</v>
      </c>
      <c r="G418" s="13" t="s">
        <v>52</v>
      </c>
      <c r="H418" s="30" t="s">
        <v>52</v>
      </c>
      <c r="J418" s="30" t="s">
        <v>52</v>
      </c>
      <c r="K418" s="13" t="s">
        <v>52</v>
      </c>
      <c r="L418" s="30" t="s">
        <v>52</v>
      </c>
      <c r="M418" s="30" t="s">
        <v>52</v>
      </c>
      <c r="N418" s="13" t="s">
        <v>52</v>
      </c>
      <c r="P418" s="27">
        <v>2</v>
      </c>
      <c r="Q418" s="28">
        <v>38014.64</v>
      </c>
      <c r="R418" s="13" t="s">
        <v>52</v>
      </c>
      <c r="S418" s="28">
        <v>38014.64</v>
      </c>
    </row>
    <row r="419" spans="1:19">
      <c r="A419" s="29" t="s">
        <v>829</v>
      </c>
      <c r="B419" s="26" t="s">
        <v>830</v>
      </c>
      <c r="C419" s="26" t="s">
        <v>438</v>
      </c>
      <c r="D419" s="13" t="s">
        <v>52</v>
      </c>
      <c r="E419" s="27">
        <v>4</v>
      </c>
      <c r="F419" s="28">
        <v>329270.36</v>
      </c>
      <c r="G419" s="13" t="s">
        <v>52</v>
      </c>
      <c r="H419" s="30" t="s">
        <v>52</v>
      </c>
      <c r="J419" s="30" t="s">
        <v>52</v>
      </c>
      <c r="K419" s="13" t="s">
        <v>52</v>
      </c>
      <c r="L419" s="30" t="s">
        <v>52</v>
      </c>
      <c r="M419" s="30" t="s">
        <v>52</v>
      </c>
      <c r="N419" s="13" t="s">
        <v>52</v>
      </c>
      <c r="P419" s="27">
        <v>4</v>
      </c>
      <c r="Q419" s="28">
        <v>329270.36</v>
      </c>
      <c r="R419" s="13" t="s">
        <v>52</v>
      </c>
      <c r="S419" s="28">
        <v>329270.36</v>
      </c>
    </row>
    <row r="420" spans="1:19">
      <c r="A420" s="29" t="s">
        <v>831</v>
      </c>
      <c r="B420" s="26" t="s">
        <v>832</v>
      </c>
      <c r="C420" s="26" t="s">
        <v>438</v>
      </c>
      <c r="D420" s="13" t="s">
        <v>52</v>
      </c>
      <c r="E420" s="27">
        <v>1</v>
      </c>
      <c r="F420" s="28">
        <v>170787.78</v>
      </c>
      <c r="G420" s="13" t="s">
        <v>52</v>
      </c>
      <c r="H420" s="30" t="s">
        <v>52</v>
      </c>
      <c r="J420" s="30" t="s">
        <v>52</v>
      </c>
      <c r="K420" s="13" t="s">
        <v>52</v>
      </c>
      <c r="L420" s="30" t="s">
        <v>52</v>
      </c>
      <c r="M420" s="30" t="s">
        <v>52</v>
      </c>
      <c r="N420" s="13" t="s">
        <v>52</v>
      </c>
      <c r="P420" s="27">
        <v>1</v>
      </c>
      <c r="Q420" s="28">
        <v>170787.78</v>
      </c>
      <c r="R420" s="13" t="s">
        <v>52</v>
      </c>
      <c r="S420" s="28">
        <v>170787.78</v>
      </c>
    </row>
    <row r="421" spans="1:19">
      <c r="A421" s="29" t="s">
        <v>833</v>
      </c>
      <c r="B421" s="26" t="s">
        <v>834</v>
      </c>
      <c r="C421" s="26" t="s">
        <v>438</v>
      </c>
      <c r="D421" s="13" t="s">
        <v>52</v>
      </c>
      <c r="E421" s="27">
        <v>2</v>
      </c>
      <c r="F421" s="28">
        <v>16000</v>
      </c>
      <c r="G421" s="13" t="s">
        <v>52</v>
      </c>
      <c r="H421" s="30" t="s">
        <v>52</v>
      </c>
      <c r="J421" s="30" t="s">
        <v>52</v>
      </c>
      <c r="K421" s="13" t="s">
        <v>52</v>
      </c>
      <c r="L421" s="30" t="s">
        <v>52</v>
      </c>
      <c r="M421" s="30" t="s">
        <v>52</v>
      </c>
      <c r="N421" s="13" t="s">
        <v>52</v>
      </c>
      <c r="P421" s="27">
        <v>2</v>
      </c>
      <c r="Q421" s="28">
        <v>16000</v>
      </c>
      <c r="R421" s="13" t="s">
        <v>52</v>
      </c>
      <c r="S421" s="28">
        <v>16000</v>
      </c>
    </row>
    <row r="422" spans="1:19">
      <c r="A422" s="29" t="s">
        <v>835</v>
      </c>
      <c r="B422" s="26" t="s">
        <v>836</v>
      </c>
      <c r="C422" s="26" t="s">
        <v>438</v>
      </c>
      <c r="D422" s="13" t="s">
        <v>52</v>
      </c>
      <c r="E422" s="27">
        <v>1</v>
      </c>
      <c r="F422" s="28">
        <v>108923.55</v>
      </c>
      <c r="G422" s="13" t="s">
        <v>52</v>
      </c>
      <c r="H422" s="30" t="s">
        <v>52</v>
      </c>
      <c r="J422" s="30" t="s">
        <v>52</v>
      </c>
      <c r="K422" s="13" t="s">
        <v>52</v>
      </c>
      <c r="L422" s="30" t="s">
        <v>52</v>
      </c>
      <c r="M422" s="30" t="s">
        <v>52</v>
      </c>
      <c r="N422" s="13" t="s">
        <v>52</v>
      </c>
      <c r="P422" s="27">
        <v>1</v>
      </c>
      <c r="Q422" s="28">
        <v>108923.55</v>
      </c>
      <c r="R422" s="13" t="s">
        <v>52</v>
      </c>
      <c r="S422" s="28">
        <v>108923.55</v>
      </c>
    </row>
    <row r="423" spans="1:19">
      <c r="A423" s="29" t="s">
        <v>837</v>
      </c>
      <c r="B423" s="26" t="s">
        <v>838</v>
      </c>
      <c r="C423" s="26" t="s">
        <v>438</v>
      </c>
      <c r="D423" s="13" t="s">
        <v>52</v>
      </c>
      <c r="E423" s="27">
        <v>8.24</v>
      </c>
      <c r="F423" s="28">
        <v>1752.56</v>
      </c>
      <c r="G423" s="13" t="s">
        <v>52</v>
      </c>
      <c r="H423" s="30" t="s">
        <v>52</v>
      </c>
      <c r="J423" s="30" t="s">
        <v>52</v>
      </c>
      <c r="K423" s="13" t="s">
        <v>52</v>
      </c>
      <c r="L423" s="27">
        <v>7.24</v>
      </c>
      <c r="M423" s="28">
        <v>1539.88</v>
      </c>
      <c r="N423" s="13" t="s">
        <v>52</v>
      </c>
      <c r="P423" s="27">
        <v>1</v>
      </c>
      <c r="Q423" s="28">
        <v>212.68</v>
      </c>
      <c r="R423" s="13" t="s">
        <v>52</v>
      </c>
      <c r="S423" s="28">
        <v>212.68</v>
      </c>
    </row>
    <row r="424" spans="1:19">
      <c r="A424" s="29" t="s">
        <v>839</v>
      </c>
      <c r="B424" s="26" t="s">
        <v>840</v>
      </c>
      <c r="C424" s="26" t="s">
        <v>438</v>
      </c>
      <c r="D424" s="13" t="s">
        <v>52</v>
      </c>
      <c r="E424" s="27">
        <v>3.84</v>
      </c>
      <c r="F424" s="28">
        <v>816.73</v>
      </c>
      <c r="G424" s="13" t="s">
        <v>52</v>
      </c>
      <c r="H424" s="30" t="s">
        <v>52</v>
      </c>
      <c r="J424" s="30" t="s">
        <v>52</v>
      </c>
      <c r="K424" s="13" t="s">
        <v>52</v>
      </c>
      <c r="L424" s="27">
        <v>2.84</v>
      </c>
      <c r="M424" s="28">
        <v>604.04</v>
      </c>
      <c r="N424" s="13" t="s">
        <v>52</v>
      </c>
      <c r="P424" s="27">
        <v>1</v>
      </c>
      <c r="Q424" s="28">
        <v>212.69</v>
      </c>
      <c r="R424" s="13" t="s">
        <v>52</v>
      </c>
      <c r="S424" s="28">
        <v>212.69</v>
      </c>
    </row>
    <row r="425" spans="1:19">
      <c r="A425" s="29" t="s">
        <v>841</v>
      </c>
      <c r="B425" s="26" t="s">
        <v>842</v>
      </c>
      <c r="C425" s="26" t="s">
        <v>438</v>
      </c>
      <c r="D425" s="13" t="s">
        <v>52</v>
      </c>
      <c r="E425" s="27">
        <v>2.74</v>
      </c>
      <c r="F425" s="28">
        <v>464.92</v>
      </c>
      <c r="G425" s="13" t="s">
        <v>52</v>
      </c>
      <c r="H425" s="30" t="s">
        <v>52</v>
      </c>
      <c r="J425" s="30" t="s">
        <v>52</v>
      </c>
      <c r="K425" s="13" t="s">
        <v>52</v>
      </c>
      <c r="L425" s="27">
        <v>1.74</v>
      </c>
      <c r="M425" s="28">
        <v>295.24</v>
      </c>
      <c r="N425" s="13" t="s">
        <v>52</v>
      </c>
      <c r="P425" s="27">
        <v>1</v>
      </c>
      <c r="Q425" s="28">
        <v>169.68</v>
      </c>
      <c r="R425" s="13" t="s">
        <v>52</v>
      </c>
      <c r="S425" s="28">
        <v>169.68</v>
      </c>
    </row>
    <row r="426" spans="1:19">
      <c r="A426" s="29" t="s">
        <v>843</v>
      </c>
      <c r="B426" s="26" t="s">
        <v>844</v>
      </c>
      <c r="C426" s="26" t="s">
        <v>438</v>
      </c>
      <c r="D426" s="13" t="s">
        <v>52</v>
      </c>
      <c r="E426" s="27">
        <v>2</v>
      </c>
      <c r="F426" s="28">
        <v>20683.6</v>
      </c>
      <c r="G426" s="13" t="s">
        <v>52</v>
      </c>
      <c r="H426" s="30" t="s">
        <v>52</v>
      </c>
      <c r="J426" s="30" t="s">
        <v>52</v>
      </c>
      <c r="K426" s="13" t="s">
        <v>52</v>
      </c>
      <c r="L426" s="30" t="s">
        <v>52</v>
      </c>
      <c r="M426" s="30" t="s">
        <v>52</v>
      </c>
      <c r="N426" s="13" t="s">
        <v>52</v>
      </c>
      <c r="P426" s="27">
        <v>2</v>
      </c>
      <c r="Q426" s="28">
        <v>20683.6</v>
      </c>
      <c r="R426" s="13" t="s">
        <v>52</v>
      </c>
      <c r="S426" s="28">
        <v>20683.6</v>
      </c>
    </row>
    <row r="427" spans="1:19">
      <c r="A427" s="29" t="s">
        <v>845</v>
      </c>
      <c r="B427" s="26" t="s">
        <v>846</v>
      </c>
      <c r="C427" s="26" t="s">
        <v>438</v>
      </c>
      <c r="D427" s="13" t="s">
        <v>52</v>
      </c>
      <c r="E427" s="27">
        <v>2</v>
      </c>
      <c r="F427" s="28">
        <v>48992</v>
      </c>
      <c r="G427" s="13" t="s">
        <v>52</v>
      </c>
      <c r="H427" s="27">
        <v>13</v>
      </c>
      <c r="J427" s="28">
        <v>318448</v>
      </c>
      <c r="K427" s="13" t="s">
        <v>52</v>
      </c>
      <c r="L427" s="27">
        <v>7</v>
      </c>
      <c r="M427" s="28">
        <v>171472</v>
      </c>
      <c r="N427" s="13" t="s">
        <v>52</v>
      </c>
      <c r="P427" s="27">
        <v>8</v>
      </c>
      <c r="Q427" s="28">
        <v>195968</v>
      </c>
      <c r="R427" s="13" t="s">
        <v>52</v>
      </c>
      <c r="S427" s="28">
        <v>195968</v>
      </c>
    </row>
    <row r="428" spans="1:19">
      <c r="A428" s="29" t="s">
        <v>847</v>
      </c>
      <c r="B428" s="26" t="s">
        <v>848</v>
      </c>
      <c r="C428" s="26" t="s">
        <v>438</v>
      </c>
      <c r="D428" s="13" t="s">
        <v>52</v>
      </c>
      <c r="E428" s="27">
        <v>2</v>
      </c>
      <c r="F428" s="28">
        <v>0</v>
      </c>
      <c r="G428" s="13" t="s">
        <v>52</v>
      </c>
      <c r="H428" s="30" t="s">
        <v>52</v>
      </c>
      <c r="J428" s="30" t="s">
        <v>52</v>
      </c>
      <c r="K428" s="13" t="s">
        <v>52</v>
      </c>
      <c r="L428" s="27">
        <v>2</v>
      </c>
      <c r="M428" s="30" t="s">
        <v>52</v>
      </c>
      <c r="N428" s="13" t="s">
        <v>52</v>
      </c>
      <c r="P428" s="27">
        <v>0</v>
      </c>
      <c r="Q428" s="28">
        <v>0</v>
      </c>
      <c r="R428" s="13" t="s">
        <v>52</v>
      </c>
      <c r="S428" s="28">
        <v>0</v>
      </c>
    </row>
    <row r="429" spans="1:19">
      <c r="A429" s="29" t="s">
        <v>849</v>
      </c>
      <c r="B429" s="26" t="s">
        <v>850</v>
      </c>
      <c r="C429" s="26" t="s">
        <v>438</v>
      </c>
      <c r="D429" s="13" t="s">
        <v>52</v>
      </c>
      <c r="E429" s="27">
        <v>89</v>
      </c>
      <c r="F429" s="28">
        <v>2756.33</v>
      </c>
      <c r="G429" s="13" t="s">
        <v>52</v>
      </c>
      <c r="H429" s="27">
        <v>2</v>
      </c>
      <c r="J429" s="28">
        <v>61.94</v>
      </c>
      <c r="K429" s="13" t="s">
        <v>52</v>
      </c>
      <c r="L429" s="27">
        <v>2</v>
      </c>
      <c r="M429" s="28">
        <v>61.94</v>
      </c>
      <c r="N429" s="13" t="s">
        <v>52</v>
      </c>
      <c r="P429" s="27">
        <v>89</v>
      </c>
      <c r="Q429" s="28">
        <v>2756.33</v>
      </c>
      <c r="R429" s="13" t="s">
        <v>52</v>
      </c>
      <c r="S429" s="28">
        <v>2756.33</v>
      </c>
    </row>
    <row r="430" spans="1:19">
      <c r="A430" s="29" t="s">
        <v>851</v>
      </c>
      <c r="B430" s="26" t="s">
        <v>852</v>
      </c>
      <c r="C430" s="26" t="s">
        <v>438</v>
      </c>
      <c r="D430" s="13" t="s">
        <v>52</v>
      </c>
      <c r="E430" s="27">
        <v>83</v>
      </c>
      <c r="F430" s="28">
        <v>838.3</v>
      </c>
      <c r="G430" s="13" t="s">
        <v>52</v>
      </c>
      <c r="H430" s="27">
        <v>2</v>
      </c>
      <c r="J430" s="28">
        <v>20.2</v>
      </c>
      <c r="K430" s="13" t="s">
        <v>52</v>
      </c>
      <c r="L430" s="27">
        <v>2</v>
      </c>
      <c r="M430" s="28">
        <v>20.2</v>
      </c>
      <c r="N430" s="13" t="s">
        <v>52</v>
      </c>
      <c r="P430" s="27">
        <v>83</v>
      </c>
      <c r="Q430" s="28">
        <v>838.3</v>
      </c>
      <c r="R430" s="13" t="s">
        <v>52</v>
      </c>
      <c r="S430" s="28">
        <v>838.3</v>
      </c>
    </row>
    <row r="431" spans="1:19">
      <c r="A431" s="29" t="s">
        <v>853</v>
      </c>
      <c r="B431" s="26" t="s">
        <v>854</v>
      </c>
      <c r="C431" s="26" t="s">
        <v>438</v>
      </c>
      <c r="D431" s="13" t="s">
        <v>52</v>
      </c>
      <c r="E431" s="27">
        <v>12</v>
      </c>
      <c r="F431" s="28">
        <v>32735.64</v>
      </c>
      <c r="G431" s="13" t="s">
        <v>52</v>
      </c>
      <c r="H431" s="30" t="s">
        <v>52</v>
      </c>
      <c r="J431" s="30" t="s">
        <v>52</v>
      </c>
      <c r="K431" s="13" t="s">
        <v>52</v>
      </c>
      <c r="L431" s="30" t="s">
        <v>52</v>
      </c>
      <c r="M431" s="30" t="s">
        <v>52</v>
      </c>
      <c r="N431" s="13" t="s">
        <v>52</v>
      </c>
      <c r="P431" s="27">
        <v>12</v>
      </c>
      <c r="Q431" s="28">
        <v>32735.64</v>
      </c>
      <c r="R431" s="13" t="s">
        <v>52</v>
      </c>
      <c r="S431" s="28">
        <v>32735.64</v>
      </c>
    </row>
    <row r="432" spans="1:19">
      <c r="A432" s="29" t="s">
        <v>855</v>
      </c>
      <c r="B432" s="26" t="s">
        <v>856</v>
      </c>
      <c r="C432" s="26" t="s">
        <v>438</v>
      </c>
      <c r="D432" s="13" t="s">
        <v>52</v>
      </c>
      <c r="E432" s="27">
        <v>10</v>
      </c>
      <c r="F432" s="28">
        <v>27650.1</v>
      </c>
      <c r="G432" s="13" t="s">
        <v>52</v>
      </c>
      <c r="H432" s="30" t="s">
        <v>52</v>
      </c>
      <c r="J432" s="30" t="s">
        <v>52</v>
      </c>
      <c r="K432" s="13" t="s">
        <v>52</v>
      </c>
      <c r="L432" s="30" t="s">
        <v>52</v>
      </c>
      <c r="M432" s="30" t="s">
        <v>52</v>
      </c>
      <c r="N432" s="13" t="s">
        <v>52</v>
      </c>
      <c r="P432" s="27">
        <v>10</v>
      </c>
      <c r="Q432" s="28">
        <v>27650.1</v>
      </c>
      <c r="R432" s="13" t="s">
        <v>52</v>
      </c>
      <c r="S432" s="28">
        <v>27650.1</v>
      </c>
    </row>
    <row r="433" spans="1:19">
      <c r="A433" s="29" t="s">
        <v>857</v>
      </c>
      <c r="B433" s="26" t="s">
        <v>858</v>
      </c>
      <c r="C433" s="26" t="s">
        <v>438</v>
      </c>
      <c r="D433" s="13" t="s">
        <v>52</v>
      </c>
      <c r="E433" s="27">
        <v>2</v>
      </c>
      <c r="F433" s="28">
        <v>19322.5</v>
      </c>
      <c r="G433" s="13" t="s">
        <v>52</v>
      </c>
      <c r="H433" s="27">
        <v>5</v>
      </c>
      <c r="J433" s="28">
        <v>48306.25</v>
      </c>
      <c r="K433" s="13" t="s">
        <v>52</v>
      </c>
      <c r="L433" s="30" t="s">
        <v>52</v>
      </c>
      <c r="M433" s="30" t="s">
        <v>52</v>
      </c>
      <c r="N433" s="13" t="s">
        <v>52</v>
      </c>
      <c r="P433" s="27">
        <v>7</v>
      </c>
      <c r="Q433" s="28">
        <v>67628.75</v>
      </c>
      <c r="R433" s="13" t="s">
        <v>52</v>
      </c>
      <c r="S433" s="28">
        <v>67628.75</v>
      </c>
    </row>
    <row r="434" ht="23" spans="1:19">
      <c r="A434" s="29" t="s">
        <v>859</v>
      </c>
      <c r="B434" s="26" t="s">
        <v>860</v>
      </c>
      <c r="C434" s="26" t="s">
        <v>504</v>
      </c>
      <c r="D434" s="13" t="s">
        <v>52</v>
      </c>
      <c r="E434" s="27">
        <v>8</v>
      </c>
      <c r="F434" s="28">
        <v>280</v>
      </c>
      <c r="G434" s="13" t="s">
        <v>52</v>
      </c>
      <c r="H434" s="27">
        <v>1</v>
      </c>
      <c r="J434" s="28">
        <v>35</v>
      </c>
      <c r="K434" s="13" t="s">
        <v>52</v>
      </c>
      <c r="L434" s="27">
        <v>7</v>
      </c>
      <c r="M434" s="28">
        <v>245</v>
      </c>
      <c r="N434" s="13" t="s">
        <v>52</v>
      </c>
      <c r="P434" s="27">
        <v>2</v>
      </c>
      <c r="Q434" s="28">
        <v>70</v>
      </c>
      <c r="R434" s="13" t="s">
        <v>52</v>
      </c>
      <c r="S434" s="28">
        <v>70</v>
      </c>
    </row>
    <row r="435" spans="1:19">
      <c r="A435" s="29" t="s">
        <v>861</v>
      </c>
      <c r="B435" s="26" t="s">
        <v>862</v>
      </c>
      <c r="C435" s="26" t="s">
        <v>438</v>
      </c>
      <c r="D435" s="13" t="s">
        <v>52</v>
      </c>
      <c r="E435" s="27">
        <v>0</v>
      </c>
      <c r="F435" s="28">
        <v>0</v>
      </c>
      <c r="G435" s="13" t="s">
        <v>52</v>
      </c>
      <c r="H435" s="27">
        <v>4</v>
      </c>
      <c r="J435" s="28">
        <v>245620</v>
      </c>
      <c r="K435" s="13" t="s">
        <v>52</v>
      </c>
      <c r="L435" s="27">
        <v>2</v>
      </c>
      <c r="M435" s="28">
        <v>122810</v>
      </c>
      <c r="N435" s="13" t="s">
        <v>52</v>
      </c>
      <c r="P435" s="27">
        <v>2</v>
      </c>
      <c r="Q435" s="28">
        <v>122810</v>
      </c>
      <c r="R435" s="13" t="s">
        <v>52</v>
      </c>
      <c r="S435" s="28">
        <v>122810</v>
      </c>
    </row>
    <row r="436" spans="1:19">
      <c r="A436" s="29" t="s">
        <v>863</v>
      </c>
      <c r="B436" s="26" t="s">
        <v>864</v>
      </c>
      <c r="C436" s="26" t="s">
        <v>438</v>
      </c>
      <c r="D436" s="13" t="s">
        <v>52</v>
      </c>
      <c r="E436" s="27">
        <v>0</v>
      </c>
      <c r="F436" s="28">
        <v>0</v>
      </c>
      <c r="G436" s="13" t="s">
        <v>52</v>
      </c>
      <c r="H436" s="27">
        <v>1</v>
      </c>
      <c r="J436" s="30" t="s">
        <v>52</v>
      </c>
      <c r="K436" s="13" t="s">
        <v>52</v>
      </c>
      <c r="L436" s="30" t="s">
        <v>52</v>
      </c>
      <c r="M436" s="30" t="s">
        <v>52</v>
      </c>
      <c r="N436" s="13" t="s">
        <v>52</v>
      </c>
      <c r="P436" s="27">
        <v>1</v>
      </c>
      <c r="Q436" s="28">
        <v>0</v>
      </c>
      <c r="R436" s="13" t="s">
        <v>52</v>
      </c>
      <c r="S436" s="28">
        <v>0</v>
      </c>
    </row>
    <row r="437" ht="23" spans="1:19">
      <c r="A437" s="29" t="s">
        <v>865</v>
      </c>
      <c r="B437" s="26" t="s">
        <v>866</v>
      </c>
      <c r="C437" s="26" t="s">
        <v>438</v>
      </c>
      <c r="D437" s="13" t="s">
        <v>52</v>
      </c>
      <c r="E437" s="27">
        <v>0</v>
      </c>
      <c r="F437" s="28">
        <v>0</v>
      </c>
      <c r="G437" s="13" t="s">
        <v>52</v>
      </c>
      <c r="H437" s="27">
        <v>1</v>
      </c>
      <c r="J437" s="30" t="s">
        <v>52</v>
      </c>
      <c r="K437" s="13" t="s">
        <v>52</v>
      </c>
      <c r="L437" s="30" t="s">
        <v>52</v>
      </c>
      <c r="M437" s="30" t="s">
        <v>52</v>
      </c>
      <c r="N437" s="13" t="s">
        <v>52</v>
      </c>
      <c r="P437" s="27">
        <v>1</v>
      </c>
      <c r="Q437" s="28">
        <v>0</v>
      </c>
      <c r="R437" s="13" t="s">
        <v>52</v>
      </c>
      <c r="S437" s="28">
        <v>0</v>
      </c>
    </row>
    <row r="438" ht="23" spans="1:19">
      <c r="A438" s="29" t="s">
        <v>867</v>
      </c>
      <c r="B438" s="26" t="s">
        <v>868</v>
      </c>
      <c r="C438" s="26" t="s">
        <v>438</v>
      </c>
      <c r="D438" s="13" t="s">
        <v>52</v>
      </c>
      <c r="E438" s="27">
        <v>0</v>
      </c>
      <c r="F438" s="28">
        <v>0</v>
      </c>
      <c r="G438" s="13" t="s">
        <v>52</v>
      </c>
      <c r="H438" s="27">
        <v>1</v>
      </c>
      <c r="J438" s="30" t="s">
        <v>52</v>
      </c>
      <c r="K438" s="13" t="s">
        <v>52</v>
      </c>
      <c r="L438" s="30" t="s">
        <v>52</v>
      </c>
      <c r="M438" s="30" t="s">
        <v>52</v>
      </c>
      <c r="N438" s="13" t="s">
        <v>52</v>
      </c>
      <c r="P438" s="27">
        <v>1</v>
      </c>
      <c r="Q438" s="28">
        <v>0</v>
      </c>
      <c r="R438" s="13" t="s">
        <v>52</v>
      </c>
      <c r="S438" s="28">
        <v>0</v>
      </c>
    </row>
    <row r="439" ht="7" customHeight="1" spans="1:19">
      <c r="A439" s="33" t="s">
        <v>52</v>
      </c>
      <c r="B439" s="20" t="s">
        <v>52</v>
      </c>
      <c r="C439" s="20" t="s">
        <v>52</v>
      </c>
      <c r="D439" s="20" t="s">
        <v>52</v>
      </c>
      <c r="E439" s="20" t="s">
        <v>52</v>
      </c>
      <c r="F439" s="20" t="s">
        <v>52</v>
      </c>
      <c r="G439" s="20" t="s">
        <v>52</v>
      </c>
      <c r="H439" s="20" t="s">
        <v>52</v>
      </c>
      <c r="I439" s="20" t="s">
        <v>52</v>
      </c>
      <c r="J439" s="20" t="s">
        <v>52</v>
      </c>
      <c r="K439" s="20" t="s">
        <v>52</v>
      </c>
      <c r="L439" s="20" t="s">
        <v>52</v>
      </c>
      <c r="M439" s="20" t="s">
        <v>52</v>
      </c>
      <c r="N439" s="20" t="s">
        <v>52</v>
      </c>
      <c r="O439" s="20" t="s">
        <v>52</v>
      </c>
      <c r="P439" s="20" t="s">
        <v>52</v>
      </c>
      <c r="Q439" s="20" t="s">
        <v>52</v>
      </c>
      <c r="R439" s="20" t="s">
        <v>52</v>
      </c>
      <c r="S439" s="20" t="s">
        <v>52</v>
      </c>
    </row>
    <row r="440" ht="7" customHeight="1" spans="1:1">
      <c r="A440" s="34" t="s">
        <v>52</v>
      </c>
    </row>
    <row r="441" spans="1:19">
      <c r="A441" s="13" t="s">
        <v>762</v>
      </c>
      <c r="C441" s="13" t="s">
        <v>52</v>
      </c>
      <c r="D441" s="13" t="s">
        <v>52</v>
      </c>
      <c r="E441" s="13" t="s">
        <v>52</v>
      </c>
      <c r="F441" s="35">
        <v>1304669.3</v>
      </c>
      <c r="G441" s="13" t="s">
        <v>52</v>
      </c>
      <c r="H441" s="13" t="s">
        <v>52</v>
      </c>
      <c r="J441" s="35">
        <v>624060.59</v>
      </c>
      <c r="K441" s="13" t="s">
        <v>52</v>
      </c>
      <c r="L441" s="13" t="s">
        <v>52</v>
      </c>
      <c r="M441" s="35">
        <v>333951.58</v>
      </c>
      <c r="N441" s="13" t="s">
        <v>52</v>
      </c>
      <c r="P441" s="13" t="s">
        <v>52</v>
      </c>
      <c r="Q441" s="35">
        <v>1594778.31</v>
      </c>
      <c r="R441" s="13" t="s">
        <v>52</v>
      </c>
      <c r="S441" s="35">
        <v>1594778.31</v>
      </c>
    </row>
    <row r="442" ht="7" customHeight="1" spans="1:19">
      <c r="A442" s="33" t="s">
        <v>52</v>
      </c>
      <c r="B442" s="20" t="s">
        <v>52</v>
      </c>
      <c r="C442" s="20" t="s">
        <v>52</v>
      </c>
      <c r="D442" s="20" t="s">
        <v>52</v>
      </c>
      <c r="E442" s="20" t="s">
        <v>52</v>
      </c>
      <c r="F442" s="20" t="s">
        <v>52</v>
      </c>
      <c r="G442" s="20" t="s">
        <v>52</v>
      </c>
      <c r="H442" s="20" t="s">
        <v>52</v>
      </c>
      <c r="I442" s="20" t="s">
        <v>52</v>
      </c>
      <c r="J442" s="20" t="s">
        <v>52</v>
      </c>
      <c r="K442" s="20" t="s">
        <v>52</v>
      </c>
      <c r="L442" s="20" t="s">
        <v>52</v>
      </c>
      <c r="M442" s="20" t="s">
        <v>52</v>
      </c>
      <c r="N442" s="20" t="s">
        <v>52</v>
      </c>
      <c r="O442" s="20" t="s">
        <v>52</v>
      </c>
      <c r="P442" s="20" t="s">
        <v>52</v>
      </c>
      <c r="Q442" s="20" t="s">
        <v>52</v>
      </c>
      <c r="R442" s="20" t="s">
        <v>52</v>
      </c>
      <c r="S442" s="20" t="s">
        <v>52</v>
      </c>
    </row>
    <row r="443" ht="7" customHeight="1" spans="1:1">
      <c r="A443" s="34" t="s">
        <v>52</v>
      </c>
    </row>
    <row r="444" ht="14" customHeight="1" spans="1:1">
      <c r="A444" s="34" t="s">
        <v>52</v>
      </c>
    </row>
    <row r="445" spans="1:19">
      <c r="A445" s="22" t="s">
        <v>869</v>
      </c>
      <c r="C445" s="13" t="s">
        <v>52</v>
      </c>
      <c r="D445" s="13" t="s">
        <v>52</v>
      </c>
      <c r="E445" s="23" t="s">
        <v>52</v>
      </c>
      <c r="F445" s="23" t="s">
        <v>52</v>
      </c>
      <c r="G445" s="13" t="s">
        <v>52</v>
      </c>
      <c r="H445" s="23" t="s">
        <v>52</v>
      </c>
      <c r="J445" s="23" t="s">
        <v>52</v>
      </c>
      <c r="K445" s="13" t="s">
        <v>52</v>
      </c>
      <c r="L445" s="23" t="s">
        <v>52</v>
      </c>
      <c r="M445" s="23" t="s">
        <v>52</v>
      </c>
      <c r="N445" s="13" t="s">
        <v>52</v>
      </c>
      <c r="P445" s="23" t="s">
        <v>52</v>
      </c>
      <c r="Q445" s="23" t="s">
        <v>52</v>
      </c>
      <c r="R445" s="13" t="s">
        <v>52</v>
      </c>
      <c r="S445" s="23" t="s">
        <v>52</v>
      </c>
    </row>
    <row r="446" ht="7" customHeight="1" spans="1:1">
      <c r="A446" s="24" t="s">
        <v>52</v>
      </c>
    </row>
    <row r="447" spans="1:19">
      <c r="A447" s="29" t="s">
        <v>870</v>
      </c>
      <c r="B447" s="26" t="s">
        <v>871</v>
      </c>
      <c r="C447" s="26" t="s">
        <v>737</v>
      </c>
      <c r="D447" s="13" t="s">
        <v>52</v>
      </c>
      <c r="E447" s="27">
        <v>36.65</v>
      </c>
      <c r="F447" s="28">
        <v>4398</v>
      </c>
      <c r="G447" s="13" t="s">
        <v>52</v>
      </c>
      <c r="H447" s="27">
        <v>300</v>
      </c>
      <c r="J447" s="28">
        <v>36000</v>
      </c>
      <c r="K447" s="13" t="s">
        <v>52</v>
      </c>
      <c r="L447" s="27">
        <v>308.65</v>
      </c>
      <c r="M447" s="28">
        <v>37038</v>
      </c>
      <c r="N447" s="13" t="s">
        <v>52</v>
      </c>
      <c r="P447" s="27">
        <v>28</v>
      </c>
      <c r="Q447" s="28">
        <v>3360</v>
      </c>
      <c r="R447" s="13" t="s">
        <v>52</v>
      </c>
      <c r="S447" s="28">
        <v>3360</v>
      </c>
    </row>
    <row r="448" spans="1:19">
      <c r="A448" s="29" t="s">
        <v>872</v>
      </c>
      <c r="B448" s="26" t="s">
        <v>873</v>
      </c>
      <c r="C448" s="26" t="s">
        <v>438</v>
      </c>
      <c r="D448" s="13" t="s">
        <v>52</v>
      </c>
      <c r="E448" s="27">
        <v>2</v>
      </c>
      <c r="F448" s="28">
        <v>3455.46</v>
      </c>
      <c r="G448" s="13" t="s">
        <v>52</v>
      </c>
      <c r="H448" s="30" t="s">
        <v>52</v>
      </c>
      <c r="J448" s="30" t="s">
        <v>52</v>
      </c>
      <c r="K448" s="13" t="s">
        <v>52</v>
      </c>
      <c r="L448" s="30" t="s">
        <v>52</v>
      </c>
      <c r="M448" s="30" t="s">
        <v>52</v>
      </c>
      <c r="N448" s="13" t="s">
        <v>52</v>
      </c>
      <c r="P448" s="27">
        <v>2</v>
      </c>
      <c r="Q448" s="28">
        <v>3455.46</v>
      </c>
      <c r="R448" s="13" t="s">
        <v>52</v>
      </c>
      <c r="S448" s="28">
        <v>3455.46</v>
      </c>
    </row>
    <row r="449" spans="1:19">
      <c r="A449" s="29" t="s">
        <v>874</v>
      </c>
      <c r="B449" s="26" t="s">
        <v>875</v>
      </c>
      <c r="C449" s="26" t="s">
        <v>438</v>
      </c>
      <c r="D449" s="13" t="s">
        <v>52</v>
      </c>
      <c r="E449" s="27">
        <v>2</v>
      </c>
      <c r="F449" s="28">
        <v>2650.96</v>
      </c>
      <c r="G449" s="13" t="s">
        <v>52</v>
      </c>
      <c r="H449" s="30" t="s">
        <v>52</v>
      </c>
      <c r="J449" s="30" t="s">
        <v>52</v>
      </c>
      <c r="K449" s="13" t="s">
        <v>52</v>
      </c>
      <c r="L449" s="30" t="s">
        <v>52</v>
      </c>
      <c r="M449" s="30" t="s">
        <v>52</v>
      </c>
      <c r="N449" s="13" t="s">
        <v>52</v>
      </c>
      <c r="P449" s="27">
        <v>2</v>
      </c>
      <c r="Q449" s="28">
        <v>2650.96</v>
      </c>
      <c r="R449" s="13" t="s">
        <v>52</v>
      </c>
      <c r="S449" s="28">
        <v>2650.96</v>
      </c>
    </row>
    <row r="450" spans="1:19">
      <c r="A450" s="29" t="s">
        <v>876</v>
      </c>
      <c r="B450" s="26" t="s">
        <v>877</v>
      </c>
      <c r="C450" s="26" t="s">
        <v>438</v>
      </c>
      <c r="D450" s="13" t="s">
        <v>52</v>
      </c>
      <c r="E450" s="27">
        <v>2</v>
      </c>
      <c r="F450" s="28">
        <v>3455.46</v>
      </c>
      <c r="G450" s="13" t="s">
        <v>52</v>
      </c>
      <c r="H450" s="30" t="s">
        <v>52</v>
      </c>
      <c r="J450" s="30" t="s">
        <v>52</v>
      </c>
      <c r="K450" s="13" t="s">
        <v>52</v>
      </c>
      <c r="L450" s="30" t="s">
        <v>52</v>
      </c>
      <c r="M450" s="30" t="s">
        <v>52</v>
      </c>
      <c r="N450" s="13" t="s">
        <v>52</v>
      </c>
      <c r="P450" s="27">
        <v>2</v>
      </c>
      <c r="Q450" s="28">
        <v>3455.46</v>
      </c>
      <c r="R450" s="13" t="s">
        <v>52</v>
      </c>
      <c r="S450" s="28">
        <v>3455.46</v>
      </c>
    </row>
    <row r="451" spans="1:19">
      <c r="A451" s="29" t="s">
        <v>878</v>
      </c>
      <c r="B451" s="26" t="s">
        <v>879</v>
      </c>
      <c r="C451" s="26" t="s">
        <v>438</v>
      </c>
      <c r="D451" s="13" t="s">
        <v>52</v>
      </c>
      <c r="E451" s="27">
        <v>2</v>
      </c>
      <c r="F451" s="28">
        <v>3455.46</v>
      </c>
      <c r="G451" s="13" t="s">
        <v>52</v>
      </c>
      <c r="H451" s="30" t="s">
        <v>52</v>
      </c>
      <c r="J451" s="30" t="s">
        <v>52</v>
      </c>
      <c r="K451" s="13" t="s">
        <v>52</v>
      </c>
      <c r="L451" s="30" t="s">
        <v>52</v>
      </c>
      <c r="M451" s="30" t="s">
        <v>52</v>
      </c>
      <c r="N451" s="13" t="s">
        <v>52</v>
      </c>
      <c r="P451" s="27">
        <v>2</v>
      </c>
      <c r="Q451" s="28">
        <v>3455.46</v>
      </c>
      <c r="R451" s="13" t="s">
        <v>52</v>
      </c>
      <c r="S451" s="28">
        <v>3455.46</v>
      </c>
    </row>
    <row r="452" spans="1:19">
      <c r="A452" s="29" t="s">
        <v>880</v>
      </c>
      <c r="B452" s="26" t="s">
        <v>881</v>
      </c>
      <c r="C452" s="26" t="s">
        <v>438</v>
      </c>
      <c r="D452" s="13" t="s">
        <v>52</v>
      </c>
      <c r="E452" s="27">
        <v>4</v>
      </c>
      <c r="F452" s="28">
        <v>12300.4</v>
      </c>
      <c r="G452" s="13" t="s">
        <v>52</v>
      </c>
      <c r="H452" s="30" t="s">
        <v>52</v>
      </c>
      <c r="J452" s="30" t="s">
        <v>52</v>
      </c>
      <c r="K452" s="13" t="s">
        <v>52</v>
      </c>
      <c r="L452" s="30" t="s">
        <v>52</v>
      </c>
      <c r="M452" s="30" t="s">
        <v>52</v>
      </c>
      <c r="N452" s="13" t="s">
        <v>52</v>
      </c>
      <c r="P452" s="27">
        <v>4</v>
      </c>
      <c r="Q452" s="28">
        <v>12300.4</v>
      </c>
      <c r="R452" s="13" t="s">
        <v>52</v>
      </c>
      <c r="S452" s="28">
        <v>12300.4</v>
      </c>
    </row>
    <row r="453" spans="1:19">
      <c r="A453" s="29" t="s">
        <v>882</v>
      </c>
      <c r="B453" s="26" t="s">
        <v>883</v>
      </c>
      <c r="C453" s="26" t="s">
        <v>438</v>
      </c>
      <c r="D453" s="13" t="s">
        <v>52</v>
      </c>
      <c r="E453" s="27">
        <v>2</v>
      </c>
      <c r="F453" s="28">
        <v>71797.8</v>
      </c>
      <c r="G453" s="13" t="s">
        <v>52</v>
      </c>
      <c r="H453" s="30" t="s">
        <v>52</v>
      </c>
      <c r="J453" s="30" t="s">
        <v>52</v>
      </c>
      <c r="K453" s="13" t="s">
        <v>52</v>
      </c>
      <c r="L453" s="30" t="s">
        <v>52</v>
      </c>
      <c r="M453" s="30" t="s">
        <v>52</v>
      </c>
      <c r="N453" s="13" t="s">
        <v>52</v>
      </c>
      <c r="P453" s="27">
        <v>2</v>
      </c>
      <c r="Q453" s="28">
        <v>71797.8</v>
      </c>
      <c r="R453" s="13" t="s">
        <v>52</v>
      </c>
      <c r="S453" s="28">
        <v>71797.8</v>
      </c>
    </row>
    <row r="454" spans="1:19">
      <c r="A454" s="29" t="s">
        <v>884</v>
      </c>
      <c r="B454" s="26" t="s">
        <v>885</v>
      </c>
      <c r="C454" s="26" t="s">
        <v>438</v>
      </c>
      <c r="D454" s="13" t="s">
        <v>52</v>
      </c>
      <c r="E454" s="27">
        <v>1</v>
      </c>
      <c r="F454" s="28">
        <v>1017.31</v>
      </c>
      <c r="G454" s="13" t="s">
        <v>52</v>
      </c>
      <c r="H454" s="27">
        <v>1</v>
      </c>
      <c r="J454" s="28">
        <v>1017.31</v>
      </c>
      <c r="K454" s="13" t="s">
        <v>52</v>
      </c>
      <c r="L454" s="30" t="s">
        <v>52</v>
      </c>
      <c r="M454" s="30" t="s">
        <v>52</v>
      </c>
      <c r="N454" s="13" t="s">
        <v>52</v>
      </c>
      <c r="P454" s="27">
        <v>2</v>
      </c>
      <c r="Q454" s="28">
        <v>2034.62</v>
      </c>
      <c r="R454" s="13" t="s">
        <v>52</v>
      </c>
      <c r="S454" s="28">
        <v>2034.62</v>
      </c>
    </row>
    <row r="455" spans="1:19">
      <c r="A455" s="29" t="s">
        <v>886</v>
      </c>
      <c r="B455" s="26" t="s">
        <v>887</v>
      </c>
      <c r="C455" s="26" t="s">
        <v>737</v>
      </c>
      <c r="D455" s="13" t="s">
        <v>52</v>
      </c>
      <c r="E455" s="27">
        <v>0</v>
      </c>
      <c r="F455" s="28">
        <v>0</v>
      </c>
      <c r="G455" s="13" t="s">
        <v>52</v>
      </c>
      <c r="H455" s="27">
        <v>32</v>
      </c>
      <c r="J455" s="28">
        <v>4800</v>
      </c>
      <c r="K455" s="13" t="s">
        <v>52</v>
      </c>
      <c r="L455" s="27">
        <v>16</v>
      </c>
      <c r="M455" s="28">
        <v>2400</v>
      </c>
      <c r="N455" s="13" t="s">
        <v>52</v>
      </c>
      <c r="P455" s="27">
        <v>16</v>
      </c>
      <c r="Q455" s="28">
        <v>2400</v>
      </c>
      <c r="R455" s="13" t="s">
        <v>52</v>
      </c>
      <c r="S455" s="28">
        <v>2400</v>
      </c>
    </row>
    <row r="456" spans="1:19">
      <c r="A456" s="29" t="s">
        <v>888</v>
      </c>
      <c r="B456" s="26" t="s">
        <v>889</v>
      </c>
      <c r="C456" s="26" t="s">
        <v>438</v>
      </c>
      <c r="D456" s="13" t="s">
        <v>52</v>
      </c>
      <c r="E456" s="27">
        <v>13</v>
      </c>
      <c r="F456" s="28">
        <v>2166.71</v>
      </c>
      <c r="G456" s="13" t="s">
        <v>52</v>
      </c>
      <c r="H456" s="27">
        <v>216</v>
      </c>
      <c r="J456" s="28">
        <v>36000.72</v>
      </c>
      <c r="K456" s="13" t="s">
        <v>52</v>
      </c>
      <c r="L456" s="27">
        <v>151</v>
      </c>
      <c r="M456" s="28">
        <v>25167.17</v>
      </c>
      <c r="N456" s="13" t="s">
        <v>52</v>
      </c>
      <c r="P456" s="27">
        <v>78</v>
      </c>
      <c r="Q456" s="28">
        <v>13000.26</v>
      </c>
      <c r="R456" s="13" t="s">
        <v>52</v>
      </c>
      <c r="S456" s="28">
        <v>13000.26</v>
      </c>
    </row>
    <row r="457" spans="1:19">
      <c r="A457" s="29" t="s">
        <v>890</v>
      </c>
      <c r="B457" s="26" t="s">
        <v>891</v>
      </c>
      <c r="C457" s="26" t="s">
        <v>892</v>
      </c>
      <c r="D457" s="13" t="s">
        <v>52</v>
      </c>
      <c r="E457" s="27">
        <v>42.25</v>
      </c>
      <c r="F457" s="28">
        <v>12252.5</v>
      </c>
      <c r="G457" s="13" t="s">
        <v>52</v>
      </c>
      <c r="H457" s="27">
        <v>629.45</v>
      </c>
      <c r="J457" s="28">
        <v>182540.5</v>
      </c>
      <c r="K457" s="13" t="s">
        <v>52</v>
      </c>
      <c r="L457" s="27">
        <v>668.64</v>
      </c>
      <c r="M457" s="28">
        <v>193905.6</v>
      </c>
      <c r="N457" s="13" t="s">
        <v>52</v>
      </c>
      <c r="P457" s="27">
        <v>3.06</v>
      </c>
      <c r="Q457" s="28">
        <v>887.4</v>
      </c>
      <c r="R457" s="13" t="s">
        <v>52</v>
      </c>
      <c r="S457" s="28">
        <v>887.4</v>
      </c>
    </row>
    <row r="458" spans="1:19">
      <c r="A458" s="29" t="s">
        <v>893</v>
      </c>
      <c r="B458" s="26" t="s">
        <v>894</v>
      </c>
      <c r="C458" s="26" t="s">
        <v>438</v>
      </c>
      <c r="D458" s="13" t="s">
        <v>52</v>
      </c>
      <c r="E458" s="27">
        <v>0</v>
      </c>
      <c r="F458" s="28">
        <v>0</v>
      </c>
      <c r="G458" s="13" t="s">
        <v>52</v>
      </c>
      <c r="H458" s="27">
        <v>2</v>
      </c>
      <c r="J458" s="30" t="s">
        <v>52</v>
      </c>
      <c r="K458" s="13" t="s">
        <v>52</v>
      </c>
      <c r="L458" s="27">
        <v>1</v>
      </c>
      <c r="M458" s="30" t="s">
        <v>52</v>
      </c>
      <c r="N458" s="13" t="s">
        <v>52</v>
      </c>
      <c r="P458" s="27">
        <v>1</v>
      </c>
      <c r="Q458" s="28">
        <v>0</v>
      </c>
      <c r="R458" s="13" t="s">
        <v>52</v>
      </c>
      <c r="S458" s="28">
        <v>0</v>
      </c>
    </row>
    <row r="459" ht="7" customHeight="1" spans="1:19">
      <c r="A459" s="33" t="s">
        <v>52</v>
      </c>
      <c r="B459" s="20" t="s">
        <v>52</v>
      </c>
      <c r="C459" s="20" t="s">
        <v>52</v>
      </c>
      <c r="D459" s="20" t="s">
        <v>52</v>
      </c>
      <c r="E459" s="20" t="s">
        <v>52</v>
      </c>
      <c r="F459" s="20" t="s">
        <v>52</v>
      </c>
      <c r="G459" s="20" t="s">
        <v>52</v>
      </c>
      <c r="H459" s="20" t="s">
        <v>52</v>
      </c>
      <c r="I459" s="20" t="s">
        <v>52</v>
      </c>
      <c r="J459" s="20" t="s">
        <v>52</v>
      </c>
      <c r="K459" s="20" t="s">
        <v>52</v>
      </c>
      <c r="L459" s="20" t="s">
        <v>52</v>
      </c>
      <c r="M459" s="20" t="s">
        <v>52</v>
      </c>
      <c r="N459" s="20" t="s">
        <v>52</v>
      </c>
      <c r="O459" s="20" t="s">
        <v>52</v>
      </c>
      <c r="P459" s="20" t="s">
        <v>52</v>
      </c>
      <c r="Q459" s="20" t="s">
        <v>52</v>
      </c>
      <c r="R459" s="20" t="s">
        <v>52</v>
      </c>
      <c r="S459" s="20" t="s">
        <v>52</v>
      </c>
    </row>
    <row r="460" ht="7" customHeight="1" spans="1:1">
      <c r="A460" s="34" t="s">
        <v>52</v>
      </c>
    </row>
    <row r="461" spans="1:19">
      <c r="A461" s="13" t="s">
        <v>869</v>
      </c>
      <c r="C461" s="13" t="s">
        <v>52</v>
      </c>
      <c r="D461" s="13" t="s">
        <v>52</v>
      </c>
      <c r="E461" s="13" t="s">
        <v>52</v>
      </c>
      <c r="F461" s="35">
        <v>116950.06</v>
      </c>
      <c r="G461" s="13" t="s">
        <v>52</v>
      </c>
      <c r="H461" s="13" t="s">
        <v>52</v>
      </c>
      <c r="J461" s="35">
        <v>260358.53</v>
      </c>
      <c r="K461" s="13" t="s">
        <v>52</v>
      </c>
      <c r="L461" s="13" t="s">
        <v>52</v>
      </c>
      <c r="M461" s="35">
        <v>258510.77</v>
      </c>
      <c r="N461" s="13" t="s">
        <v>52</v>
      </c>
      <c r="P461" s="13" t="s">
        <v>52</v>
      </c>
      <c r="Q461" s="35">
        <v>118797.82</v>
      </c>
      <c r="R461" s="13" t="s">
        <v>52</v>
      </c>
      <c r="S461" s="35">
        <v>118797.82</v>
      </c>
    </row>
    <row r="462" ht="7" customHeight="1" spans="1:19">
      <c r="A462" s="33" t="s">
        <v>52</v>
      </c>
      <c r="B462" s="20" t="s">
        <v>52</v>
      </c>
      <c r="C462" s="20" t="s">
        <v>52</v>
      </c>
      <c r="D462" s="20" t="s">
        <v>52</v>
      </c>
      <c r="E462" s="20" t="s">
        <v>52</v>
      </c>
      <c r="F462" s="20" t="s">
        <v>52</v>
      </c>
      <c r="G462" s="20" t="s">
        <v>52</v>
      </c>
      <c r="H462" s="20" t="s">
        <v>52</v>
      </c>
      <c r="I462" s="20" t="s">
        <v>52</v>
      </c>
      <c r="J462" s="20" t="s">
        <v>52</v>
      </c>
      <c r="K462" s="20" t="s">
        <v>52</v>
      </c>
      <c r="L462" s="20" t="s">
        <v>52</v>
      </c>
      <c r="M462" s="20" t="s">
        <v>52</v>
      </c>
      <c r="N462" s="20" t="s">
        <v>52</v>
      </c>
      <c r="O462" s="20" t="s">
        <v>52</v>
      </c>
      <c r="P462" s="20" t="s">
        <v>52</v>
      </c>
      <c r="Q462" s="20" t="s">
        <v>52</v>
      </c>
      <c r="R462" s="20" t="s">
        <v>52</v>
      </c>
      <c r="S462" s="20" t="s">
        <v>52</v>
      </c>
    </row>
    <row r="463" ht="7" customHeight="1" spans="1:1">
      <c r="A463" s="34" t="s">
        <v>52</v>
      </c>
    </row>
    <row r="464" ht="14" customHeight="1" spans="1:1">
      <c r="A464" s="34" t="s">
        <v>52</v>
      </c>
    </row>
    <row r="465" spans="1:19">
      <c r="A465" s="22" t="s">
        <v>895</v>
      </c>
      <c r="C465" s="13" t="s">
        <v>52</v>
      </c>
      <c r="D465" s="13" t="s">
        <v>52</v>
      </c>
      <c r="E465" s="23" t="s">
        <v>52</v>
      </c>
      <c r="F465" s="23" t="s">
        <v>52</v>
      </c>
      <c r="G465" s="13" t="s">
        <v>52</v>
      </c>
      <c r="H465" s="23" t="s">
        <v>52</v>
      </c>
      <c r="J465" s="23" t="s">
        <v>52</v>
      </c>
      <c r="K465" s="13" t="s">
        <v>52</v>
      </c>
      <c r="L465" s="23" t="s">
        <v>52</v>
      </c>
      <c r="M465" s="23" t="s">
        <v>52</v>
      </c>
      <c r="N465" s="13" t="s">
        <v>52</v>
      </c>
      <c r="P465" s="23" t="s">
        <v>52</v>
      </c>
      <c r="Q465" s="23" t="s">
        <v>52</v>
      </c>
      <c r="R465" s="13" t="s">
        <v>52</v>
      </c>
      <c r="S465" s="23" t="s">
        <v>52</v>
      </c>
    </row>
    <row r="466" ht="7" customHeight="1" spans="1:1">
      <c r="A466" s="24" t="s">
        <v>52</v>
      </c>
    </row>
    <row r="467" spans="1:19">
      <c r="A467" s="29" t="s">
        <v>896</v>
      </c>
      <c r="B467" s="26" t="s">
        <v>897</v>
      </c>
      <c r="C467" s="26" t="s">
        <v>438</v>
      </c>
      <c r="D467" s="13" t="s">
        <v>52</v>
      </c>
      <c r="E467" s="27">
        <v>186</v>
      </c>
      <c r="F467" s="28">
        <v>5580</v>
      </c>
      <c r="G467" s="13" t="s">
        <v>52</v>
      </c>
      <c r="H467" s="27">
        <v>16386</v>
      </c>
      <c r="J467" s="28">
        <v>491580.06</v>
      </c>
      <c r="K467" s="13" t="s">
        <v>52</v>
      </c>
      <c r="L467" s="27">
        <v>14726</v>
      </c>
      <c r="M467" s="28">
        <v>441780.06</v>
      </c>
      <c r="N467" s="13" t="s">
        <v>52</v>
      </c>
      <c r="P467" s="27">
        <v>1846</v>
      </c>
      <c r="Q467" s="28">
        <v>55380</v>
      </c>
      <c r="R467" s="13" t="s">
        <v>52</v>
      </c>
      <c r="S467" s="28">
        <v>55380</v>
      </c>
    </row>
    <row r="468" spans="1:19">
      <c r="A468" s="29" t="s">
        <v>898</v>
      </c>
      <c r="B468" s="26" t="s">
        <v>899</v>
      </c>
      <c r="C468" s="26" t="s">
        <v>438</v>
      </c>
      <c r="D468" s="13" t="s">
        <v>52</v>
      </c>
      <c r="E468" s="27">
        <v>1538</v>
      </c>
      <c r="F468" s="28">
        <v>56906.01</v>
      </c>
      <c r="G468" s="13" t="s">
        <v>52</v>
      </c>
      <c r="H468" s="27">
        <v>26992</v>
      </c>
      <c r="J468" s="28">
        <v>998704.14</v>
      </c>
      <c r="K468" s="13" t="s">
        <v>52</v>
      </c>
      <c r="L468" s="27">
        <v>26807</v>
      </c>
      <c r="M468" s="28">
        <v>991859.15</v>
      </c>
      <c r="N468" s="13" t="s">
        <v>52</v>
      </c>
      <c r="P468" s="27">
        <v>1723</v>
      </c>
      <c r="Q468" s="28">
        <v>63751</v>
      </c>
      <c r="R468" s="13" t="s">
        <v>52</v>
      </c>
      <c r="S468" s="28">
        <v>63751</v>
      </c>
    </row>
    <row r="469" spans="1:19">
      <c r="A469" s="29" t="s">
        <v>900</v>
      </c>
      <c r="B469" s="26" t="s">
        <v>901</v>
      </c>
      <c r="C469" s="26" t="s">
        <v>438</v>
      </c>
      <c r="D469" s="13" t="s">
        <v>52</v>
      </c>
      <c r="E469" s="27">
        <v>218</v>
      </c>
      <c r="F469" s="28">
        <v>34662</v>
      </c>
      <c r="G469" s="13" t="s">
        <v>52</v>
      </c>
      <c r="H469" s="27">
        <v>2548</v>
      </c>
      <c r="J469" s="28">
        <v>405132.05</v>
      </c>
      <c r="K469" s="13" t="s">
        <v>52</v>
      </c>
      <c r="L469" s="27">
        <v>2630</v>
      </c>
      <c r="M469" s="28">
        <v>418170.05</v>
      </c>
      <c r="N469" s="13" t="s">
        <v>52</v>
      </c>
      <c r="P469" s="27">
        <v>136</v>
      </c>
      <c r="Q469" s="28">
        <v>21624</v>
      </c>
      <c r="R469" s="13" t="s">
        <v>52</v>
      </c>
      <c r="S469" s="28">
        <v>21624</v>
      </c>
    </row>
    <row r="470" spans="1:19">
      <c r="A470" s="29" t="s">
        <v>902</v>
      </c>
      <c r="B470" s="26" t="s">
        <v>903</v>
      </c>
      <c r="C470" s="26" t="s">
        <v>438</v>
      </c>
      <c r="D470" s="13" t="s">
        <v>52</v>
      </c>
      <c r="E470" s="27">
        <v>105</v>
      </c>
      <c r="F470" s="28">
        <v>9975</v>
      </c>
      <c r="G470" s="13" t="s">
        <v>52</v>
      </c>
      <c r="H470" s="27">
        <v>219.54</v>
      </c>
      <c r="J470" s="28">
        <v>20856.3</v>
      </c>
      <c r="K470" s="13" t="s">
        <v>52</v>
      </c>
      <c r="L470" s="27">
        <v>282.54</v>
      </c>
      <c r="M470" s="28">
        <v>26841.3</v>
      </c>
      <c r="N470" s="13" t="s">
        <v>52</v>
      </c>
      <c r="P470" s="27">
        <v>42</v>
      </c>
      <c r="Q470" s="28">
        <v>3990</v>
      </c>
      <c r="R470" s="13" t="s">
        <v>52</v>
      </c>
      <c r="S470" s="28">
        <v>3990</v>
      </c>
    </row>
    <row r="471" spans="1:19">
      <c r="A471" s="29" t="s">
        <v>904</v>
      </c>
      <c r="B471" s="26" t="s">
        <v>905</v>
      </c>
      <c r="C471" s="26" t="s">
        <v>438</v>
      </c>
      <c r="D471" s="13" t="s">
        <v>52</v>
      </c>
      <c r="E471" s="27">
        <v>580</v>
      </c>
      <c r="F471" s="28">
        <v>21262.8</v>
      </c>
      <c r="G471" s="13" t="s">
        <v>52</v>
      </c>
      <c r="H471" s="30" t="s">
        <v>52</v>
      </c>
      <c r="J471" s="30" t="s">
        <v>52</v>
      </c>
      <c r="K471" s="13" t="s">
        <v>52</v>
      </c>
      <c r="L471" s="30" t="s">
        <v>52</v>
      </c>
      <c r="M471" s="30" t="s">
        <v>52</v>
      </c>
      <c r="N471" s="13" t="s">
        <v>52</v>
      </c>
      <c r="P471" s="27">
        <v>580</v>
      </c>
      <c r="Q471" s="28">
        <v>21262.8</v>
      </c>
      <c r="R471" s="13" t="s">
        <v>52</v>
      </c>
      <c r="S471" s="28">
        <v>21262.8</v>
      </c>
    </row>
    <row r="472" spans="1:19">
      <c r="A472" s="29" t="s">
        <v>906</v>
      </c>
      <c r="B472" s="26" t="s">
        <v>907</v>
      </c>
      <c r="C472" s="26" t="s">
        <v>438</v>
      </c>
      <c r="D472" s="13" t="s">
        <v>52</v>
      </c>
      <c r="E472" s="27">
        <v>867</v>
      </c>
      <c r="F472" s="28">
        <v>29478</v>
      </c>
      <c r="G472" s="13" t="s">
        <v>52</v>
      </c>
      <c r="H472" s="30" t="s">
        <v>52</v>
      </c>
      <c r="J472" s="30" t="s">
        <v>52</v>
      </c>
      <c r="K472" s="13" t="s">
        <v>52</v>
      </c>
      <c r="L472" s="30" t="s">
        <v>52</v>
      </c>
      <c r="M472" s="30" t="s">
        <v>52</v>
      </c>
      <c r="N472" s="13" t="s">
        <v>52</v>
      </c>
      <c r="P472" s="27">
        <v>867</v>
      </c>
      <c r="Q472" s="28">
        <v>29478</v>
      </c>
      <c r="R472" s="13" t="s">
        <v>52</v>
      </c>
      <c r="S472" s="28">
        <v>29478</v>
      </c>
    </row>
    <row r="473" spans="1:19">
      <c r="A473" s="29" t="s">
        <v>908</v>
      </c>
      <c r="B473" s="26" t="s">
        <v>909</v>
      </c>
      <c r="C473" s="26" t="s">
        <v>438</v>
      </c>
      <c r="D473" s="13" t="s">
        <v>52</v>
      </c>
      <c r="E473" s="27">
        <v>255</v>
      </c>
      <c r="F473" s="28">
        <v>10200</v>
      </c>
      <c r="G473" s="13" t="s">
        <v>52</v>
      </c>
      <c r="H473" s="30" t="s">
        <v>52</v>
      </c>
      <c r="J473" s="30" t="s">
        <v>52</v>
      </c>
      <c r="K473" s="13" t="s">
        <v>52</v>
      </c>
      <c r="L473" s="30" t="s">
        <v>52</v>
      </c>
      <c r="M473" s="30" t="s">
        <v>52</v>
      </c>
      <c r="N473" s="13" t="s">
        <v>52</v>
      </c>
      <c r="P473" s="27">
        <v>255</v>
      </c>
      <c r="Q473" s="28">
        <v>10200</v>
      </c>
      <c r="R473" s="13" t="s">
        <v>52</v>
      </c>
      <c r="S473" s="28">
        <v>10200</v>
      </c>
    </row>
    <row r="474" spans="1:19">
      <c r="A474" s="29" t="s">
        <v>910</v>
      </c>
      <c r="B474" s="26" t="s">
        <v>911</v>
      </c>
      <c r="C474" s="26" t="s">
        <v>438</v>
      </c>
      <c r="D474" s="13" t="s">
        <v>52</v>
      </c>
      <c r="E474" s="27">
        <v>244</v>
      </c>
      <c r="F474" s="28">
        <v>11468</v>
      </c>
      <c r="G474" s="13" t="s">
        <v>52</v>
      </c>
      <c r="H474" s="30" t="s">
        <v>52</v>
      </c>
      <c r="J474" s="30" t="s">
        <v>52</v>
      </c>
      <c r="K474" s="13" t="s">
        <v>52</v>
      </c>
      <c r="L474" s="30" t="s">
        <v>52</v>
      </c>
      <c r="M474" s="30" t="s">
        <v>52</v>
      </c>
      <c r="N474" s="13" t="s">
        <v>52</v>
      </c>
      <c r="P474" s="27">
        <v>244</v>
      </c>
      <c r="Q474" s="28">
        <v>11468</v>
      </c>
      <c r="R474" s="13" t="s">
        <v>52</v>
      </c>
      <c r="S474" s="28">
        <v>11468</v>
      </c>
    </row>
    <row r="475" spans="1:19">
      <c r="A475" s="29" t="s">
        <v>912</v>
      </c>
      <c r="B475" s="26" t="s">
        <v>913</v>
      </c>
      <c r="C475" s="26" t="s">
        <v>438</v>
      </c>
      <c r="D475" s="13" t="s">
        <v>52</v>
      </c>
      <c r="E475" s="27">
        <v>0</v>
      </c>
      <c r="F475" s="28">
        <v>0</v>
      </c>
      <c r="G475" s="13" t="s">
        <v>52</v>
      </c>
      <c r="H475" s="27">
        <v>17.6</v>
      </c>
      <c r="J475" s="28">
        <v>25520</v>
      </c>
      <c r="K475" s="13" t="s">
        <v>52</v>
      </c>
      <c r="L475" s="27">
        <v>8.75</v>
      </c>
      <c r="M475" s="28">
        <v>12687.5</v>
      </c>
      <c r="N475" s="13" t="s">
        <v>52</v>
      </c>
      <c r="P475" s="27">
        <v>8.85</v>
      </c>
      <c r="Q475" s="28">
        <v>12832.5</v>
      </c>
      <c r="R475" s="13" t="s">
        <v>52</v>
      </c>
      <c r="S475" s="28">
        <v>12832.5</v>
      </c>
    </row>
    <row r="476" ht="7" customHeight="1" spans="1:19">
      <c r="A476" s="33" t="s">
        <v>52</v>
      </c>
      <c r="B476" s="20" t="s">
        <v>52</v>
      </c>
      <c r="C476" s="20" t="s">
        <v>52</v>
      </c>
      <c r="D476" s="20" t="s">
        <v>52</v>
      </c>
      <c r="E476" s="20" t="s">
        <v>52</v>
      </c>
      <c r="F476" s="20" t="s">
        <v>52</v>
      </c>
      <c r="G476" s="20" t="s">
        <v>52</v>
      </c>
      <c r="H476" s="20" t="s">
        <v>52</v>
      </c>
      <c r="I476" s="20" t="s">
        <v>52</v>
      </c>
      <c r="J476" s="20" t="s">
        <v>52</v>
      </c>
      <c r="K476" s="20" t="s">
        <v>52</v>
      </c>
      <c r="L476" s="20" t="s">
        <v>52</v>
      </c>
      <c r="M476" s="20" t="s">
        <v>52</v>
      </c>
      <c r="N476" s="20" t="s">
        <v>52</v>
      </c>
      <c r="O476" s="20" t="s">
        <v>52</v>
      </c>
      <c r="P476" s="20" t="s">
        <v>52</v>
      </c>
      <c r="Q476" s="20" t="s">
        <v>52</v>
      </c>
      <c r="R476" s="20" t="s">
        <v>52</v>
      </c>
      <c r="S476" s="20" t="s">
        <v>52</v>
      </c>
    </row>
    <row r="477" ht="7" customHeight="1" spans="1:1">
      <c r="A477" s="34" t="s">
        <v>52</v>
      </c>
    </row>
    <row r="478" spans="1:19">
      <c r="A478" s="13" t="s">
        <v>895</v>
      </c>
      <c r="C478" s="13" t="s">
        <v>52</v>
      </c>
      <c r="D478" s="13" t="s">
        <v>52</v>
      </c>
      <c r="E478" s="13" t="s">
        <v>52</v>
      </c>
      <c r="F478" s="35">
        <v>179531.81</v>
      </c>
      <c r="G478" s="13" t="s">
        <v>52</v>
      </c>
      <c r="H478" s="13" t="s">
        <v>52</v>
      </c>
      <c r="J478" s="35">
        <v>1941792.55</v>
      </c>
      <c r="K478" s="13" t="s">
        <v>52</v>
      </c>
      <c r="L478" s="13" t="s">
        <v>52</v>
      </c>
      <c r="M478" s="35">
        <v>1891338.06</v>
      </c>
      <c r="N478" s="13" t="s">
        <v>52</v>
      </c>
      <c r="P478" s="13" t="s">
        <v>52</v>
      </c>
      <c r="Q478" s="35">
        <v>229986.3</v>
      </c>
      <c r="R478" s="13" t="s">
        <v>52</v>
      </c>
      <c r="S478" s="35">
        <v>229986.3</v>
      </c>
    </row>
    <row r="479" ht="7" customHeight="1" spans="1:19">
      <c r="A479" s="33" t="s">
        <v>52</v>
      </c>
      <c r="B479" s="20" t="s">
        <v>52</v>
      </c>
      <c r="C479" s="20" t="s">
        <v>52</v>
      </c>
      <c r="D479" s="20" t="s">
        <v>52</v>
      </c>
      <c r="E479" s="20" t="s">
        <v>52</v>
      </c>
      <c r="F479" s="20" t="s">
        <v>52</v>
      </c>
      <c r="G479" s="20" t="s">
        <v>52</v>
      </c>
      <c r="H479" s="20" t="s">
        <v>52</v>
      </c>
      <c r="I479" s="20" t="s">
        <v>52</v>
      </c>
      <c r="J479" s="20" t="s">
        <v>52</v>
      </c>
      <c r="K479" s="20" t="s">
        <v>52</v>
      </c>
      <c r="L479" s="20" t="s">
        <v>52</v>
      </c>
      <c r="M479" s="20" t="s">
        <v>52</v>
      </c>
      <c r="N479" s="20" t="s">
        <v>52</v>
      </c>
      <c r="O479" s="20" t="s">
        <v>52</v>
      </c>
      <c r="P479" s="20" t="s">
        <v>52</v>
      </c>
      <c r="Q479" s="20" t="s">
        <v>52</v>
      </c>
      <c r="R479" s="20" t="s">
        <v>52</v>
      </c>
      <c r="S479" s="20" t="s">
        <v>52</v>
      </c>
    </row>
    <row r="480" ht="7" customHeight="1" spans="1:1">
      <c r="A480" s="34" t="s">
        <v>52</v>
      </c>
    </row>
    <row r="481" ht="14" customHeight="1" spans="1:1">
      <c r="A481" s="34" t="s">
        <v>52</v>
      </c>
    </row>
    <row r="482" spans="1:19">
      <c r="A482" s="22" t="s">
        <v>914</v>
      </c>
      <c r="C482" s="13" t="s">
        <v>52</v>
      </c>
      <c r="D482" s="13" t="s">
        <v>52</v>
      </c>
      <c r="E482" s="23" t="s">
        <v>52</v>
      </c>
      <c r="F482" s="23" t="s">
        <v>52</v>
      </c>
      <c r="G482" s="13" t="s">
        <v>52</v>
      </c>
      <c r="H482" s="23" t="s">
        <v>52</v>
      </c>
      <c r="J482" s="23" t="s">
        <v>52</v>
      </c>
      <c r="K482" s="13" t="s">
        <v>52</v>
      </c>
      <c r="L482" s="23" t="s">
        <v>52</v>
      </c>
      <c r="M482" s="23" t="s">
        <v>52</v>
      </c>
      <c r="N482" s="13" t="s">
        <v>52</v>
      </c>
      <c r="P482" s="23" t="s">
        <v>52</v>
      </c>
      <c r="Q482" s="23" t="s">
        <v>52</v>
      </c>
      <c r="R482" s="13" t="s">
        <v>52</v>
      </c>
      <c r="S482" s="23" t="s">
        <v>52</v>
      </c>
    </row>
    <row r="483" ht="7" customHeight="1" spans="1:1">
      <c r="A483" s="24" t="s">
        <v>52</v>
      </c>
    </row>
    <row r="484" spans="1:19">
      <c r="A484" s="29" t="s">
        <v>915</v>
      </c>
      <c r="B484" s="26" t="s">
        <v>916</v>
      </c>
      <c r="C484" s="26" t="s">
        <v>737</v>
      </c>
      <c r="D484" s="13" t="s">
        <v>52</v>
      </c>
      <c r="E484" s="27">
        <v>18922.08</v>
      </c>
      <c r="F484" s="28">
        <v>20607620.12</v>
      </c>
      <c r="G484" s="13" t="s">
        <v>52</v>
      </c>
      <c r="H484" s="27">
        <v>88606.65804</v>
      </c>
      <c r="J484" s="28">
        <v>100635265.14</v>
      </c>
      <c r="K484" s="13" t="s">
        <v>52</v>
      </c>
      <c r="L484" s="27">
        <v>102962.93804</v>
      </c>
      <c r="M484" s="28">
        <v>116240046.89</v>
      </c>
      <c r="N484" s="13" t="s">
        <v>52</v>
      </c>
      <c r="P484" s="27">
        <v>4565.8</v>
      </c>
      <c r="Q484" s="28">
        <v>5002838.37</v>
      </c>
      <c r="R484" s="13" t="s">
        <v>52</v>
      </c>
      <c r="S484" s="28">
        <v>5002838.37</v>
      </c>
    </row>
    <row r="485" spans="1:19">
      <c r="A485" s="29" t="s">
        <v>917</v>
      </c>
      <c r="B485" s="26" t="s">
        <v>918</v>
      </c>
      <c r="C485" s="26" t="s">
        <v>737</v>
      </c>
      <c r="D485" s="13" t="s">
        <v>52</v>
      </c>
      <c r="E485" s="27">
        <v>2259.51</v>
      </c>
      <c r="F485" s="28">
        <v>1914866.95</v>
      </c>
      <c r="G485" s="13" t="s">
        <v>52</v>
      </c>
      <c r="H485" s="30" t="s">
        <v>52</v>
      </c>
      <c r="J485" s="30" t="s">
        <v>52</v>
      </c>
      <c r="K485" s="13" t="s">
        <v>52</v>
      </c>
      <c r="L485" s="27">
        <v>2162.46</v>
      </c>
      <c r="M485" s="28">
        <v>1832619.96</v>
      </c>
      <c r="N485" s="13" t="s">
        <v>52</v>
      </c>
      <c r="P485" s="27">
        <v>97.05</v>
      </c>
      <c r="Q485" s="28">
        <v>82246.99</v>
      </c>
      <c r="R485" s="13" t="s">
        <v>52</v>
      </c>
      <c r="S485" s="28">
        <v>82246.99</v>
      </c>
    </row>
    <row r="486" spans="1:19">
      <c r="A486" s="29" t="s">
        <v>919</v>
      </c>
      <c r="B486" s="26" t="s">
        <v>920</v>
      </c>
      <c r="C486" s="26" t="s">
        <v>921</v>
      </c>
      <c r="D486" s="13" t="s">
        <v>52</v>
      </c>
      <c r="E486" s="27">
        <v>668.7</v>
      </c>
      <c r="F486" s="28">
        <v>48394.1</v>
      </c>
      <c r="G486" s="13" t="s">
        <v>52</v>
      </c>
      <c r="H486" s="27">
        <v>16952.6</v>
      </c>
      <c r="J486" s="28">
        <v>1273203.4</v>
      </c>
      <c r="K486" s="13" t="s">
        <v>52</v>
      </c>
      <c r="L486" s="27">
        <v>16990.11</v>
      </c>
      <c r="M486" s="28">
        <v>1274258.25</v>
      </c>
      <c r="N486" s="13" t="s">
        <v>52</v>
      </c>
      <c r="P486" s="27">
        <v>631.19</v>
      </c>
      <c r="Q486" s="28">
        <v>47339.25</v>
      </c>
      <c r="R486" s="13" t="s">
        <v>52</v>
      </c>
      <c r="S486" s="28">
        <v>47339.25</v>
      </c>
    </row>
    <row r="487" spans="1:19">
      <c r="A487" s="29" t="s">
        <v>922</v>
      </c>
      <c r="B487" s="26" t="s">
        <v>923</v>
      </c>
      <c r="C487" s="26" t="s">
        <v>921</v>
      </c>
      <c r="D487" s="13" t="s">
        <v>52</v>
      </c>
      <c r="E487" s="27">
        <v>24.58</v>
      </c>
      <c r="F487" s="28">
        <v>2630.06</v>
      </c>
      <c r="G487" s="13" t="s">
        <v>52</v>
      </c>
      <c r="H487" s="27">
        <v>1271.67</v>
      </c>
      <c r="J487" s="28">
        <v>94588.69</v>
      </c>
      <c r="K487" s="13" t="s">
        <v>52</v>
      </c>
      <c r="L487" s="27">
        <v>1141.59</v>
      </c>
      <c r="M487" s="28">
        <v>85619.25</v>
      </c>
      <c r="N487" s="13" t="s">
        <v>52</v>
      </c>
      <c r="P487" s="27">
        <v>154.66</v>
      </c>
      <c r="Q487" s="28">
        <v>11599.5</v>
      </c>
      <c r="R487" s="13" t="s">
        <v>52</v>
      </c>
      <c r="S487" s="28">
        <v>11599.5</v>
      </c>
    </row>
    <row r="488" spans="1:19">
      <c r="A488" s="29" t="s">
        <v>924</v>
      </c>
      <c r="B488" s="26" t="s">
        <v>925</v>
      </c>
      <c r="C488" s="26" t="s">
        <v>921</v>
      </c>
      <c r="D488" s="13" t="s">
        <v>52</v>
      </c>
      <c r="E488" s="27">
        <v>279.2</v>
      </c>
      <c r="F488" s="28">
        <v>26501.6</v>
      </c>
      <c r="G488" s="13" t="s">
        <v>52</v>
      </c>
      <c r="H488" s="27">
        <v>600</v>
      </c>
      <c r="J488" s="28">
        <v>39438.4</v>
      </c>
      <c r="K488" s="13" t="s">
        <v>52</v>
      </c>
      <c r="L488" s="27">
        <v>279.2</v>
      </c>
      <c r="M488" s="28">
        <v>20940</v>
      </c>
      <c r="N488" s="13" t="s">
        <v>52</v>
      </c>
      <c r="P488" s="27">
        <v>600</v>
      </c>
      <c r="Q488" s="28">
        <v>45000</v>
      </c>
      <c r="R488" s="13" t="s">
        <v>52</v>
      </c>
      <c r="S488" s="28">
        <v>45000</v>
      </c>
    </row>
    <row r="489" spans="1:19">
      <c r="A489" s="29" t="s">
        <v>926</v>
      </c>
      <c r="B489" s="26" t="s">
        <v>927</v>
      </c>
      <c r="C489" s="26" t="s">
        <v>921</v>
      </c>
      <c r="D489" s="13" t="s">
        <v>52</v>
      </c>
      <c r="E489" s="27">
        <v>402.94</v>
      </c>
      <c r="F489" s="28">
        <v>28205.8</v>
      </c>
      <c r="G489" s="13" t="s">
        <v>52</v>
      </c>
      <c r="H489" s="27">
        <v>1398.54</v>
      </c>
      <c r="J489" s="28">
        <v>106905.2</v>
      </c>
      <c r="K489" s="13" t="s">
        <v>52</v>
      </c>
      <c r="L489" s="27">
        <v>1326.69</v>
      </c>
      <c r="M489" s="28">
        <v>99501.75</v>
      </c>
      <c r="N489" s="13" t="s">
        <v>52</v>
      </c>
      <c r="P489" s="27">
        <v>474.79</v>
      </c>
      <c r="Q489" s="28">
        <v>35609.25</v>
      </c>
      <c r="R489" s="13" t="s">
        <v>52</v>
      </c>
      <c r="S489" s="28">
        <v>35609.25</v>
      </c>
    </row>
    <row r="490" spans="1:19">
      <c r="A490" s="29" t="s">
        <v>928</v>
      </c>
      <c r="B490" s="26" t="s">
        <v>929</v>
      </c>
      <c r="C490" s="26" t="s">
        <v>921</v>
      </c>
      <c r="D490" s="13" t="s">
        <v>52</v>
      </c>
      <c r="E490" s="27">
        <v>554.93</v>
      </c>
      <c r="F490" s="28">
        <v>26141.78</v>
      </c>
      <c r="G490" s="13" t="s">
        <v>52</v>
      </c>
      <c r="H490" s="27">
        <v>5035.61</v>
      </c>
      <c r="J490" s="28">
        <v>239408.9</v>
      </c>
      <c r="K490" s="13" t="s">
        <v>52</v>
      </c>
      <c r="L490" s="27">
        <v>5353.9</v>
      </c>
      <c r="M490" s="28">
        <v>254310.28</v>
      </c>
      <c r="N490" s="13" t="s">
        <v>52</v>
      </c>
      <c r="P490" s="27">
        <v>236.64</v>
      </c>
      <c r="Q490" s="28">
        <v>11240.4</v>
      </c>
      <c r="R490" s="13" t="s">
        <v>52</v>
      </c>
      <c r="S490" s="28">
        <v>11240.4</v>
      </c>
    </row>
    <row r="491" spans="1:19">
      <c r="A491" s="29" t="s">
        <v>930</v>
      </c>
      <c r="B491" s="26" t="s">
        <v>931</v>
      </c>
      <c r="C491" s="26" t="s">
        <v>921</v>
      </c>
      <c r="D491" s="13" t="s">
        <v>52</v>
      </c>
      <c r="E491" s="27">
        <v>261</v>
      </c>
      <c r="F491" s="28">
        <v>12397.5</v>
      </c>
      <c r="G491" s="13" t="s">
        <v>52</v>
      </c>
      <c r="H491" s="27">
        <v>2467.89</v>
      </c>
      <c r="J491" s="28">
        <v>117224.81</v>
      </c>
      <c r="K491" s="13" t="s">
        <v>52</v>
      </c>
      <c r="L491" s="27">
        <v>2728.89</v>
      </c>
      <c r="M491" s="28">
        <v>129622.31</v>
      </c>
      <c r="N491" s="13" t="s">
        <v>52</v>
      </c>
      <c r="P491" s="27">
        <v>0</v>
      </c>
      <c r="Q491" s="28">
        <v>0</v>
      </c>
      <c r="R491" s="13" t="s">
        <v>52</v>
      </c>
      <c r="S491" s="28">
        <v>0</v>
      </c>
    </row>
    <row r="492" spans="1:19">
      <c r="A492" s="29" t="s">
        <v>932</v>
      </c>
      <c r="B492" s="26" t="s">
        <v>933</v>
      </c>
      <c r="C492" s="26" t="s">
        <v>921</v>
      </c>
      <c r="D492" s="13" t="s">
        <v>52</v>
      </c>
      <c r="E492" s="27">
        <v>61.26</v>
      </c>
      <c r="F492" s="28">
        <v>4291.91</v>
      </c>
      <c r="G492" s="13" t="s">
        <v>52</v>
      </c>
      <c r="H492" s="27">
        <v>390</v>
      </c>
      <c r="J492" s="28">
        <v>17142.94</v>
      </c>
      <c r="K492" s="13" t="s">
        <v>52</v>
      </c>
      <c r="L492" s="27">
        <v>432.71</v>
      </c>
      <c r="M492" s="28">
        <v>20553.73</v>
      </c>
      <c r="N492" s="13" t="s">
        <v>52</v>
      </c>
      <c r="P492" s="27">
        <v>18.55</v>
      </c>
      <c r="Q492" s="28">
        <v>881.12</v>
      </c>
      <c r="R492" s="13" t="s">
        <v>52</v>
      </c>
      <c r="S492" s="28">
        <v>881.12</v>
      </c>
    </row>
    <row r="493" spans="1:19">
      <c r="A493" s="29" t="s">
        <v>934</v>
      </c>
      <c r="B493" s="26" t="s">
        <v>935</v>
      </c>
      <c r="C493" s="26" t="s">
        <v>921</v>
      </c>
      <c r="D493" s="13" t="s">
        <v>52</v>
      </c>
      <c r="E493" s="27">
        <v>29.94</v>
      </c>
      <c r="F493" s="28">
        <v>1422.15</v>
      </c>
      <c r="G493" s="13" t="s">
        <v>52</v>
      </c>
      <c r="H493" s="27">
        <v>10438.1</v>
      </c>
      <c r="J493" s="28">
        <v>495809.78</v>
      </c>
      <c r="K493" s="13" t="s">
        <v>52</v>
      </c>
      <c r="L493" s="27">
        <v>9547.04</v>
      </c>
      <c r="M493" s="28">
        <v>453484.44</v>
      </c>
      <c r="N493" s="13" t="s">
        <v>52</v>
      </c>
      <c r="P493" s="27">
        <v>921</v>
      </c>
      <c r="Q493" s="28">
        <v>43747.49</v>
      </c>
      <c r="R493" s="13" t="s">
        <v>52</v>
      </c>
      <c r="S493" s="28">
        <v>43747.49</v>
      </c>
    </row>
    <row r="494" spans="1:19">
      <c r="A494" s="29" t="s">
        <v>936</v>
      </c>
      <c r="B494" s="26" t="s">
        <v>937</v>
      </c>
      <c r="C494" s="26" t="s">
        <v>921</v>
      </c>
      <c r="D494" s="13" t="s">
        <v>52</v>
      </c>
      <c r="E494" s="27">
        <v>517.36</v>
      </c>
      <c r="F494" s="28">
        <v>24574.6</v>
      </c>
      <c r="G494" s="13" t="s">
        <v>52</v>
      </c>
      <c r="H494" s="27">
        <v>1866.22</v>
      </c>
      <c r="J494" s="28">
        <v>88645.48</v>
      </c>
      <c r="K494" s="13" t="s">
        <v>52</v>
      </c>
      <c r="L494" s="27">
        <v>2058.43</v>
      </c>
      <c r="M494" s="28">
        <v>97775.45</v>
      </c>
      <c r="N494" s="13" t="s">
        <v>52</v>
      </c>
      <c r="P494" s="27">
        <v>325.15</v>
      </c>
      <c r="Q494" s="28">
        <v>15444.63</v>
      </c>
      <c r="R494" s="13" t="s">
        <v>52</v>
      </c>
      <c r="S494" s="28">
        <v>15444.63</v>
      </c>
    </row>
    <row r="495" spans="1:19">
      <c r="A495" s="29" t="s">
        <v>938</v>
      </c>
      <c r="B495" s="26" t="s">
        <v>939</v>
      </c>
      <c r="C495" s="26" t="s">
        <v>921</v>
      </c>
      <c r="D495" s="13" t="s">
        <v>52</v>
      </c>
      <c r="E495" s="27">
        <v>468.96</v>
      </c>
      <c r="F495" s="28">
        <v>32993.64</v>
      </c>
      <c r="G495" s="13" t="s">
        <v>52</v>
      </c>
      <c r="H495" s="27">
        <v>12421.8123</v>
      </c>
      <c r="J495" s="28">
        <v>869526.86</v>
      </c>
      <c r="K495" s="13" t="s">
        <v>52</v>
      </c>
      <c r="L495" s="27">
        <v>12400.7723</v>
      </c>
      <c r="M495" s="28">
        <v>868220.5</v>
      </c>
      <c r="N495" s="13" t="s">
        <v>52</v>
      </c>
      <c r="P495" s="27">
        <v>490</v>
      </c>
      <c r="Q495" s="28">
        <v>34300</v>
      </c>
      <c r="R495" s="13" t="s">
        <v>52</v>
      </c>
      <c r="S495" s="28">
        <v>34300</v>
      </c>
    </row>
    <row r="496" spans="1:19">
      <c r="A496" s="29" t="s">
        <v>940</v>
      </c>
      <c r="B496" s="26" t="s">
        <v>941</v>
      </c>
      <c r="C496" s="26" t="s">
        <v>737</v>
      </c>
      <c r="D496" s="13" t="s">
        <v>52</v>
      </c>
      <c r="E496" s="27">
        <v>33.08894</v>
      </c>
      <c r="F496" s="28">
        <v>10970.77</v>
      </c>
      <c r="G496" s="13" t="s">
        <v>52</v>
      </c>
      <c r="H496" s="30" t="s">
        <v>52</v>
      </c>
      <c r="J496" s="30" t="s">
        <v>52</v>
      </c>
      <c r="K496" s="13" t="s">
        <v>52</v>
      </c>
      <c r="L496" s="27">
        <v>0.79995</v>
      </c>
      <c r="M496" s="28">
        <v>226.71</v>
      </c>
      <c r="N496" s="13" t="s">
        <v>52</v>
      </c>
      <c r="P496" s="27">
        <v>32.28899</v>
      </c>
      <c r="Q496" s="28">
        <v>10744.06</v>
      </c>
      <c r="R496" s="13" t="s">
        <v>52</v>
      </c>
      <c r="S496" s="28">
        <v>10744.06</v>
      </c>
    </row>
    <row r="497" spans="1:19">
      <c r="A497" s="29" t="s">
        <v>942</v>
      </c>
      <c r="B497" s="26" t="s">
        <v>943</v>
      </c>
      <c r="C497" s="26" t="s">
        <v>921</v>
      </c>
      <c r="D497" s="13" t="s">
        <v>52</v>
      </c>
      <c r="E497" s="27">
        <v>135</v>
      </c>
      <c r="F497" s="28">
        <v>0</v>
      </c>
      <c r="G497" s="13" t="s">
        <v>52</v>
      </c>
      <c r="H497" s="30" t="s">
        <v>52</v>
      </c>
      <c r="J497" s="30" t="s">
        <v>52</v>
      </c>
      <c r="K497" s="13" t="s">
        <v>52</v>
      </c>
      <c r="L497" s="30" t="s">
        <v>52</v>
      </c>
      <c r="M497" s="30" t="s">
        <v>52</v>
      </c>
      <c r="N497" s="13" t="s">
        <v>52</v>
      </c>
      <c r="P497" s="27">
        <v>135</v>
      </c>
      <c r="Q497" s="28">
        <v>0</v>
      </c>
      <c r="R497" s="13" t="s">
        <v>52</v>
      </c>
      <c r="S497" s="28">
        <v>0</v>
      </c>
    </row>
    <row r="498" spans="1:19">
      <c r="A498" s="29" t="s">
        <v>944</v>
      </c>
      <c r="B498" s="26" t="s">
        <v>945</v>
      </c>
      <c r="C498" s="26" t="s">
        <v>737</v>
      </c>
      <c r="D498" s="13" t="s">
        <v>52</v>
      </c>
      <c r="E498" s="27">
        <v>175.4</v>
      </c>
      <c r="F498" s="28">
        <v>82210.92</v>
      </c>
      <c r="G498" s="13" t="s">
        <v>52</v>
      </c>
      <c r="H498" s="30" t="s">
        <v>52</v>
      </c>
      <c r="J498" s="30" t="s">
        <v>52</v>
      </c>
      <c r="K498" s="13" t="s">
        <v>52</v>
      </c>
      <c r="L498" s="30" t="s">
        <v>52</v>
      </c>
      <c r="M498" s="30" t="s">
        <v>52</v>
      </c>
      <c r="N498" s="13" t="s">
        <v>52</v>
      </c>
      <c r="P498" s="27">
        <v>175.4</v>
      </c>
      <c r="Q498" s="28">
        <v>82210.92</v>
      </c>
      <c r="R498" s="13" t="s">
        <v>52</v>
      </c>
      <c r="S498" s="28">
        <v>82210.92</v>
      </c>
    </row>
    <row r="499" spans="1:19">
      <c r="A499" s="29" t="s">
        <v>946</v>
      </c>
      <c r="B499" s="26" t="s">
        <v>947</v>
      </c>
      <c r="C499" s="26" t="s">
        <v>921</v>
      </c>
      <c r="D499" s="13" t="s">
        <v>52</v>
      </c>
      <c r="E499" s="27">
        <v>307</v>
      </c>
      <c r="F499" s="28">
        <v>30700</v>
      </c>
      <c r="G499" s="13" t="s">
        <v>52</v>
      </c>
      <c r="H499" s="27">
        <v>10204.4</v>
      </c>
      <c r="J499" s="28">
        <v>757655</v>
      </c>
      <c r="K499" s="13" t="s">
        <v>52</v>
      </c>
      <c r="L499" s="27">
        <v>10511.4</v>
      </c>
      <c r="M499" s="28">
        <v>788355</v>
      </c>
      <c r="N499" s="13" t="s">
        <v>52</v>
      </c>
      <c r="P499" s="27">
        <v>0</v>
      </c>
      <c r="Q499" s="28">
        <v>0</v>
      </c>
      <c r="R499" s="13" t="s">
        <v>52</v>
      </c>
      <c r="S499" s="28">
        <v>0</v>
      </c>
    </row>
    <row r="500" spans="1:19">
      <c r="A500" s="29" t="s">
        <v>948</v>
      </c>
      <c r="B500" s="26" t="s">
        <v>949</v>
      </c>
      <c r="C500" s="26" t="s">
        <v>737</v>
      </c>
      <c r="D500" s="13" t="s">
        <v>52</v>
      </c>
      <c r="E500" s="27">
        <v>192.974</v>
      </c>
      <c r="F500" s="28">
        <v>484995.77</v>
      </c>
      <c r="G500" s="13" t="s">
        <v>52</v>
      </c>
      <c r="H500" s="27">
        <v>6.336</v>
      </c>
      <c r="J500" s="28">
        <v>15924.08</v>
      </c>
      <c r="K500" s="13" t="s">
        <v>52</v>
      </c>
      <c r="L500" s="30" t="s">
        <v>52</v>
      </c>
      <c r="M500" s="30" t="s">
        <v>52</v>
      </c>
      <c r="N500" s="13" t="s">
        <v>52</v>
      </c>
      <c r="P500" s="27">
        <v>199.31</v>
      </c>
      <c r="Q500" s="28">
        <v>500919.85</v>
      </c>
      <c r="R500" s="13" t="s">
        <v>52</v>
      </c>
      <c r="S500" s="28">
        <v>500919.85</v>
      </c>
    </row>
    <row r="501" spans="1:19">
      <c r="A501" s="29" t="s">
        <v>950</v>
      </c>
      <c r="B501" s="26" t="s">
        <v>951</v>
      </c>
      <c r="C501" s="26" t="s">
        <v>921</v>
      </c>
      <c r="D501" s="13" t="s">
        <v>52</v>
      </c>
      <c r="E501" s="27">
        <v>169.32</v>
      </c>
      <c r="F501" s="28">
        <v>18117.24</v>
      </c>
      <c r="G501" s="13" t="s">
        <v>52</v>
      </c>
      <c r="H501" s="30" t="s">
        <v>52</v>
      </c>
      <c r="J501" s="28">
        <v>-5418.24</v>
      </c>
      <c r="K501" s="13" t="s">
        <v>52</v>
      </c>
      <c r="L501" s="30" t="s">
        <v>52</v>
      </c>
      <c r="M501" s="30" t="s">
        <v>52</v>
      </c>
      <c r="N501" s="13" t="s">
        <v>52</v>
      </c>
      <c r="P501" s="27">
        <v>169.32</v>
      </c>
      <c r="Q501" s="28">
        <v>12699</v>
      </c>
      <c r="R501" s="13" t="s">
        <v>52</v>
      </c>
      <c r="S501" s="28">
        <v>12699</v>
      </c>
    </row>
    <row r="502" spans="1:19">
      <c r="A502" s="29" t="s">
        <v>952</v>
      </c>
      <c r="B502" s="26" t="s">
        <v>953</v>
      </c>
      <c r="C502" s="26" t="s">
        <v>921</v>
      </c>
      <c r="D502" s="13" t="s">
        <v>52</v>
      </c>
      <c r="E502" s="27">
        <v>0</v>
      </c>
      <c r="F502" s="28">
        <v>0</v>
      </c>
      <c r="G502" s="13" t="s">
        <v>52</v>
      </c>
      <c r="H502" s="27">
        <v>414.95</v>
      </c>
      <c r="J502" s="28">
        <v>19710.13</v>
      </c>
      <c r="K502" s="13" t="s">
        <v>52</v>
      </c>
      <c r="L502" s="27">
        <v>414.95</v>
      </c>
      <c r="M502" s="28">
        <v>19710.13</v>
      </c>
      <c r="N502" s="13" t="s">
        <v>52</v>
      </c>
      <c r="P502" s="27">
        <v>0</v>
      </c>
      <c r="Q502" s="28">
        <v>0</v>
      </c>
      <c r="R502" s="13" t="s">
        <v>52</v>
      </c>
      <c r="S502" s="28">
        <v>0</v>
      </c>
    </row>
    <row r="503" spans="1:19">
      <c r="A503" s="29" t="s">
        <v>954</v>
      </c>
      <c r="B503" s="26" t="s">
        <v>955</v>
      </c>
      <c r="C503" s="26" t="s">
        <v>921</v>
      </c>
      <c r="D503" s="13" t="s">
        <v>52</v>
      </c>
      <c r="E503" s="27">
        <v>304.9</v>
      </c>
      <c r="F503" s="28">
        <v>13729.65</v>
      </c>
      <c r="G503" s="13" t="s">
        <v>52</v>
      </c>
      <c r="H503" s="27">
        <v>301.74</v>
      </c>
      <c r="J503" s="28">
        <v>13587.35</v>
      </c>
      <c r="K503" s="13" t="s">
        <v>52</v>
      </c>
      <c r="L503" s="27">
        <v>489.57</v>
      </c>
      <c r="M503" s="28">
        <v>22045.34</v>
      </c>
      <c r="N503" s="13" t="s">
        <v>52</v>
      </c>
      <c r="P503" s="27">
        <v>117.07</v>
      </c>
      <c r="Q503" s="28">
        <v>5271.66</v>
      </c>
      <c r="R503" s="13" t="s">
        <v>52</v>
      </c>
      <c r="S503" s="28">
        <v>5271.66</v>
      </c>
    </row>
    <row r="504" spans="1:19">
      <c r="A504" s="29" t="s">
        <v>956</v>
      </c>
      <c r="B504" s="26" t="s">
        <v>957</v>
      </c>
      <c r="C504" s="26" t="s">
        <v>921</v>
      </c>
      <c r="D504" s="13" t="s">
        <v>52</v>
      </c>
      <c r="E504" s="27">
        <v>0</v>
      </c>
      <c r="F504" s="28">
        <v>0</v>
      </c>
      <c r="G504" s="13" t="s">
        <v>52</v>
      </c>
      <c r="H504" s="27">
        <v>3510.89</v>
      </c>
      <c r="J504" s="28">
        <v>166767.3</v>
      </c>
      <c r="K504" s="13" t="s">
        <v>52</v>
      </c>
      <c r="L504" s="27">
        <v>3510.89</v>
      </c>
      <c r="M504" s="28">
        <v>166767.3</v>
      </c>
      <c r="N504" s="13" t="s">
        <v>52</v>
      </c>
      <c r="P504" s="27">
        <v>0</v>
      </c>
      <c r="Q504" s="28">
        <v>0</v>
      </c>
      <c r="R504" s="13" t="s">
        <v>52</v>
      </c>
      <c r="S504" s="28">
        <v>0</v>
      </c>
    </row>
    <row r="505" spans="1:19">
      <c r="A505" s="29" t="s">
        <v>958</v>
      </c>
      <c r="B505" s="26" t="s">
        <v>959</v>
      </c>
      <c r="C505" s="26" t="s">
        <v>921</v>
      </c>
      <c r="D505" s="13" t="s">
        <v>52</v>
      </c>
      <c r="E505" s="27">
        <v>1063.48</v>
      </c>
      <c r="F505" s="28">
        <v>73481.64</v>
      </c>
      <c r="G505" s="13" t="s">
        <v>52</v>
      </c>
      <c r="H505" s="27">
        <v>3161.3</v>
      </c>
      <c r="J505" s="28">
        <v>243376.86</v>
      </c>
      <c r="K505" s="13" t="s">
        <v>52</v>
      </c>
      <c r="L505" s="27">
        <v>3872.83</v>
      </c>
      <c r="M505" s="28">
        <v>290462.25</v>
      </c>
      <c r="N505" s="13" t="s">
        <v>52</v>
      </c>
      <c r="P505" s="27">
        <v>351.95</v>
      </c>
      <c r="Q505" s="28">
        <v>26396.25</v>
      </c>
      <c r="R505" s="13" t="s">
        <v>52</v>
      </c>
      <c r="S505" s="28">
        <v>26396.25</v>
      </c>
    </row>
    <row r="506" spans="1:19">
      <c r="A506" s="29" t="s">
        <v>960</v>
      </c>
      <c r="B506" s="26" t="s">
        <v>961</v>
      </c>
      <c r="C506" s="26" t="s">
        <v>921</v>
      </c>
      <c r="D506" s="13" t="s">
        <v>52</v>
      </c>
      <c r="E506" s="27">
        <v>1525.44</v>
      </c>
      <c r="F506" s="28">
        <v>119343.67</v>
      </c>
      <c r="G506" s="13" t="s">
        <v>52</v>
      </c>
      <c r="H506" s="27">
        <v>7002.47</v>
      </c>
      <c r="J506" s="28">
        <v>285732.04</v>
      </c>
      <c r="K506" s="13" t="s">
        <v>52</v>
      </c>
      <c r="L506" s="27">
        <v>8234.31</v>
      </c>
      <c r="M506" s="28">
        <v>391129.72</v>
      </c>
      <c r="N506" s="13" t="s">
        <v>52</v>
      </c>
      <c r="P506" s="27">
        <v>293.6</v>
      </c>
      <c r="Q506" s="28">
        <v>13945.99</v>
      </c>
      <c r="R506" s="13" t="s">
        <v>52</v>
      </c>
      <c r="S506" s="28">
        <v>13945.99</v>
      </c>
    </row>
    <row r="507" spans="1:19">
      <c r="A507" s="29" t="s">
        <v>962</v>
      </c>
      <c r="B507" s="26" t="s">
        <v>963</v>
      </c>
      <c r="C507" s="26" t="s">
        <v>921</v>
      </c>
      <c r="D507" s="13" t="s">
        <v>52</v>
      </c>
      <c r="E507" s="27">
        <v>1930.4</v>
      </c>
      <c r="F507" s="28">
        <v>94329.66</v>
      </c>
      <c r="G507" s="13" t="s">
        <v>52</v>
      </c>
      <c r="H507" s="27">
        <v>54.21</v>
      </c>
      <c r="J507" s="28">
        <v>2648.99</v>
      </c>
      <c r="K507" s="13" t="s">
        <v>52</v>
      </c>
      <c r="L507" s="27">
        <v>1984.61</v>
      </c>
      <c r="M507" s="28">
        <v>96978.65</v>
      </c>
      <c r="N507" s="13" t="s">
        <v>52</v>
      </c>
      <c r="P507" s="27">
        <v>0</v>
      </c>
      <c r="Q507" s="28">
        <v>0</v>
      </c>
      <c r="R507" s="13" t="s">
        <v>52</v>
      </c>
      <c r="S507" s="28">
        <v>0</v>
      </c>
    </row>
    <row r="508" spans="1:19">
      <c r="A508" s="29" t="s">
        <v>74</v>
      </c>
      <c r="B508" s="26" t="s">
        <v>964</v>
      </c>
      <c r="C508" s="26" t="s">
        <v>921</v>
      </c>
      <c r="D508" s="13" t="s">
        <v>52</v>
      </c>
      <c r="E508" s="27">
        <v>9.97</v>
      </c>
      <c r="F508" s="28">
        <v>487.19</v>
      </c>
      <c r="G508" s="13" t="s">
        <v>52</v>
      </c>
      <c r="H508" s="27">
        <v>1387.26</v>
      </c>
      <c r="J508" s="28">
        <v>65881.27</v>
      </c>
      <c r="K508" s="13" t="s">
        <v>52</v>
      </c>
      <c r="L508" s="27">
        <v>1397.23</v>
      </c>
      <c r="M508" s="28">
        <v>66368.46</v>
      </c>
      <c r="N508" s="13" t="s">
        <v>52</v>
      </c>
      <c r="P508" s="27">
        <v>0</v>
      </c>
      <c r="Q508" s="28">
        <v>0</v>
      </c>
      <c r="R508" s="13" t="s">
        <v>52</v>
      </c>
      <c r="S508" s="28">
        <v>0</v>
      </c>
    </row>
    <row r="509" spans="1:19">
      <c r="A509" s="29" t="s">
        <v>965</v>
      </c>
      <c r="B509" s="26" t="s">
        <v>966</v>
      </c>
      <c r="C509" s="26" t="s">
        <v>921</v>
      </c>
      <c r="D509" s="13" t="s">
        <v>52</v>
      </c>
      <c r="E509" s="27">
        <v>1888.24</v>
      </c>
      <c r="F509" s="28">
        <v>202905.07</v>
      </c>
      <c r="G509" s="13" t="s">
        <v>52</v>
      </c>
      <c r="H509" s="27">
        <v>2470.65</v>
      </c>
      <c r="J509" s="28">
        <v>124011.68</v>
      </c>
      <c r="K509" s="13" t="s">
        <v>52</v>
      </c>
      <c r="L509" s="27">
        <v>3222.3</v>
      </c>
      <c r="M509" s="28">
        <v>241672.5</v>
      </c>
      <c r="N509" s="13" t="s">
        <v>52</v>
      </c>
      <c r="P509" s="27">
        <v>1136.59</v>
      </c>
      <c r="Q509" s="28">
        <v>85244.25</v>
      </c>
      <c r="R509" s="13" t="s">
        <v>52</v>
      </c>
      <c r="S509" s="28">
        <v>85244.25</v>
      </c>
    </row>
    <row r="510" spans="1:19">
      <c r="A510" s="29" t="s">
        <v>967</v>
      </c>
      <c r="B510" s="26" t="s">
        <v>968</v>
      </c>
      <c r="C510" s="26" t="s">
        <v>921</v>
      </c>
      <c r="D510" s="13" t="s">
        <v>52</v>
      </c>
      <c r="E510" s="27">
        <v>1659.07</v>
      </c>
      <c r="F510" s="28">
        <v>0</v>
      </c>
      <c r="G510" s="13" t="s">
        <v>52</v>
      </c>
      <c r="H510" s="30" t="s">
        <v>52</v>
      </c>
      <c r="J510" s="30" t="s">
        <v>52</v>
      </c>
      <c r="K510" s="13" t="s">
        <v>52</v>
      </c>
      <c r="L510" s="27">
        <v>90.77</v>
      </c>
      <c r="M510" s="30" t="s">
        <v>52</v>
      </c>
      <c r="N510" s="13" t="s">
        <v>52</v>
      </c>
      <c r="P510" s="27">
        <v>1568.3</v>
      </c>
      <c r="Q510" s="28">
        <v>0</v>
      </c>
      <c r="R510" s="13" t="s">
        <v>52</v>
      </c>
      <c r="S510" s="28">
        <v>0</v>
      </c>
    </row>
    <row r="511" spans="1:19">
      <c r="A511" s="29" t="s">
        <v>969</v>
      </c>
      <c r="B511" s="26" t="s">
        <v>970</v>
      </c>
      <c r="C511" s="26" t="s">
        <v>737</v>
      </c>
      <c r="D511" s="13" t="s">
        <v>52</v>
      </c>
      <c r="E511" s="27">
        <v>30.43</v>
      </c>
      <c r="F511" s="28">
        <v>32180.34</v>
      </c>
      <c r="G511" s="13" t="s">
        <v>52</v>
      </c>
      <c r="H511" s="27">
        <v>24062.37418</v>
      </c>
      <c r="J511" s="28">
        <v>27264066.88</v>
      </c>
      <c r="K511" s="13" t="s">
        <v>52</v>
      </c>
      <c r="L511" s="27">
        <v>24038.50418</v>
      </c>
      <c r="M511" s="28">
        <v>27236998.08</v>
      </c>
      <c r="N511" s="13" t="s">
        <v>52</v>
      </c>
      <c r="P511" s="27">
        <v>54.3</v>
      </c>
      <c r="Q511" s="28">
        <v>59249.14</v>
      </c>
      <c r="R511" s="13" t="s">
        <v>52</v>
      </c>
      <c r="S511" s="28">
        <v>59249.14</v>
      </c>
    </row>
    <row r="512" spans="1:19">
      <c r="A512" s="29" t="s">
        <v>971</v>
      </c>
      <c r="B512" s="26" t="s">
        <v>972</v>
      </c>
      <c r="C512" s="26" t="s">
        <v>737</v>
      </c>
      <c r="D512" s="13" t="s">
        <v>52</v>
      </c>
      <c r="E512" s="27">
        <v>0</v>
      </c>
      <c r="F512" s="28">
        <v>0</v>
      </c>
      <c r="G512" s="13" t="s">
        <v>52</v>
      </c>
      <c r="H512" s="27">
        <v>42.3</v>
      </c>
      <c r="J512" s="30" t="s">
        <v>52</v>
      </c>
      <c r="K512" s="13" t="s">
        <v>52</v>
      </c>
      <c r="L512" s="27">
        <v>42.3</v>
      </c>
      <c r="M512" s="30" t="s">
        <v>52</v>
      </c>
      <c r="N512" s="13" t="s">
        <v>52</v>
      </c>
      <c r="P512" s="27">
        <v>0</v>
      </c>
      <c r="Q512" s="28">
        <v>0</v>
      </c>
      <c r="R512" s="13" t="s">
        <v>52</v>
      </c>
      <c r="S512" s="28">
        <v>0</v>
      </c>
    </row>
    <row r="513" spans="1:19">
      <c r="A513" s="29" t="s">
        <v>973</v>
      </c>
      <c r="B513" s="26" t="s">
        <v>974</v>
      </c>
      <c r="C513" s="26" t="s">
        <v>921</v>
      </c>
      <c r="D513" s="13" t="s">
        <v>52</v>
      </c>
      <c r="E513" s="27">
        <v>0</v>
      </c>
      <c r="F513" s="28">
        <v>0</v>
      </c>
      <c r="G513" s="13" t="s">
        <v>52</v>
      </c>
      <c r="H513" s="27">
        <v>2040.23</v>
      </c>
      <c r="J513" s="28">
        <v>145702.25</v>
      </c>
      <c r="K513" s="13" t="s">
        <v>52</v>
      </c>
      <c r="L513" s="27">
        <v>1576.23</v>
      </c>
      <c r="M513" s="28">
        <v>110902.25</v>
      </c>
      <c r="N513" s="13" t="s">
        <v>52</v>
      </c>
      <c r="P513" s="27">
        <v>464</v>
      </c>
      <c r="Q513" s="28">
        <v>34800</v>
      </c>
      <c r="R513" s="13" t="s">
        <v>52</v>
      </c>
      <c r="S513" s="28">
        <v>34800</v>
      </c>
    </row>
    <row r="514" ht="7" customHeight="1" spans="1:19">
      <c r="A514" s="33" t="s">
        <v>52</v>
      </c>
      <c r="B514" s="20" t="s">
        <v>52</v>
      </c>
      <c r="C514" s="20" t="s">
        <v>52</v>
      </c>
      <c r="D514" s="20" t="s">
        <v>52</v>
      </c>
      <c r="E514" s="20" t="s">
        <v>52</v>
      </c>
      <c r="F514" s="20" t="s">
        <v>52</v>
      </c>
      <c r="G514" s="20" t="s">
        <v>52</v>
      </c>
      <c r="H514" s="20" t="s">
        <v>52</v>
      </c>
      <c r="I514" s="20" t="s">
        <v>52</v>
      </c>
      <c r="J514" s="20" t="s">
        <v>52</v>
      </c>
      <c r="K514" s="20" t="s">
        <v>52</v>
      </c>
      <c r="L514" s="20" t="s">
        <v>52</v>
      </c>
      <c r="M514" s="20" t="s">
        <v>52</v>
      </c>
      <c r="N514" s="20" t="s">
        <v>52</v>
      </c>
      <c r="O514" s="20" t="s">
        <v>52</v>
      </c>
      <c r="P514" s="20" t="s">
        <v>52</v>
      </c>
      <c r="Q514" s="20" t="s">
        <v>52</v>
      </c>
      <c r="R514" s="20" t="s">
        <v>52</v>
      </c>
      <c r="S514" s="20" t="s">
        <v>52</v>
      </c>
    </row>
    <row r="515" ht="7" customHeight="1" spans="1:1">
      <c r="A515" s="34" t="s">
        <v>52</v>
      </c>
    </row>
    <row r="516" spans="1:19">
      <c r="A516" s="13" t="s">
        <v>914</v>
      </c>
      <c r="C516" s="13" t="s">
        <v>52</v>
      </c>
      <c r="D516" s="13" t="s">
        <v>52</v>
      </c>
      <c r="E516" s="13" t="s">
        <v>52</v>
      </c>
      <c r="F516" s="35">
        <v>23893492.13</v>
      </c>
      <c r="G516" s="13" t="s">
        <v>52</v>
      </c>
      <c r="H516" s="13" t="s">
        <v>52</v>
      </c>
      <c r="J516" s="35">
        <v>133076805.19</v>
      </c>
      <c r="K516" s="13" t="s">
        <v>52</v>
      </c>
      <c r="L516" s="13" t="s">
        <v>52</v>
      </c>
      <c r="M516" s="35">
        <v>150808569.2</v>
      </c>
      <c r="N516" s="13" t="s">
        <v>52</v>
      </c>
      <c r="P516" s="13" t="s">
        <v>52</v>
      </c>
      <c r="Q516" s="35">
        <v>6161728.12</v>
      </c>
      <c r="R516" s="13" t="s">
        <v>52</v>
      </c>
      <c r="S516" s="35">
        <v>6161728.12</v>
      </c>
    </row>
    <row r="517" ht="7" customHeight="1" spans="1:19">
      <c r="A517" s="33" t="s">
        <v>52</v>
      </c>
      <c r="B517" s="20" t="s">
        <v>52</v>
      </c>
      <c r="C517" s="20" t="s">
        <v>52</v>
      </c>
      <c r="D517" s="20" t="s">
        <v>52</v>
      </c>
      <c r="E517" s="20" t="s">
        <v>52</v>
      </c>
      <c r="F517" s="20" t="s">
        <v>52</v>
      </c>
      <c r="G517" s="20" t="s">
        <v>52</v>
      </c>
      <c r="H517" s="20" t="s">
        <v>52</v>
      </c>
      <c r="I517" s="20" t="s">
        <v>52</v>
      </c>
      <c r="J517" s="20" t="s">
        <v>52</v>
      </c>
      <c r="K517" s="20" t="s">
        <v>52</v>
      </c>
      <c r="L517" s="20" t="s">
        <v>52</v>
      </c>
      <c r="M517" s="20" t="s">
        <v>52</v>
      </c>
      <c r="N517" s="20" t="s">
        <v>52</v>
      </c>
      <c r="O517" s="20" t="s">
        <v>52</v>
      </c>
      <c r="P517" s="20" t="s">
        <v>52</v>
      </c>
      <c r="Q517" s="20" t="s">
        <v>52</v>
      </c>
      <c r="R517" s="20" t="s">
        <v>52</v>
      </c>
      <c r="S517" s="20" t="s">
        <v>52</v>
      </c>
    </row>
    <row r="518" ht="7" customHeight="1" spans="1:1">
      <c r="A518" s="34" t="s">
        <v>52</v>
      </c>
    </row>
    <row r="519" ht="14" customHeight="1" spans="1:1">
      <c r="A519" s="34" t="s">
        <v>52</v>
      </c>
    </row>
    <row r="520" spans="1:19">
      <c r="A520" s="22" t="s">
        <v>975</v>
      </c>
      <c r="C520" s="13" t="s">
        <v>52</v>
      </c>
      <c r="D520" s="13" t="s">
        <v>52</v>
      </c>
      <c r="E520" s="23" t="s">
        <v>52</v>
      </c>
      <c r="F520" s="23" t="s">
        <v>52</v>
      </c>
      <c r="G520" s="13" t="s">
        <v>52</v>
      </c>
      <c r="H520" s="23" t="s">
        <v>52</v>
      </c>
      <c r="J520" s="23" t="s">
        <v>52</v>
      </c>
      <c r="K520" s="13" t="s">
        <v>52</v>
      </c>
      <c r="L520" s="23" t="s">
        <v>52</v>
      </c>
      <c r="M520" s="23" t="s">
        <v>52</v>
      </c>
      <c r="N520" s="13" t="s">
        <v>52</v>
      </c>
      <c r="P520" s="23" t="s">
        <v>52</v>
      </c>
      <c r="Q520" s="23" t="s">
        <v>52</v>
      </c>
      <c r="R520" s="13" t="s">
        <v>52</v>
      </c>
      <c r="S520" s="23" t="s">
        <v>52</v>
      </c>
    </row>
    <row r="521" ht="7" customHeight="1" spans="1:1">
      <c r="A521" s="24" t="s">
        <v>52</v>
      </c>
    </row>
    <row r="522" spans="1:19">
      <c r="A522" s="29" t="s">
        <v>976</v>
      </c>
      <c r="B522" s="26" t="s">
        <v>977</v>
      </c>
      <c r="C522" s="26" t="s">
        <v>921</v>
      </c>
      <c r="D522" s="13" t="s">
        <v>52</v>
      </c>
      <c r="E522" s="27">
        <v>0</v>
      </c>
      <c r="F522" s="28">
        <v>0</v>
      </c>
      <c r="G522" s="13" t="s">
        <v>52</v>
      </c>
      <c r="H522" s="27">
        <v>68733.53</v>
      </c>
      <c r="J522" s="28">
        <v>7295337.63</v>
      </c>
      <c r="K522" s="13" t="s">
        <v>52</v>
      </c>
      <c r="L522" s="27">
        <v>68733.53</v>
      </c>
      <c r="M522" s="28">
        <v>7295337.63</v>
      </c>
      <c r="N522" s="13" t="s">
        <v>52</v>
      </c>
      <c r="P522" s="27">
        <v>0</v>
      </c>
      <c r="Q522" s="28">
        <v>0</v>
      </c>
      <c r="R522" s="13" t="s">
        <v>52</v>
      </c>
      <c r="S522" s="28">
        <v>0</v>
      </c>
    </row>
    <row r="523" spans="1:19">
      <c r="A523" s="29" t="s">
        <v>978</v>
      </c>
      <c r="B523" s="26" t="s">
        <v>979</v>
      </c>
      <c r="C523" s="26" t="s">
        <v>921</v>
      </c>
      <c r="D523" s="13" t="s">
        <v>52</v>
      </c>
      <c r="E523" s="27">
        <v>0</v>
      </c>
      <c r="F523" s="28">
        <v>0</v>
      </c>
      <c r="G523" s="13" t="s">
        <v>52</v>
      </c>
      <c r="H523" s="27">
        <v>14931.98</v>
      </c>
      <c r="J523" s="28">
        <v>1603702.44</v>
      </c>
      <c r="K523" s="13" t="s">
        <v>52</v>
      </c>
      <c r="L523" s="27">
        <v>14931.98</v>
      </c>
      <c r="M523" s="28">
        <v>1603702.44</v>
      </c>
      <c r="N523" s="13" t="s">
        <v>52</v>
      </c>
      <c r="P523" s="27">
        <v>0</v>
      </c>
      <c r="Q523" s="28">
        <v>0</v>
      </c>
      <c r="R523" s="13" t="s">
        <v>52</v>
      </c>
      <c r="S523" s="28">
        <v>0</v>
      </c>
    </row>
    <row r="524" spans="1:19">
      <c r="A524" s="29" t="s">
        <v>980</v>
      </c>
      <c r="B524" s="26" t="s">
        <v>981</v>
      </c>
      <c r="C524" s="26" t="s">
        <v>921</v>
      </c>
      <c r="D524" s="13" t="s">
        <v>52</v>
      </c>
      <c r="E524" s="27">
        <v>0</v>
      </c>
      <c r="F524" s="28">
        <v>0</v>
      </c>
      <c r="G524" s="13" t="s">
        <v>52</v>
      </c>
      <c r="H524" s="27">
        <v>14107.51</v>
      </c>
      <c r="J524" s="28">
        <v>1508115.82</v>
      </c>
      <c r="K524" s="13" t="s">
        <v>52</v>
      </c>
      <c r="L524" s="27">
        <v>14107.51</v>
      </c>
      <c r="M524" s="28">
        <v>1508115.82</v>
      </c>
      <c r="N524" s="13" t="s">
        <v>52</v>
      </c>
      <c r="P524" s="27">
        <v>0</v>
      </c>
      <c r="Q524" s="28">
        <v>0</v>
      </c>
      <c r="R524" s="13" t="s">
        <v>52</v>
      </c>
      <c r="S524" s="28">
        <v>0</v>
      </c>
    </row>
    <row r="525" spans="1:19">
      <c r="A525" s="29" t="s">
        <v>982</v>
      </c>
      <c r="B525" s="26" t="s">
        <v>983</v>
      </c>
      <c r="C525" s="26" t="s">
        <v>921</v>
      </c>
      <c r="D525" s="13" t="s">
        <v>52</v>
      </c>
      <c r="E525" s="27">
        <v>0</v>
      </c>
      <c r="F525" s="28">
        <v>0</v>
      </c>
      <c r="G525" s="13" t="s">
        <v>52</v>
      </c>
      <c r="H525" s="27">
        <v>697.51</v>
      </c>
      <c r="J525" s="28">
        <v>86123.79</v>
      </c>
      <c r="K525" s="13" t="s">
        <v>52</v>
      </c>
      <c r="L525" s="27">
        <v>697.51</v>
      </c>
      <c r="M525" s="28">
        <v>86123.79</v>
      </c>
      <c r="N525" s="13" t="s">
        <v>52</v>
      </c>
      <c r="P525" s="27">
        <v>0</v>
      </c>
      <c r="Q525" s="28">
        <v>0</v>
      </c>
      <c r="R525" s="13" t="s">
        <v>52</v>
      </c>
      <c r="S525" s="28">
        <v>0</v>
      </c>
    </row>
    <row r="526" spans="1:19">
      <c r="A526" s="29" t="s">
        <v>984</v>
      </c>
      <c r="B526" s="26" t="s">
        <v>985</v>
      </c>
      <c r="C526" s="26" t="s">
        <v>921</v>
      </c>
      <c r="D526" s="13" t="s">
        <v>52</v>
      </c>
      <c r="E526" s="27">
        <v>0</v>
      </c>
      <c r="F526" s="28">
        <v>0</v>
      </c>
      <c r="G526" s="13" t="s">
        <v>52</v>
      </c>
      <c r="H526" s="27">
        <v>2485.72</v>
      </c>
      <c r="J526" s="28">
        <v>263449.71</v>
      </c>
      <c r="K526" s="13" t="s">
        <v>52</v>
      </c>
      <c r="L526" s="27">
        <v>2485.72</v>
      </c>
      <c r="M526" s="28">
        <v>263449.71</v>
      </c>
      <c r="N526" s="13" t="s">
        <v>52</v>
      </c>
      <c r="P526" s="27">
        <v>0</v>
      </c>
      <c r="Q526" s="28">
        <v>0</v>
      </c>
      <c r="R526" s="13" t="s">
        <v>52</v>
      </c>
      <c r="S526" s="28">
        <v>0</v>
      </c>
    </row>
    <row r="527" spans="1:19">
      <c r="A527" s="29" t="s">
        <v>986</v>
      </c>
      <c r="B527" s="26" t="s">
        <v>987</v>
      </c>
      <c r="C527" s="26" t="s">
        <v>921</v>
      </c>
      <c r="D527" s="13" t="s">
        <v>52</v>
      </c>
      <c r="E527" s="27">
        <v>0</v>
      </c>
      <c r="F527" s="28">
        <v>0</v>
      </c>
      <c r="G527" s="13" t="s">
        <v>52</v>
      </c>
      <c r="H527" s="27">
        <v>21107.18</v>
      </c>
      <c r="J527" s="28">
        <v>2315219.62</v>
      </c>
      <c r="K527" s="13" t="s">
        <v>52</v>
      </c>
      <c r="L527" s="27">
        <v>21107.18</v>
      </c>
      <c r="M527" s="28">
        <v>2315219.62</v>
      </c>
      <c r="N527" s="13" t="s">
        <v>52</v>
      </c>
      <c r="P527" s="27">
        <v>0</v>
      </c>
      <c r="Q527" s="28">
        <v>0</v>
      </c>
      <c r="R527" s="13" t="s">
        <v>52</v>
      </c>
      <c r="S527" s="28">
        <v>0</v>
      </c>
    </row>
    <row r="528" ht="23" spans="1:19">
      <c r="A528" s="29" t="s">
        <v>988</v>
      </c>
      <c r="B528" s="26" t="s">
        <v>989</v>
      </c>
      <c r="C528" s="26" t="s">
        <v>921</v>
      </c>
      <c r="D528" s="13" t="s">
        <v>52</v>
      </c>
      <c r="E528" s="27">
        <v>0</v>
      </c>
      <c r="F528" s="28">
        <v>0</v>
      </c>
      <c r="G528" s="13" t="s">
        <v>52</v>
      </c>
      <c r="H528" s="27">
        <v>12706.02</v>
      </c>
      <c r="J528" s="28">
        <v>1369514.9</v>
      </c>
      <c r="K528" s="13" t="s">
        <v>52</v>
      </c>
      <c r="L528" s="27">
        <v>12706.02</v>
      </c>
      <c r="M528" s="28">
        <v>1369514.9</v>
      </c>
      <c r="N528" s="13" t="s">
        <v>52</v>
      </c>
      <c r="P528" s="27">
        <v>0</v>
      </c>
      <c r="Q528" s="28">
        <v>0</v>
      </c>
      <c r="R528" s="13" t="s">
        <v>52</v>
      </c>
      <c r="S528" s="28">
        <v>0</v>
      </c>
    </row>
    <row r="529" spans="1:19">
      <c r="A529" s="29" t="s">
        <v>990</v>
      </c>
      <c r="B529" s="26" t="s">
        <v>991</v>
      </c>
      <c r="C529" s="26" t="s">
        <v>921</v>
      </c>
      <c r="D529" s="13" t="s">
        <v>52</v>
      </c>
      <c r="E529" s="27">
        <v>0</v>
      </c>
      <c r="F529" s="28">
        <v>0</v>
      </c>
      <c r="G529" s="13" t="s">
        <v>52</v>
      </c>
      <c r="H529" s="27">
        <v>8586.2</v>
      </c>
      <c r="J529" s="28">
        <v>912169.33</v>
      </c>
      <c r="K529" s="13" t="s">
        <v>52</v>
      </c>
      <c r="L529" s="27">
        <v>8586.2</v>
      </c>
      <c r="M529" s="28">
        <v>912169.33</v>
      </c>
      <c r="N529" s="13" t="s">
        <v>52</v>
      </c>
      <c r="P529" s="27">
        <v>0</v>
      </c>
      <c r="Q529" s="28">
        <v>0</v>
      </c>
      <c r="R529" s="13" t="s">
        <v>52</v>
      </c>
      <c r="S529" s="28">
        <v>0</v>
      </c>
    </row>
    <row r="530" spans="1:19">
      <c r="A530" s="29" t="s">
        <v>992</v>
      </c>
      <c r="B530" s="26" t="s">
        <v>993</v>
      </c>
      <c r="C530" s="26" t="s">
        <v>921</v>
      </c>
      <c r="D530" s="13" t="s">
        <v>52</v>
      </c>
      <c r="E530" s="27">
        <v>0</v>
      </c>
      <c r="F530" s="28">
        <v>0</v>
      </c>
      <c r="G530" s="13" t="s">
        <v>52</v>
      </c>
      <c r="H530" s="27">
        <v>14509.38</v>
      </c>
      <c r="J530" s="28">
        <v>1506548.39</v>
      </c>
      <c r="K530" s="13" t="s">
        <v>52</v>
      </c>
      <c r="L530" s="27">
        <v>14509.38</v>
      </c>
      <c r="M530" s="28">
        <v>1506548.39</v>
      </c>
      <c r="N530" s="13" t="s">
        <v>52</v>
      </c>
      <c r="P530" s="27">
        <v>0</v>
      </c>
      <c r="Q530" s="28">
        <v>0</v>
      </c>
      <c r="R530" s="13" t="s">
        <v>52</v>
      </c>
      <c r="S530" s="28">
        <v>0</v>
      </c>
    </row>
    <row r="531" spans="1:19">
      <c r="A531" s="29" t="s">
        <v>994</v>
      </c>
      <c r="B531" s="26" t="s">
        <v>995</v>
      </c>
      <c r="C531" s="26" t="s">
        <v>921</v>
      </c>
      <c r="D531" s="13" t="s">
        <v>52</v>
      </c>
      <c r="E531" s="27">
        <v>0</v>
      </c>
      <c r="F531" s="28">
        <v>0</v>
      </c>
      <c r="G531" s="13" t="s">
        <v>52</v>
      </c>
      <c r="H531" s="27">
        <v>9268.73</v>
      </c>
      <c r="J531" s="28">
        <v>1108550.99</v>
      </c>
      <c r="K531" s="13" t="s">
        <v>52</v>
      </c>
      <c r="L531" s="27">
        <v>9268.73</v>
      </c>
      <c r="M531" s="28">
        <v>1108550.99</v>
      </c>
      <c r="N531" s="13" t="s">
        <v>52</v>
      </c>
      <c r="P531" s="27">
        <v>0</v>
      </c>
      <c r="Q531" s="28">
        <v>0</v>
      </c>
      <c r="R531" s="13" t="s">
        <v>52</v>
      </c>
      <c r="S531" s="28">
        <v>0</v>
      </c>
    </row>
    <row r="532" spans="1:19">
      <c r="A532" s="29" t="s">
        <v>996</v>
      </c>
      <c r="B532" s="26" t="s">
        <v>997</v>
      </c>
      <c r="C532" s="26" t="s">
        <v>921</v>
      </c>
      <c r="D532" s="13" t="s">
        <v>52</v>
      </c>
      <c r="E532" s="27">
        <v>0</v>
      </c>
      <c r="F532" s="28">
        <v>0</v>
      </c>
      <c r="G532" s="13" t="s">
        <v>52</v>
      </c>
      <c r="H532" s="27">
        <v>22164.91</v>
      </c>
      <c r="J532" s="28">
        <v>2458264.04</v>
      </c>
      <c r="K532" s="13" t="s">
        <v>52</v>
      </c>
      <c r="L532" s="27">
        <v>14078.59</v>
      </c>
      <c r="M532" s="28">
        <v>1609642.6</v>
      </c>
      <c r="N532" s="13" t="s">
        <v>52</v>
      </c>
      <c r="P532" s="27">
        <v>8086.32</v>
      </c>
      <c r="Q532" s="28">
        <v>848621.44</v>
      </c>
      <c r="R532" s="13" t="s">
        <v>52</v>
      </c>
      <c r="S532" s="28">
        <v>848621.44</v>
      </c>
    </row>
    <row r="533" spans="1:19">
      <c r="A533" s="29" t="s">
        <v>998</v>
      </c>
      <c r="B533" s="26" t="s">
        <v>999</v>
      </c>
      <c r="C533" s="26" t="s">
        <v>921</v>
      </c>
      <c r="D533" s="13" t="s">
        <v>52</v>
      </c>
      <c r="E533" s="27">
        <v>0</v>
      </c>
      <c r="F533" s="28">
        <v>0</v>
      </c>
      <c r="G533" s="13" t="s">
        <v>52</v>
      </c>
      <c r="H533" s="27">
        <v>5881.34</v>
      </c>
      <c r="J533" s="28">
        <v>613040.94</v>
      </c>
      <c r="K533" s="13" t="s">
        <v>52</v>
      </c>
      <c r="L533" s="27">
        <v>5881.34</v>
      </c>
      <c r="M533" s="28">
        <v>613040.94</v>
      </c>
      <c r="N533" s="13" t="s">
        <v>52</v>
      </c>
      <c r="P533" s="27">
        <v>0</v>
      </c>
      <c r="Q533" s="28">
        <v>0</v>
      </c>
      <c r="R533" s="13" t="s">
        <v>52</v>
      </c>
      <c r="S533" s="28">
        <v>0</v>
      </c>
    </row>
    <row r="534" spans="1:19">
      <c r="A534" s="29" t="s">
        <v>1000</v>
      </c>
      <c r="B534" s="26" t="s">
        <v>1001</v>
      </c>
      <c r="C534" s="26" t="s">
        <v>921</v>
      </c>
      <c r="D534" s="13" t="s">
        <v>52</v>
      </c>
      <c r="E534" s="27">
        <v>0</v>
      </c>
      <c r="F534" s="28">
        <v>0</v>
      </c>
      <c r="G534" s="13" t="s">
        <v>52</v>
      </c>
      <c r="H534" s="27">
        <v>8615.76</v>
      </c>
      <c r="J534" s="28">
        <v>926252.53</v>
      </c>
      <c r="K534" s="13" t="s">
        <v>52</v>
      </c>
      <c r="L534" s="27">
        <v>8615.76</v>
      </c>
      <c r="M534" s="28">
        <v>926252.53</v>
      </c>
      <c r="N534" s="13" t="s">
        <v>52</v>
      </c>
      <c r="P534" s="27">
        <v>0</v>
      </c>
      <c r="Q534" s="28">
        <v>0</v>
      </c>
      <c r="R534" s="13" t="s">
        <v>52</v>
      </c>
      <c r="S534" s="28">
        <v>0</v>
      </c>
    </row>
    <row r="535" spans="1:19">
      <c r="A535" s="29" t="s">
        <v>1002</v>
      </c>
      <c r="B535" s="26" t="s">
        <v>1003</v>
      </c>
      <c r="C535" s="26" t="s">
        <v>921</v>
      </c>
      <c r="D535" s="13" t="s">
        <v>52</v>
      </c>
      <c r="E535" s="27">
        <v>0</v>
      </c>
      <c r="F535" s="28">
        <v>0</v>
      </c>
      <c r="G535" s="13" t="s">
        <v>52</v>
      </c>
      <c r="H535" s="27">
        <v>8837.91</v>
      </c>
      <c r="J535" s="28">
        <v>913951.66</v>
      </c>
      <c r="K535" s="13" t="s">
        <v>52</v>
      </c>
      <c r="L535" s="27">
        <v>8837.91</v>
      </c>
      <c r="M535" s="28">
        <v>913951.66</v>
      </c>
      <c r="N535" s="13" t="s">
        <v>52</v>
      </c>
      <c r="P535" s="27">
        <v>0</v>
      </c>
      <c r="Q535" s="28">
        <v>0</v>
      </c>
      <c r="R535" s="13" t="s">
        <v>52</v>
      </c>
      <c r="S535" s="28">
        <v>0</v>
      </c>
    </row>
    <row r="536" spans="1:19">
      <c r="A536" s="29" t="s">
        <v>1004</v>
      </c>
      <c r="B536" s="26" t="s">
        <v>1005</v>
      </c>
      <c r="C536" s="26" t="s">
        <v>921</v>
      </c>
      <c r="D536" s="13" t="s">
        <v>52</v>
      </c>
      <c r="E536" s="27">
        <v>0</v>
      </c>
      <c r="F536" s="28">
        <v>0</v>
      </c>
      <c r="G536" s="13" t="s">
        <v>52</v>
      </c>
      <c r="H536" s="27">
        <v>1800.16</v>
      </c>
      <c r="J536" s="28">
        <v>206749.52</v>
      </c>
      <c r="K536" s="13" t="s">
        <v>52</v>
      </c>
      <c r="L536" s="27">
        <v>1800.16</v>
      </c>
      <c r="M536" s="28">
        <v>206749.52</v>
      </c>
      <c r="N536" s="13" t="s">
        <v>52</v>
      </c>
      <c r="P536" s="27">
        <v>0</v>
      </c>
      <c r="Q536" s="28">
        <v>0</v>
      </c>
      <c r="R536" s="13" t="s">
        <v>52</v>
      </c>
      <c r="S536" s="28">
        <v>0</v>
      </c>
    </row>
    <row r="537" spans="1:19">
      <c r="A537" s="29" t="s">
        <v>1006</v>
      </c>
      <c r="B537" s="26" t="s">
        <v>1007</v>
      </c>
      <c r="C537" s="26" t="s">
        <v>921</v>
      </c>
      <c r="D537" s="13" t="s">
        <v>52</v>
      </c>
      <c r="E537" s="27">
        <v>0</v>
      </c>
      <c r="F537" s="28">
        <v>0</v>
      </c>
      <c r="G537" s="13" t="s">
        <v>52</v>
      </c>
      <c r="H537" s="27">
        <v>1003.45</v>
      </c>
      <c r="J537" s="28">
        <v>117957.35</v>
      </c>
      <c r="K537" s="13" t="s">
        <v>52</v>
      </c>
      <c r="L537" s="27">
        <v>360.57</v>
      </c>
      <c r="M537" s="28">
        <v>38264.87</v>
      </c>
      <c r="N537" s="13" t="s">
        <v>52</v>
      </c>
      <c r="P537" s="27">
        <v>642.88</v>
      </c>
      <c r="Q537" s="28">
        <v>79692.48</v>
      </c>
      <c r="R537" s="13" t="s">
        <v>52</v>
      </c>
      <c r="S537" s="28">
        <v>79692.48</v>
      </c>
    </row>
    <row r="538" spans="1:19">
      <c r="A538" s="29" t="s">
        <v>1008</v>
      </c>
      <c r="B538" s="26" t="s">
        <v>1009</v>
      </c>
      <c r="C538" s="26" t="s">
        <v>921</v>
      </c>
      <c r="D538" s="13" t="s">
        <v>52</v>
      </c>
      <c r="E538" s="27">
        <v>0</v>
      </c>
      <c r="F538" s="28">
        <v>0</v>
      </c>
      <c r="G538" s="13" t="s">
        <v>52</v>
      </c>
      <c r="H538" s="27">
        <v>1183.855</v>
      </c>
      <c r="J538" s="28">
        <v>123626.95</v>
      </c>
      <c r="K538" s="13" t="s">
        <v>52</v>
      </c>
      <c r="L538" s="27">
        <v>1183.855</v>
      </c>
      <c r="M538" s="28">
        <v>123626.95</v>
      </c>
      <c r="N538" s="13" t="s">
        <v>52</v>
      </c>
      <c r="P538" s="27">
        <v>0</v>
      </c>
      <c r="Q538" s="28">
        <v>0</v>
      </c>
      <c r="R538" s="13" t="s">
        <v>52</v>
      </c>
      <c r="S538" s="28">
        <v>0</v>
      </c>
    </row>
    <row r="539" spans="1:19">
      <c r="A539" s="29" t="s">
        <v>1010</v>
      </c>
      <c r="B539" s="26" t="s">
        <v>1011</v>
      </c>
      <c r="C539" s="26" t="s">
        <v>921</v>
      </c>
      <c r="D539" s="13" t="s">
        <v>52</v>
      </c>
      <c r="E539" s="27">
        <v>0</v>
      </c>
      <c r="F539" s="28">
        <v>0</v>
      </c>
      <c r="G539" s="13" t="s">
        <v>52</v>
      </c>
      <c r="H539" s="27">
        <v>1126.93</v>
      </c>
      <c r="J539" s="28">
        <v>115918.37</v>
      </c>
      <c r="K539" s="13" t="s">
        <v>52</v>
      </c>
      <c r="L539" s="27">
        <v>1126.93</v>
      </c>
      <c r="M539" s="28">
        <v>115918.37</v>
      </c>
      <c r="N539" s="13" t="s">
        <v>52</v>
      </c>
      <c r="P539" s="27">
        <v>0</v>
      </c>
      <c r="Q539" s="28">
        <v>0</v>
      </c>
      <c r="R539" s="13" t="s">
        <v>52</v>
      </c>
      <c r="S539" s="28">
        <v>0</v>
      </c>
    </row>
    <row r="540" ht="23" spans="1:19">
      <c r="A540" s="29" t="s">
        <v>1012</v>
      </c>
      <c r="B540" s="26" t="s">
        <v>1013</v>
      </c>
      <c r="C540" s="26" t="s">
        <v>921</v>
      </c>
      <c r="D540" s="13" t="s">
        <v>52</v>
      </c>
      <c r="E540" s="27">
        <v>0</v>
      </c>
      <c r="F540" s="28">
        <v>0</v>
      </c>
      <c r="G540" s="13" t="s">
        <v>52</v>
      </c>
      <c r="H540" s="27">
        <v>673.55</v>
      </c>
      <c r="J540" s="28">
        <v>73056.46</v>
      </c>
      <c r="K540" s="13" t="s">
        <v>52</v>
      </c>
      <c r="L540" s="27">
        <v>673.55</v>
      </c>
      <c r="M540" s="28">
        <v>73056.46</v>
      </c>
      <c r="N540" s="13" t="s">
        <v>52</v>
      </c>
      <c r="P540" s="27">
        <v>0</v>
      </c>
      <c r="Q540" s="28">
        <v>0</v>
      </c>
      <c r="R540" s="13" t="s">
        <v>52</v>
      </c>
      <c r="S540" s="28">
        <v>0</v>
      </c>
    </row>
    <row r="541" spans="1:19">
      <c r="A541" s="29" t="s">
        <v>1014</v>
      </c>
      <c r="B541" s="26" t="s">
        <v>1015</v>
      </c>
      <c r="C541" s="26" t="s">
        <v>921</v>
      </c>
      <c r="D541" s="13" t="s">
        <v>52</v>
      </c>
      <c r="E541" s="27">
        <v>0</v>
      </c>
      <c r="F541" s="28">
        <v>0</v>
      </c>
      <c r="G541" s="13" t="s">
        <v>52</v>
      </c>
      <c r="H541" s="27">
        <v>1286.74</v>
      </c>
      <c r="J541" s="28">
        <v>154005.13</v>
      </c>
      <c r="K541" s="13" t="s">
        <v>52</v>
      </c>
      <c r="L541" s="27">
        <v>1286.74</v>
      </c>
      <c r="M541" s="28">
        <v>154005.13</v>
      </c>
      <c r="N541" s="13" t="s">
        <v>52</v>
      </c>
      <c r="P541" s="27">
        <v>0</v>
      </c>
      <c r="Q541" s="28">
        <v>0</v>
      </c>
      <c r="R541" s="13" t="s">
        <v>52</v>
      </c>
      <c r="S541" s="28">
        <v>0</v>
      </c>
    </row>
    <row r="542" spans="1:19">
      <c r="A542" s="29" t="s">
        <v>1016</v>
      </c>
      <c r="B542" s="26" t="s">
        <v>1017</v>
      </c>
      <c r="C542" s="26" t="s">
        <v>921</v>
      </c>
      <c r="D542" s="13" t="s">
        <v>52</v>
      </c>
      <c r="E542" s="27">
        <v>0</v>
      </c>
      <c r="F542" s="28">
        <v>0</v>
      </c>
      <c r="G542" s="13" t="s">
        <v>52</v>
      </c>
      <c r="H542" s="27">
        <v>948.86</v>
      </c>
      <c r="J542" s="28">
        <v>113378.37</v>
      </c>
      <c r="K542" s="13" t="s">
        <v>52</v>
      </c>
      <c r="L542" s="30" t="s">
        <v>52</v>
      </c>
      <c r="M542" s="30" t="s">
        <v>52</v>
      </c>
      <c r="N542" s="13" t="s">
        <v>52</v>
      </c>
      <c r="P542" s="27">
        <v>948.86</v>
      </c>
      <c r="Q542" s="28">
        <v>113378.37</v>
      </c>
      <c r="R542" s="13" t="s">
        <v>52</v>
      </c>
      <c r="S542" s="28">
        <v>113378.37</v>
      </c>
    </row>
    <row r="543" spans="1:19">
      <c r="A543" s="29" t="s">
        <v>1018</v>
      </c>
      <c r="B543" s="26" t="s">
        <v>1019</v>
      </c>
      <c r="C543" s="26" t="s">
        <v>921</v>
      </c>
      <c r="D543" s="13" t="s">
        <v>52</v>
      </c>
      <c r="E543" s="27">
        <v>0</v>
      </c>
      <c r="F543" s="28">
        <v>0</v>
      </c>
      <c r="G543" s="13" t="s">
        <v>52</v>
      </c>
      <c r="H543" s="27">
        <v>1248.07</v>
      </c>
      <c r="J543" s="28">
        <v>145964.14</v>
      </c>
      <c r="K543" s="13" t="s">
        <v>52</v>
      </c>
      <c r="L543" s="30" t="s">
        <v>52</v>
      </c>
      <c r="M543" s="30" t="s">
        <v>52</v>
      </c>
      <c r="N543" s="13" t="s">
        <v>52</v>
      </c>
      <c r="P543" s="27">
        <v>1248.07</v>
      </c>
      <c r="Q543" s="28">
        <v>145964.14</v>
      </c>
      <c r="R543" s="13" t="s">
        <v>52</v>
      </c>
      <c r="S543" s="28">
        <v>145964.14</v>
      </c>
    </row>
    <row r="544" ht="7" customHeight="1" spans="1:19">
      <c r="A544" s="33" t="s">
        <v>52</v>
      </c>
      <c r="B544" s="20" t="s">
        <v>52</v>
      </c>
      <c r="C544" s="20" t="s">
        <v>52</v>
      </c>
      <c r="D544" s="20" t="s">
        <v>52</v>
      </c>
      <c r="E544" s="20" t="s">
        <v>52</v>
      </c>
      <c r="F544" s="20" t="s">
        <v>52</v>
      </c>
      <c r="G544" s="20" t="s">
        <v>52</v>
      </c>
      <c r="H544" s="20" t="s">
        <v>52</v>
      </c>
      <c r="I544" s="20" t="s">
        <v>52</v>
      </c>
      <c r="J544" s="20" t="s">
        <v>52</v>
      </c>
      <c r="K544" s="20" t="s">
        <v>52</v>
      </c>
      <c r="L544" s="20" t="s">
        <v>52</v>
      </c>
      <c r="M544" s="20" t="s">
        <v>52</v>
      </c>
      <c r="N544" s="20" t="s">
        <v>52</v>
      </c>
      <c r="O544" s="20" t="s">
        <v>52</v>
      </c>
      <c r="P544" s="20" t="s">
        <v>52</v>
      </c>
      <c r="Q544" s="20" t="s">
        <v>52</v>
      </c>
      <c r="R544" s="20" t="s">
        <v>52</v>
      </c>
      <c r="S544" s="20" t="s">
        <v>52</v>
      </c>
    </row>
    <row r="545" ht="7" customHeight="1" spans="1:1">
      <c r="A545" s="34" t="s">
        <v>52</v>
      </c>
    </row>
    <row r="546" spans="1:19">
      <c r="A546" s="13" t="s">
        <v>975</v>
      </c>
      <c r="C546" s="13" t="s">
        <v>52</v>
      </c>
      <c r="D546" s="13" t="s">
        <v>52</v>
      </c>
      <c r="E546" s="13" t="s">
        <v>52</v>
      </c>
      <c r="F546" s="35">
        <v>0</v>
      </c>
      <c r="G546" s="13" t="s">
        <v>52</v>
      </c>
      <c r="H546" s="13" t="s">
        <v>52</v>
      </c>
      <c r="J546" s="35">
        <v>23930898.08</v>
      </c>
      <c r="K546" s="13" t="s">
        <v>52</v>
      </c>
      <c r="L546" s="13" t="s">
        <v>52</v>
      </c>
      <c r="M546" s="35">
        <v>22743241.65</v>
      </c>
      <c r="N546" s="13" t="s">
        <v>52</v>
      </c>
      <c r="P546" s="13" t="s">
        <v>52</v>
      </c>
      <c r="Q546" s="35">
        <v>1187656.43</v>
      </c>
      <c r="R546" s="13" t="s">
        <v>52</v>
      </c>
      <c r="S546" s="35">
        <v>1187656.43</v>
      </c>
    </row>
    <row r="547" ht="7" customHeight="1" spans="1:19">
      <c r="A547" s="33" t="s">
        <v>52</v>
      </c>
      <c r="B547" s="20" t="s">
        <v>52</v>
      </c>
      <c r="C547" s="20" t="s">
        <v>52</v>
      </c>
      <c r="D547" s="20" t="s">
        <v>52</v>
      </c>
      <c r="E547" s="20" t="s">
        <v>52</v>
      </c>
      <c r="F547" s="20" t="s">
        <v>52</v>
      </c>
      <c r="G547" s="20" t="s">
        <v>52</v>
      </c>
      <c r="H547" s="20" t="s">
        <v>52</v>
      </c>
      <c r="I547" s="20" t="s">
        <v>52</v>
      </c>
      <c r="J547" s="20" t="s">
        <v>52</v>
      </c>
      <c r="K547" s="20" t="s">
        <v>52</v>
      </c>
      <c r="L547" s="20" t="s">
        <v>52</v>
      </c>
      <c r="M547" s="20" t="s">
        <v>52</v>
      </c>
      <c r="N547" s="20" t="s">
        <v>52</v>
      </c>
      <c r="O547" s="20" t="s">
        <v>52</v>
      </c>
      <c r="P547" s="20" t="s">
        <v>52</v>
      </c>
      <c r="Q547" s="20" t="s">
        <v>52</v>
      </c>
      <c r="R547" s="20" t="s">
        <v>52</v>
      </c>
      <c r="S547" s="20" t="s">
        <v>52</v>
      </c>
    </row>
    <row r="548" ht="7" customHeight="1" spans="1:1">
      <c r="A548" s="34" t="s">
        <v>52</v>
      </c>
    </row>
    <row r="549" ht="14" customHeight="1" spans="1:1">
      <c r="A549" s="34" t="s">
        <v>52</v>
      </c>
    </row>
    <row r="550" spans="1:19">
      <c r="A550" s="22" t="s">
        <v>1020</v>
      </c>
      <c r="C550" s="13" t="s">
        <v>52</v>
      </c>
      <c r="D550" s="13" t="s">
        <v>52</v>
      </c>
      <c r="E550" s="23" t="s">
        <v>52</v>
      </c>
      <c r="F550" s="23" t="s">
        <v>52</v>
      </c>
      <c r="G550" s="13" t="s">
        <v>52</v>
      </c>
      <c r="H550" s="23" t="s">
        <v>52</v>
      </c>
      <c r="J550" s="23" t="s">
        <v>52</v>
      </c>
      <c r="K550" s="13" t="s">
        <v>52</v>
      </c>
      <c r="L550" s="23" t="s">
        <v>52</v>
      </c>
      <c r="M550" s="23" t="s">
        <v>52</v>
      </c>
      <c r="N550" s="13" t="s">
        <v>52</v>
      </c>
      <c r="P550" s="23" t="s">
        <v>52</v>
      </c>
      <c r="Q550" s="23" t="s">
        <v>52</v>
      </c>
      <c r="R550" s="13" t="s">
        <v>52</v>
      </c>
      <c r="S550" s="23" t="s">
        <v>52</v>
      </c>
    </row>
    <row r="551" ht="7" customHeight="1" spans="1:1">
      <c r="A551" s="24" t="s">
        <v>52</v>
      </c>
    </row>
    <row r="552" spans="1:19">
      <c r="A552" s="29" t="s">
        <v>1021</v>
      </c>
      <c r="B552" s="26" t="s">
        <v>1022</v>
      </c>
      <c r="C552" s="26" t="s">
        <v>172</v>
      </c>
      <c r="D552" s="13" t="s">
        <v>52</v>
      </c>
      <c r="E552" s="27">
        <v>0</v>
      </c>
      <c r="F552" s="28">
        <v>0</v>
      </c>
      <c r="G552" s="13" t="s">
        <v>52</v>
      </c>
      <c r="H552" s="27">
        <v>60</v>
      </c>
      <c r="J552" s="30" t="s">
        <v>52</v>
      </c>
      <c r="K552" s="13" t="s">
        <v>52</v>
      </c>
      <c r="L552" s="27">
        <v>60</v>
      </c>
      <c r="M552" s="30" t="s">
        <v>52</v>
      </c>
      <c r="N552" s="13" t="s">
        <v>52</v>
      </c>
      <c r="P552" s="27">
        <v>0</v>
      </c>
      <c r="Q552" s="28">
        <v>0</v>
      </c>
      <c r="R552" s="13" t="s">
        <v>52</v>
      </c>
      <c r="S552" s="28">
        <v>0</v>
      </c>
    </row>
    <row r="553" spans="1:19">
      <c r="A553" s="29" t="s">
        <v>1023</v>
      </c>
      <c r="B553" s="26" t="s">
        <v>1024</v>
      </c>
      <c r="C553" s="26" t="s">
        <v>91</v>
      </c>
      <c r="D553" s="13" t="s">
        <v>52</v>
      </c>
      <c r="E553" s="27">
        <v>17350</v>
      </c>
      <c r="F553" s="28">
        <v>0</v>
      </c>
      <c r="G553" s="13" t="s">
        <v>52</v>
      </c>
      <c r="H553" s="27">
        <v>32100</v>
      </c>
      <c r="J553" s="30" t="s">
        <v>52</v>
      </c>
      <c r="K553" s="13" t="s">
        <v>52</v>
      </c>
      <c r="L553" s="27">
        <v>19650</v>
      </c>
      <c r="M553" s="30" t="s">
        <v>52</v>
      </c>
      <c r="N553" s="13" t="s">
        <v>52</v>
      </c>
      <c r="P553" s="27">
        <v>29800</v>
      </c>
      <c r="Q553" s="28">
        <v>0</v>
      </c>
      <c r="R553" s="13" t="s">
        <v>52</v>
      </c>
      <c r="S553" s="28">
        <v>0</v>
      </c>
    </row>
    <row r="554" spans="1:19">
      <c r="A554" s="29" t="s">
        <v>1025</v>
      </c>
      <c r="B554" s="26" t="s">
        <v>1026</v>
      </c>
      <c r="C554" s="26" t="s">
        <v>172</v>
      </c>
      <c r="D554" s="13" t="s">
        <v>52</v>
      </c>
      <c r="E554" s="27">
        <v>550</v>
      </c>
      <c r="F554" s="28">
        <v>0</v>
      </c>
      <c r="G554" s="13" t="s">
        <v>52</v>
      </c>
      <c r="H554" s="27">
        <v>810</v>
      </c>
      <c r="J554" s="28">
        <v>97.54</v>
      </c>
      <c r="K554" s="13" t="s">
        <v>52</v>
      </c>
      <c r="L554" s="27">
        <v>860</v>
      </c>
      <c r="M554" s="30" t="s">
        <v>52</v>
      </c>
      <c r="N554" s="13" t="s">
        <v>52</v>
      </c>
      <c r="P554" s="27">
        <v>500</v>
      </c>
      <c r="Q554" s="28">
        <v>97.54</v>
      </c>
      <c r="R554" s="13" t="s">
        <v>52</v>
      </c>
      <c r="S554" s="28">
        <v>97.54</v>
      </c>
    </row>
    <row r="555" spans="1:19">
      <c r="A555" s="29" t="s">
        <v>1027</v>
      </c>
      <c r="B555" s="26" t="s">
        <v>1028</v>
      </c>
      <c r="C555" s="26" t="s">
        <v>91</v>
      </c>
      <c r="D555" s="13" t="s">
        <v>52</v>
      </c>
      <c r="E555" s="27">
        <v>0</v>
      </c>
      <c r="F555" s="28">
        <v>0</v>
      </c>
      <c r="G555" s="13" t="s">
        <v>52</v>
      </c>
      <c r="H555" s="27">
        <v>19600</v>
      </c>
      <c r="J555" s="28">
        <v>770.87</v>
      </c>
      <c r="K555" s="13" t="s">
        <v>52</v>
      </c>
      <c r="L555" s="27">
        <v>6700</v>
      </c>
      <c r="M555" s="28">
        <v>263.51</v>
      </c>
      <c r="N555" s="13" t="s">
        <v>52</v>
      </c>
      <c r="P555" s="27">
        <v>12900</v>
      </c>
      <c r="Q555" s="28">
        <v>507.36</v>
      </c>
      <c r="R555" s="13" t="s">
        <v>52</v>
      </c>
      <c r="S555" s="28">
        <v>507.36</v>
      </c>
    </row>
    <row r="556" spans="1:19">
      <c r="A556" s="29" t="s">
        <v>1029</v>
      </c>
      <c r="B556" s="26" t="s">
        <v>1030</v>
      </c>
      <c r="C556" s="26" t="s">
        <v>737</v>
      </c>
      <c r="D556" s="13" t="s">
        <v>52</v>
      </c>
      <c r="E556" s="27">
        <v>34.54</v>
      </c>
      <c r="F556" s="28">
        <v>0</v>
      </c>
      <c r="G556" s="13" t="s">
        <v>52</v>
      </c>
      <c r="H556" s="30" t="s">
        <v>52</v>
      </c>
      <c r="J556" s="30" t="s">
        <v>52</v>
      </c>
      <c r="K556" s="13" t="s">
        <v>52</v>
      </c>
      <c r="L556" s="27">
        <v>34.54</v>
      </c>
      <c r="M556" s="30" t="s">
        <v>52</v>
      </c>
      <c r="N556" s="13" t="s">
        <v>52</v>
      </c>
      <c r="P556" s="27">
        <v>0</v>
      </c>
      <c r="Q556" s="28">
        <v>0</v>
      </c>
      <c r="R556" s="13" t="s">
        <v>52</v>
      </c>
      <c r="S556" s="28">
        <v>0</v>
      </c>
    </row>
    <row r="557" ht="7" customHeight="1" spans="1:19">
      <c r="A557" s="33" t="s">
        <v>52</v>
      </c>
      <c r="B557" s="20" t="s">
        <v>52</v>
      </c>
      <c r="C557" s="20" t="s">
        <v>52</v>
      </c>
      <c r="D557" s="20" t="s">
        <v>52</v>
      </c>
      <c r="E557" s="20" t="s">
        <v>52</v>
      </c>
      <c r="F557" s="20" t="s">
        <v>52</v>
      </c>
      <c r="G557" s="20" t="s">
        <v>52</v>
      </c>
      <c r="H557" s="20" t="s">
        <v>52</v>
      </c>
      <c r="I557" s="20" t="s">
        <v>52</v>
      </c>
      <c r="J557" s="20" t="s">
        <v>52</v>
      </c>
      <c r="K557" s="20" t="s">
        <v>52</v>
      </c>
      <c r="L557" s="20" t="s">
        <v>52</v>
      </c>
      <c r="M557" s="20" t="s">
        <v>52</v>
      </c>
      <c r="N557" s="20" t="s">
        <v>52</v>
      </c>
      <c r="O557" s="20" t="s">
        <v>52</v>
      </c>
      <c r="P557" s="20" t="s">
        <v>52</v>
      </c>
      <c r="Q557" s="20" t="s">
        <v>52</v>
      </c>
      <c r="R557" s="20" t="s">
        <v>52</v>
      </c>
      <c r="S557" s="20" t="s">
        <v>52</v>
      </c>
    </row>
    <row r="558" ht="7" customHeight="1" spans="1:1">
      <c r="A558" s="34" t="s">
        <v>52</v>
      </c>
    </row>
    <row r="559" spans="1:19">
      <c r="A559" s="13" t="s">
        <v>1020</v>
      </c>
      <c r="C559" s="13" t="s">
        <v>52</v>
      </c>
      <c r="D559" s="13" t="s">
        <v>52</v>
      </c>
      <c r="E559" s="13" t="s">
        <v>52</v>
      </c>
      <c r="F559" s="35">
        <v>0</v>
      </c>
      <c r="G559" s="13" t="s">
        <v>52</v>
      </c>
      <c r="H559" s="13" t="s">
        <v>52</v>
      </c>
      <c r="J559" s="35">
        <v>868.41</v>
      </c>
      <c r="K559" s="13" t="s">
        <v>52</v>
      </c>
      <c r="L559" s="13" t="s">
        <v>52</v>
      </c>
      <c r="M559" s="35">
        <v>263.51</v>
      </c>
      <c r="N559" s="13" t="s">
        <v>52</v>
      </c>
      <c r="P559" s="13" t="s">
        <v>52</v>
      </c>
      <c r="Q559" s="35">
        <v>604.9</v>
      </c>
      <c r="R559" s="13" t="s">
        <v>52</v>
      </c>
      <c r="S559" s="35">
        <v>604.9</v>
      </c>
    </row>
    <row r="560" ht="7" customHeight="1" spans="1:19">
      <c r="A560" s="33" t="s">
        <v>52</v>
      </c>
      <c r="B560" s="20" t="s">
        <v>52</v>
      </c>
      <c r="C560" s="20" t="s">
        <v>52</v>
      </c>
      <c r="D560" s="20" t="s">
        <v>52</v>
      </c>
      <c r="E560" s="20" t="s">
        <v>52</v>
      </c>
      <c r="F560" s="20" t="s">
        <v>52</v>
      </c>
      <c r="G560" s="20" t="s">
        <v>52</v>
      </c>
      <c r="H560" s="20" t="s">
        <v>52</v>
      </c>
      <c r="I560" s="20" t="s">
        <v>52</v>
      </c>
      <c r="J560" s="20" t="s">
        <v>52</v>
      </c>
      <c r="K560" s="20" t="s">
        <v>52</v>
      </c>
      <c r="L560" s="20" t="s">
        <v>52</v>
      </c>
      <c r="M560" s="20" t="s">
        <v>52</v>
      </c>
      <c r="N560" s="20" t="s">
        <v>52</v>
      </c>
      <c r="O560" s="20" t="s">
        <v>52</v>
      </c>
      <c r="P560" s="20" t="s">
        <v>52</v>
      </c>
      <c r="Q560" s="20" t="s">
        <v>52</v>
      </c>
      <c r="R560" s="20" t="s">
        <v>52</v>
      </c>
      <c r="S560" s="20" t="s">
        <v>52</v>
      </c>
    </row>
    <row r="561" ht="7" customHeight="1" spans="1:1">
      <c r="A561" s="34" t="s">
        <v>52</v>
      </c>
    </row>
    <row r="562" ht="14" customHeight="1" spans="1:1">
      <c r="A562" s="34" t="s">
        <v>52</v>
      </c>
    </row>
    <row r="563" ht="7" customHeight="1" spans="1:19">
      <c r="A563" s="33" t="s">
        <v>52</v>
      </c>
      <c r="B563" s="20" t="s">
        <v>52</v>
      </c>
      <c r="C563" s="20" t="s">
        <v>52</v>
      </c>
      <c r="D563" s="20" t="s">
        <v>52</v>
      </c>
      <c r="E563" s="20" t="s">
        <v>52</v>
      </c>
      <c r="F563" s="20" t="s">
        <v>52</v>
      </c>
      <c r="G563" s="20" t="s">
        <v>52</v>
      </c>
      <c r="H563" s="20" t="s">
        <v>52</v>
      </c>
      <c r="I563" s="20" t="s">
        <v>52</v>
      </c>
      <c r="J563" s="20" t="s">
        <v>52</v>
      </c>
      <c r="K563" s="20" t="s">
        <v>52</v>
      </c>
      <c r="L563" s="20" t="s">
        <v>52</v>
      </c>
      <c r="M563" s="20" t="s">
        <v>52</v>
      </c>
      <c r="N563" s="20" t="s">
        <v>52</v>
      </c>
      <c r="O563" s="20" t="s">
        <v>52</v>
      </c>
      <c r="P563" s="20" t="s">
        <v>52</v>
      </c>
      <c r="Q563" s="20" t="s">
        <v>52</v>
      </c>
      <c r="R563" s="20" t="s">
        <v>52</v>
      </c>
      <c r="S563" s="20" t="s">
        <v>52</v>
      </c>
    </row>
    <row r="564" ht="7" customHeight="1" spans="1:1">
      <c r="A564" s="34" t="s">
        <v>52</v>
      </c>
    </row>
    <row r="565" spans="1:19">
      <c r="A565" s="36" t="s">
        <v>1031</v>
      </c>
      <c r="C565" s="13" t="s">
        <v>52</v>
      </c>
      <c r="D565" s="13" t="s">
        <v>52</v>
      </c>
      <c r="E565" s="13" t="s">
        <v>52</v>
      </c>
      <c r="F565" s="35">
        <v>28180884.08</v>
      </c>
      <c r="G565" s="13" t="s">
        <v>52</v>
      </c>
      <c r="H565" s="13" t="s">
        <v>52</v>
      </c>
      <c r="J565" s="35">
        <v>265232578.71</v>
      </c>
      <c r="K565" s="13" t="s">
        <v>52</v>
      </c>
      <c r="L565" s="13" t="s">
        <v>52</v>
      </c>
      <c r="M565" s="35">
        <v>279516538.1</v>
      </c>
      <c r="N565" s="13" t="s">
        <v>52</v>
      </c>
      <c r="P565" s="13" t="s">
        <v>52</v>
      </c>
      <c r="Q565" s="35">
        <v>13896924.69</v>
      </c>
      <c r="R565" s="13" t="s">
        <v>52</v>
      </c>
      <c r="S565" s="35">
        <v>13896924.69</v>
      </c>
    </row>
    <row r="566" ht="7" customHeight="1" spans="1:19">
      <c r="A566" s="33" t="s">
        <v>52</v>
      </c>
      <c r="B566" s="20" t="s">
        <v>52</v>
      </c>
      <c r="C566" s="20" t="s">
        <v>52</v>
      </c>
      <c r="D566" s="20" t="s">
        <v>52</v>
      </c>
      <c r="E566" s="20" t="s">
        <v>52</v>
      </c>
      <c r="F566" s="20" t="s">
        <v>52</v>
      </c>
      <c r="G566" s="20" t="s">
        <v>52</v>
      </c>
      <c r="H566" s="20" t="s">
        <v>52</v>
      </c>
      <c r="I566" s="20" t="s">
        <v>52</v>
      </c>
      <c r="J566" s="20" t="s">
        <v>52</v>
      </c>
      <c r="K566" s="20" t="s">
        <v>52</v>
      </c>
      <c r="L566" s="20" t="s">
        <v>52</v>
      </c>
      <c r="M566" s="20" t="s">
        <v>52</v>
      </c>
      <c r="N566" s="20" t="s">
        <v>52</v>
      </c>
      <c r="O566" s="20" t="s">
        <v>52</v>
      </c>
      <c r="P566" s="20" t="s">
        <v>52</v>
      </c>
      <c r="Q566" s="20" t="s">
        <v>52</v>
      </c>
      <c r="R566" s="20" t="s">
        <v>52</v>
      </c>
      <c r="S566" s="20" t="s">
        <v>52</v>
      </c>
    </row>
    <row r="567" ht="7" customHeight="1" spans="1:1">
      <c r="A567" s="34" t="s">
        <v>52</v>
      </c>
    </row>
    <row r="569" spans="19:19">
      <c r="S569" s="37">
        <f>'Chart of Accounts'!C8</f>
        <v>0</v>
      </c>
    </row>
    <row r="570" spans="19:19">
      <c r="S570" s="38"/>
    </row>
    <row r="571" spans="19:19">
      <c r="S571" s="38">
        <f>S565-S569</f>
        <v>13896924.69</v>
      </c>
    </row>
  </sheetData>
  <mergeCells count="1080">
    <mergeCell ref="O1:S1"/>
    <mergeCell ref="O2:S2"/>
    <mergeCell ref="A12:H12"/>
    <mergeCell ref="A13:B13"/>
    <mergeCell ref="E13:F13"/>
    <mergeCell ref="H13:J13"/>
    <mergeCell ref="L13:M13"/>
    <mergeCell ref="N13:O13"/>
    <mergeCell ref="P13:Q13"/>
    <mergeCell ref="A14:S14"/>
    <mergeCell ref="H15:I15"/>
    <mergeCell ref="N15:O15"/>
    <mergeCell ref="A16:S16"/>
    <mergeCell ref="A17:S17"/>
    <mergeCell ref="A18:B18"/>
    <mergeCell ref="H18:I18"/>
    <mergeCell ref="N18:O18"/>
    <mergeCell ref="A19:S19"/>
    <mergeCell ref="H20:I20"/>
    <mergeCell ref="N20:O20"/>
    <mergeCell ref="H21:I21"/>
    <mergeCell ref="N21:O21"/>
    <mergeCell ref="H22:I22"/>
    <mergeCell ref="N22:O22"/>
    <mergeCell ref="H23:I23"/>
    <mergeCell ref="N23:O23"/>
    <mergeCell ref="H24:I24"/>
    <mergeCell ref="N24:O24"/>
    <mergeCell ref="H25:I25"/>
    <mergeCell ref="N25:O25"/>
    <mergeCell ref="H26:I26"/>
    <mergeCell ref="N26:O26"/>
    <mergeCell ref="H27:I27"/>
    <mergeCell ref="N27:O27"/>
    <mergeCell ref="H28:I28"/>
    <mergeCell ref="N28:O28"/>
    <mergeCell ref="H29:I29"/>
    <mergeCell ref="N29:O29"/>
    <mergeCell ref="H30:I30"/>
    <mergeCell ref="N30:O30"/>
    <mergeCell ref="H31:I31"/>
    <mergeCell ref="N31:O31"/>
    <mergeCell ref="H32:I32"/>
    <mergeCell ref="N32:O32"/>
    <mergeCell ref="H33:I33"/>
    <mergeCell ref="N33:O33"/>
    <mergeCell ref="H34:I34"/>
    <mergeCell ref="N34:O34"/>
    <mergeCell ref="H35:I35"/>
    <mergeCell ref="N35:O35"/>
    <mergeCell ref="H36:I36"/>
    <mergeCell ref="N36:O36"/>
    <mergeCell ref="H37:I37"/>
    <mergeCell ref="N37:O37"/>
    <mergeCell ref="H38:I38"/>
    <mergeCell ref="N38:O38"/>
    <mergeCell ref="H39:I39"/>
    <mergeCell ref="N39:O39"/>
    <mergeCell ref="H40:I40"/>
    <mergeCell ref="N40:O40"/>
    <mergeCell ref="H41:I41"/>
    <mergeCell ref="N41:O41"/>
    <mergeCell ref="H42:I42"/>
    <mergeCell ref="N42:O42"/>
    <mergeCell ref="H43:I43"/>
    <mergeCell ref="N43:O43"/>
    <mergeCell ref="H44:I44"/>
    <mergeCell ref="N44:O44"/>
    <mergeCell ref="H45:I45"/>
    <mergeCell ref="N45:O45"/>
    <mergeCell ref="H46:I46"/>
    <mergeCell ref="N46:O46"/>
    <mergeCell ref="H47:I47"/>
    <mergeCell ref="N47:O47"/>
    <mergeCell ref="H48:I48"/>
    <mergeCell ref="N48:O48"/>
    <mergeCell ref="H49:I49"/>
    <mergeCell ref="N49:O49"/>
    <mergeCell ref="H50:I50"/>
    <mergeCell ref="N50:O50"/>
    <mergeCell ref="H51:I51"/>
    <mergeCell ref="N51:O51"/>
    <mergeCell ref="H52:I52"/>
    <mergeCell ref="N52:O52"/>
    <mergeCell ref="H53:I53"/>
    <mergeCell ref="N53:O53"/>
    <mergeCell ref="H54:I54"/>
    <mergeCell ref="N54:O54"/>
    <mergeCell ref="H55:I55"/>
    <mergeCell ref="N55:O55"/>
    <mergeCell ref="H56:I56"/>
    <mergeCell ref="N56:O56"/>
    <mergeCell ref="H57:I57"/>
    <mergeCell ref="N57:O57"/>
    <mergeCell ref="H58:I58"/>
    <mergeCell ref="N58:O58"/>
    <mergeCell ref="H59:I59"/>
    <mergeCell ref="N59:O59"/>
    <mergeCell ref="H60:I60"/>
    <mergeCell ref="N60:O60"/>
    <mergeCell ref="H61:I61"/>
    <mergeCell ref="N61:O61"/>
    <mergeCell ref="H62:I62"/>
    <mergeCell ref="N62:O62"/>
    <mergeCell ref="H63:I63"/>
    <mergeCell ref="N63:O63"/>
    <mergeCell ref="H64:I64"/>
    <mergeCell ref="N64:O64"/>
    <mergeCell ref="H65:I65"/>
    <mergeCell ref="N65:O65"/>
    <mergeCell ref="H66:I66"/>
    <mergeCell ref="N66:O66"/>
    <mergeCell ref="H67:I67"/>
    <mergeCell ref="N67:O67"/>
    <mergeCell ref="H68:I68"/>
    <mergeCell ref="N68:O68"/>
    <mergeCell ref="H69:I69"/>
    <mergeCell ref="N69:O69"/>
    <mergeCell ref="H70:I70"/>
    <mergeCell ref="N70:O70"/>
    <mergeCell ref="H71:I71"/>
    <mergeCell ref="N71:O71"/>
    <mergeCell ref="H72:I72"/>
    <mergeCell ref="N72:O72"/>
    <mergeCell ref="H73:I73"/>
    <mergeCell ref="N73:O73"/>
    <mergeCell ref="H74:I74"/>
    <mergeCell ref="N74:O74"/>
    <mergeCell ref="H75:I75"/>
    <mergeCell ref="N75:O75"/>
    <mergeCell ref="H76:I76"/>
    <mergeCell ref="N76:O76"/>
    <mergeCell ref="H77:I77"/>
    <mergeCell ref="N77:O77"/>
    <mergeCell ref="H78:I78"/>
    <mergeCell ref="N78:O78"/>
    <mergeCell ref="H79:I79"/>
    <mergeCell ref="N79:O79"/>
    <mergeCell ref="H80:I80"/>
    <mergeCell ref="N80:O80"/>
    <mergeCell ref="H81:I81"/>
    <mergeCell ref="N81:O81"/>
    <mergeCell ref="H82:I82"/>
    <mergeCell ref="N82:O82"/>
    <mergeCell ref="H83:I83"/>
    <mergeCell ref="N83:O83"/>
    <mergeCell ref="H84:I84"/>
    <mergeCell ref="N84:O84"/>
    <mergeCell ref="H85:I85"/>
    <mergeCell ref="N85:O85"/>
    <mergeCell ref="H86:I86"/>
    <mergeCell ref="N86:O86"/>
    <mergeCell ref="H87:I87"/>
    <mergeCell ref="N87:O87"/>
    <mergeCell ref="H88:I88"/>
    <mergeCell ref="N88:O88"/>
    <mergeCell ref="H89:I89"/>
    <mergeCell ref="N89:O89"/>
    <mergeCell ref="H90:I90"/>
    <mergeCell ref="N90:O90"/>
    <mergeCell ref="H91:I91"/>
    <mergeCell ref="N91:O91"/>
    <mergeCell ref="H92:I92"/>
    <mergeCell ref="N92:O92"/>
    <mergeCell ref="H93:I93"/>
    <mergeCell ref="N93:O93"/>
    <mergeCell ref="H94:I94"/>
    <mergeCell ref="N94:O94"/>
    <mergeCell ref="H95:I95"/>
    <mergeCell ref="N95:O95"/>
    <mergeCell ref="H96:I96"/>
    <mergeCell ref="N96:O96"/>
    <mergeCell ref="H97:I97"/>
    <mergeCell ref="N97:O97"/>
    <mergeCell ref="H98:I98"/>
    <mergeCell ref="N98:O98"/>
    <mergeCell ref="H99:I99"/>
    <mergeCell ref="N99:O99"/>
    <mergeCell ref="H100:I100"/>
    <mergeCell ref="N100:O100"/>
    <mergeCell ref="H101:I101"/>
    <mergeCell ref="N101:O101"/>
    <mergeCell ref="H102:I102"/>
    <mergeCell ref="N102:O102"/>
    <mergeCell ref="H103:I103"/>
    <mergeCell ref="N103:O103"/>
    <mergeCell ref="H104:I104"/>
    <mergeCell ref="N104:O104"/>
    <mergeCell ref="H105:I105"/>
    <mergeCell ref="N105:O105"/>
    <mergeCell ref="H106:I106"/>
    <mergeCell ref="N106:O106"/>
    <mergeCell ref="H107:I107"/>
    <mergeCell ref="N107:O107"/>
    <mergeCell ref="H108:I108"/>
    <mergeCell ref="N108:O108"/>
    <mergeCell ref="H109:I109"/>
    <mergeCell ref="N109:O109"/>
    <mergeCell ref="H110:I110"/>
    <mergeCell ref="N110:O110"/>
    <mergeCell ref="H111:I111"/>
    <mergeCell ref="N111:O111"/>
    <mergeCell ref="H112:I112"/>
    <mergeCell ref="N112:O112"/>
    <mergeCell ref="H113:I113"/>
    <mergeCell ref="N113:O113"/>
    <mergeCell ref="H114:I114"/>
    <mergeCell ref="N114:O114"/>
    <mergeCell ref="H115:I115"/>
    <mergeCell ref="N115:O115"/>
    <mergeCell ref="H116:I116"/>
    <mergeCell ref="N116:O116"/>
    <mergeCell ref="H117:I117"/>
    <mergeCell ref="N117:O117"/>
    <mergeCell ref="H118:I118"/>
    <mergeCell ref="N118:O118"/>
    <mergeCell ref="H119:I119"/>
    <mergeCell ref="N119:O119"/>
    <mergeCell ref="H120:I120"/>
    <mergeCell ref="N120:O120"/>
    <mergeCell ref="H121:I121"/>
    <mergeCell ref="N121:O121"/>
    <mergeCell ref="H122:I122"/>
    <mergeCell ref="N122:O122"/>
    <mergeCell ref="H123:I123"/>
    <mergeCell ref="N123:O123"/>
    <mergeCell ref="H124:I124"/>
    <mergeCell ref="N124:O124"/>
    <mergeCell ref="H125:I125"/>
    <mergeCell ref="N125:O125"/>
    <mergeCell ref="H126:I126"/>
    <mergeCell ref="N126:O126"/>
    <mergeCell ref="H127:I127"/>
    <mergeCell ref="N127:O127"/>
    <mergeCell ref="H128:I128"/>
    <mergeCell ref="N128:O128"/>
    <mergeCell ref="H129:I129"/>
    <mergeCell ref="N129:O129"/>
    <mergeCell ref="H130:I130"/>
    <mergeCell ref="N130:O130"/>
    <mergeCell ref="H131:I131"/>
    <mergeCell ref="N131:O131"/>
    <mergeCell ref="H132:I132"/>
    <mergeCell ref="N132:O132"/>
    <mergeCell ref="H133:I133"/>
    <mergeCell ref="N133:O133"/>
    <mergeCell ref="H134:I134"/>
    <mergeCell ref="N134:O134"/>
    <mergeCell ref="H135:I135"/>
    <mergeCell ref="N135:O135"/>
    <mergeCell ref="H136:I136"/>
    <mergeCell ref="N136:O136"/>
    <mergeCell ref="H137:I137"/>
    <mergeCell ref="N137:O137"/>
    <mergeCell ref="H138:I138"/>
    <mergeCell ref="N138:O138"/>
    <mergeCell ref="H139:I139"/>
    <mergeCell ref="N139:O139"/>
    <mergeCell ref="H140:I140"/>
    <mergeCell ref="N140:O140"/>
    <mergeCell ref="H141:I141"/>
    <mergeCell ref="N141:O141"/>
    <mergeCell ref="H142:I142"/>
    <mergeCell ref="N142:O142"/>
    <mergeCell ref="H143:I143"/>
    <mergeCell ref="N143:O143"/>
    <mergeCell ref="H144:I144"/>
    <mergeCell ref="N144:O144"/>
    <mergeCell ref="H145:I145"/>
    <mergeCell ref="N145:O145"/>
    <mergeCell ref="H146:I146"/>
    <mergeCell ref="N146:O146"/>
    <mergeCell ref="H147:I147"/>
    <mergeCell ref="N147:O147"/>
    <mergeCell ref="H148:I148"/>
    <mergeCell ref="N148:O148"/>
    <mergeCell ref="H149:I149"/>
    <mergeCell ref="N149:O149"/>
    <mergeCell ref="H150:I150"/>
    <mergeCell ref="N150:O150"/>
    <mergeCell ref="H151:I151"/>
    <mergeCell ref="N151:O151"/>
    <mergeCell ref="H152:I152"/>
    <mergeCell ref="N152:O152"/>
    <mergeCell ref="H153:I153"/>
    <mergeCell ref="N153:O153"/>
    <mergeCell ref="H154:I154"/>
    <mergeCell ref="N154:O154"/>
    <mergeCell ref="H155:I155"/>
    <mergeCell ref="N155:O155"/>
    <mergeCell ref="H156:I156"/>
    <mergeCell ref="N156:O156"/>
    <mergeCell ref="H157:I157"/>
    <mergeCell ref="N157:O157"/>
    <mergeCell ref="H158:I158"/>
    <mergeCell ref="N158:O158"/>
    <mergeCell ref="H159:I159"/>
    <mergeCell ref="N159:O159"/>
    <mergeCell ref="H160:I160"/>
    <mergeCell ref="N160:O160"/>
    <mergeCell ref="H161:I161"/>
    <mergeCell ref="N161:O161"/>
    <mergeCell ref="H162:I162"/>
    <mergeCell ref="N162:O162"/>
    <mergeCell ref="H163:I163"/>
    <mergeCell ref="N163:O163"/>
    <mergeCell ref="H164:I164"/>
    <mergeCell ref="N164:O164"/>
    <mergeCell ref="H165:I165"/>
    <mergeCell ref="N165:O165"/>
    <mergeCell ref="H166:I166"/>
    <mergeCell ref="N166:O166"/>
    <mergeCell ref="H167:I167"/>
    <mergeCell ref="N167:O167"/>
    <mergeCell ref="H168:I168"/>
    <mergeCell ref="N168:O168"/>
    <mergeCell ref="H169:I169"/>
    <mergeCell ref="N169:O169"/>
    <mergeCell ref="H170:I170"/>
    <mergeCell ref="N170:O170"/>
    <mergeCell ref="H171:I171"/>
    <mergeCell ref="N171:O171"/>
    <mergeCell ref="H172:I172"/>
    <mergeCell ref="N172:O172"/>
    <mergeCell ref="H173:I173"/>
    <mergeCell ref="N173:O173"/>
    <mergeCell ref="H174:I174"/>
    <mergeCell ref="N174:O174"/>
    <mergeCell ref="H175:I175"/>
    <mergeCell ref="N175:O175"/>
    <mergeCell ref="H176:I176"/>
    <mergeCell ref="N176:O176"/>
    <mergeCell ref="H177:I177"/>
    <mergeCell ref="N177:O177"/>
    <mergeCell ref="H178:I178"/>
    <mergeCell ref="N178:O178"/>
    <mergeCell ref="H179:I179"/>
    <mergeCell ref="N179:O179"/>
    <mergeCell ref="H180:I180"/>
    <mergeCell ref="N180:O180"/>
    <mergeCell ref="H181:I181"/>
    <mergeCell ref="N181:O181"/>
    <mergeCell ref="H182:I182"/>
    <mergeCell ref="N182:O182"/>
    <mergeCell ref="H183:I183"/>
    <mergeCell ref="N183:O183"/>
    <mergeCell ref="H184:I184"/>
    <mergeCell ref="N184:O184"/>
    <mergeCell ref="H185:I185"/>
    <mergeCell ref="N185:O185"/>
    <mergeCell ref="H186:I186"/>
    <mergeCell ref="N186:O186"/>
    <mergeCell ref="H187:I187"/>
    <mergeCell ref="N187:O187"/>
    <mergeCell ref="H188:I188"/>
    <mergeCell ref="N188:O188"/>
    <mergeCell ref="H189:I189"/>
    <mergeCell ref="N189:O189"/>
    <mergeCell ref="H190:I190"/>
    <mergeCell ref="N190:O190"/>
    <mergeCell ref="H191:I191"/>
    <mergeCell ref="N191:O191"/>
    <mergeCell ref="H192:I192"/>
    <mergeCell ref="N192:O192"/>
    <mergeCell ref="H193:I193"/>
    <mergeCell ref="N193:O193"/>
    <mergeCell ref="H194:I194"/>
    <mergeCell ref="N194:O194"/>
    <mergeCell ref="H195:I195"/>
    <mergeCell ref="N195:O195"/>
    <mergeCell ref="H196:I196"/>
    <mergeCell ref="N196:O196"/>
    <mergeCell ref="H197:I197"/>
    <mergeCell ref="N197:O197"/>
    <mergeCell ref="H198:I198"/>
    <mergeCell ref="N198:O198"/>
    <mergeCell ref="H199:I199"/>
    <mergeCell ref="N199:O199"/>
    <mergeCell ref="H200:I200"/>
    <mergeCell ref="N200:O200"/>
    <mergeCell ref="H201:I201"/>
    <mergeCell ref="N201:O201"/>
    <mergeCell ref="H202:I202"/>
    <mergeCell ref="N202:O202"/>
    <mergeCell ref="H203:I203"/>
    <mergeCell ref="N203:O203"/>
    <mergeCell ref="H204:I204"/>
    <mergeCell ref="N204:O204"/>
    <mergeCell ref="H205:I205"/>
    <mergeCell ref="N205:O205"/>
    <mergeCell ref="H206:I206"/>
    <mergeCell ref="N206:O206"/>
    <mergeCell ref="H207:I207"/>
    <mergeCell ref="N207:O207"/>
    <mergeCell ref="H208:I208"/>
    <mergeCell ref="N208:O208"/>
    <mergeCell ref="H209:I209"/>
    <mergeCell ref="N209:O209"/>
    <mergeCell ref="H210:I210"/>
    <mergeCell ref="N210:O210"/>
    <mergeCell ref="H211:I211"/>
    <mergeCell ref="N211:O211"/>
    <mergeCell ref="H212:I212"/>
    <mergeCell ref="N212:O212"/>
    <mergeCell ref="H213:I213"/>
    <mergeCell ref="N213:O213"/>
    <mergeCell ref="H214:I214"/>
    <mergeCell ref="N214:O214"/>
    <mergeCell ref="H215:I215"/>
    <mergeCell ref="N215:O215"/>
    <mergeCell ref="H216:I216"/>
    <mergeCell ref="N216:O216"/>
    <mergeCell ref="H217:I217"/>
    <mergeCell ref="N217:O217"/>
    <mergeCell ref="H218:I218"/>
    <mergeCell ref="N218:O218"/>
    <mergeCell ref="H219:I219"/>
    <mergeCell ref="N219:O219"/>
    <mergeCell ref="H220:I220"/>
    <mergeCell ref="N220:O220"/>
    <mergeCell ref="H221:I221"/>
    <mergeCell ref="N221:O221"/>
    <mergeCell ref="H222:I222"/>
    <mergeCell ref="N222:O222"/>
    <mergeCell ref="H223:I223"/>
    <mergeCell ref="N223:O223"/>
    <mergeCell ref="H224:I224"/>
    <mergeCell ref="N224:O224"/>
    <mergeCell ref="H225:I225"/>
    <mergeCell ref="N225:O225"/>
    <mergeCell ref="H226:I226"/>
    <mergeCell ref="N226:O226"/>
    <mergeCell ref="H227:I227"/>
    <mergeCell ref="N227:O227"/>
    <mergeCell ref="H228:I228"/>
    <mergeCell ref="N228:O228"/>
    <mergeCell ref="H229:I229"/>
    <mergeCell ref="N229:O229"/>
    <mergeCell ref="H230:I230"/>
    <mergeCell ref="N230:O230"/>
    <mergeCell ref="H231:I231"/>
    <mergeCell ref="N231:O231"/>
    <mergeCell ref="H232:I232"/>
    <mergeCell ref="N232:O232"/>
    <mergeCell ref="H233:I233"/>
    <mergeCell ref="N233:O233"/>
    <mergeCell ref="H234:I234"/>
    <mergeCell ref="N234:O234"/>
    <mergeCell ref="H235:I235"/>
    <mergeCell ref="N235:O235"/>
    <mergeCell ref="H236:I236"/>
    <mergeCell ref="N236:O236"/>
    <mergeCell ref="H237:I237"/>
    <mergeCell ref="N237:O237"/>
    <mergeCell ref="H238:I238"/>
    <mergeCell ref="N238:O238"/>
    <mergeCell ref="H239:I239"/>
    <mergeCell ref="N239:O239"/>
    <mergeCell ref="H240:I240"/>
    <mergeCell ref="N240:O240"/>
    <mergeCell ref="H241:I241"/>
    <mergeCell ref="N241:O241"/>
    <mergeCell ref="H242:I242"/>
    <mergeCell ref="N242:O242"/>
    <mergeCell ref="H243:I243"/>
    <mergeCell ref="N243:O243"/>
    <mergeCell ref="H244:I244"/>
    <mergeCell ref="N244:O244"/>
    <mergeCell ref="H245:I245"/>
    <mergeCell ref="N245:O245"/>
    <mergeCell ref="H246:I246"/>
    <mergeCell ref="N246:O246"/>
    <mergeCell ref="H247:I247"/>
    <mergeCell ref="N247:O247"/>
    <mergeCell ref="H248:I248"/>
    <mergeCell ref="N248:O248"/>
    <mergeCell ref="H249:I249"/>
    <mergeCell ref="N249:O249"/>
    <mergeCell ref="H250:I250"/>
    <mergeCell ref="N250:O250"/>
    <mergeCell ref="H251:I251"/>
    <mergeCell ref="N251:O251"/>
    <mergeCell ref="H252:I252"/>
    <mergeCell ref="N252:O252"/>
    <mergeCell ref="H253:I253"/>
    <mergeCell ref="N253:O253"/>
    <mergeCell ref="H254:I254"/>
    <mergeCell ref="N254:O254"/>
    <mergeCell ref="H255:I255"/>
    <mergeCell ref="N255:O255"/>
    <mergeCell ref="H256:I256"/>
    <mergeCell ref="N256:O256"/>
    <mergeCell ref="H257:I257"/>
    <mergeCell ref="N257:O257"/>
    <mergeCell ref="H258:I258"/>
    <mergeCell ref="N258:O258"/>
    <mergeCell ref="H259:I259"/>
    <mergeCell ref="N259:O259"/>
    <mergeCell ref="H260:I260"/>
    <mergeCell ref="N260:O260"/>
    <mergeCell ref="H261:I261"/>
    <mergeCell ref="N261:O261"/>
    <mergeCell ref="H262:I262"/>
    <mergeCell ref="N262:O262"/>
    <mergeCell ref="H263:I263"/>
    <mergeCell ref="N263:O263"/>
    <mergeCell ref="H264:I264"/>
    <mergeCell ref="N264:O264"/>
    <mergeCell ref="A265:S265"/>
    <mergeCell ref="A266:S266"/>
    <mergeCell ref="A267:B267"/>
    <mergeCell ref="H267:I267"/>
    <mergeCell ref="N267:O267"/>
    <mergeCell ref="A268:S268"/>
    <mergeCell ref="A269:S269"/>
    <mergeCell ref="A270:S270"/>
    <mergeCell ref="A271:B271"/>
    <mergeCell ref="H271:I271"/>
    <mergeCell ref="N271:O271"/>
    <mergeCell ref="A272:S272"/>
    <mergeCell ref="H273:I273"/>
    <mergeCell ref="N273:O273"/>
    <mergeCell ref="H274:I274"/>
    <mergeCell ref="N274:O274"/>
    <mergeCell ref="H275:I275"/>
    <mergeCell ref="N275:O275"/>
    <mergeCell ref="H276:I276"/>
    <mergeCell ref="N276:O276"/>
    <mergeCell ref="H277:I277"/>
    <mergeCell ref="N277:O277"/>
    <mergeCell ref="H278:I278"/>
    <mergeCell ref="N278:O278"/>
    <mergeCell ref="H279:I279"/>
    <mergeCell ref="N279:O279"/>
    <mergeCell ref="H280:I280"/>
    <mergeCell ref="N280:O280"/>
    <mergeCell ref="H281:I281"/>
    <mergeCell ref="N281:O281"/>
    <mergeCell ref="H282:I282"/>
    <mergeCell ref="N282:O282"/>
    <mergeCell ref="H283:I283"/>
    <mergeCell ref="N283:O283"/>
    <mergeCell ref="H284:I284"/>
    <mergeCell ref="N284:O284"/>
    <mergeCell ref="H285:I285"/>
    <mergeCell ref="N285:O285"/>
    <mergeCell ref="H286:I286"/>
    <mergeCell ref="N286:O286"/>
    <mergeCell ref="H287:I287"/>
    <mergeCell ref="N287:O287"/>
    <mergeCell ref="H288:I288"/>
    <mergeCell ref="N288:O288"/>
    <mergeCell ref="H289:I289"/>
    <mergeCell ref="N289:O289"/>
    <mergeCell ref="H290:I290"/>
    <mergeCell ref="N290:O290"/>
    <mergeCell ref="H291:I291"/>
    <mergeCell ref="N291:O291"/>
    <mergeCell ref="H292:I292"/>
    <mergeCell ref="N292:O292"/>
    <mergeCell ref="H293:I293"/>
    <mergeCell ref="N293:O293"/>
    <mergeCell ref="H294:I294"/>
    <mergeCell ref="N294:O294"/>
    <mergeCell ref="H295:I295"/>
    <mergeCell ref="N295:O295"/>
    <mergeCell ref="H296:I296"/>
    <mergeCell ref="N296:O296"/>
    <mergeCell ref="H297:I297"/>
    <mergeCell ref="N297:O297"/>
    <mergeCell ref="H298:I298"/>
    <mergeCell ref="N298:O298"/>
    <mergeCell ref="H299:I299"/>
    <mergeCell ref="N299:O299"/>
    <mergeCell ref="H300:I300"/>
    <mergeCell ref="N300:O300"/>
    <mergeCell ref="H301:I301"/>
    <mergeCell ref="N301:O301"/>
    <mergeCell ref="H302:I302"/>
    <mergeCell ref="N302:O302"/>
    <mergeCell ref="H303:I303"/>
    <mergeCell ref="N303:O303"/>
    <mergeCell ref="H304:I304"/>
    <mergeCell ref="N304:O304"/>
    <mergeCell ref="H305:I305"/>
    <mergeCell ref="N305:O305"/>
    <mergeCell ref="H306:I306"/>
    <mergeCell ref="N306:O306"/>
    <mergeCell ref="H307:I307"/>
    <mergeCell ref="N307:O307"/>
    <mergeCell ref="H308:I308"/>
    <mergeCell ref="N308:O308"/>
    <mergeCell ref="H309:I309"/>
    <mergeCell ref="N309:O309"/>
    <mergeCell ref="H310:I310"/>
    <mergeCell ref="N310:O310"/>
    <mergeCell ref="H311:I311"/>
    <mergeCell ref="N311:O311"/>
    <mergeCell ref="H312:I312"/>
    <mergeCell ref="N312:O312"/>
    <mergeCell ref="H313:I313"/>
    <mergeCell ref="N313:O313"/>
    <mergeCell ref="H314:I314"/>
    <mergeCell ref="N314:O314"/>
    <mergeCell ref="H315:I315"/>
    <mergeCell ref="N315:O315"/>
    <mergeCell ref="H316:I316"/>
    <mergeCell ref="N316:O316"/>
    <mergeCell ref="H317:I317"/>
    <mergeCell ref="N317:O317"/>
    <mergeCell ref="H318:I318"/>
    <mergeCell ref="N318:O318"/>
    <mergeCell ref="H319:I319"/>
    <mergeCell ref="N319:O319"/>
    <mergeCell ref="H320:I320"/>
    <mergeCell ref="N320:O320"/>
    <mergeCell ref="H321:I321"/>
    <mergeCell ref="N321:O321"/>
    <mergeCell ref="H322:I322"/>
    <mergeCell ref="N322:O322"/>
    <mergeCell ref="H323:I323"/>
    <mergeCell ref="N323:O323"/>
    <mergeCell ref="H324:I324"/>
    <mergeCell ref="N324:O324"/>
    <mergeCell ref="H325:I325"/>
    <mergeCell ref="N325:O325"/>
    <mergeCell ref="H326:I326"/>
    <mergeCell ref="N326:O326"/>
    <mergeCell ref="H327:I327"/>
    <mergeCell ref="N327:O327"/>
    <mergeCell ref="H328:I328"/>
    <mergeCell ref="N328:O328"/>
    <mergeCell ref="H329:I329"/>
    <mergeCell ref="N329:O329"/>
    <mergeCell ref="H330:I330"/>
    <mergeCell ref="N330:O330"/>
    <mergeCell ref="H331:I331"/>
    <mergeCell ref="N331:O331"/>
    <mergeCell ref="H332:I332"/>
    <mergeCell ref="N332:O332"/>
    <mergeCell ref="H333:I333"/>
    <mergeCell ref="N333:O333"/>
    <mergeCell ref="H334:I334"/>
    <mergeCell ref="N334:O334"/>
    <mergeCell ref="H335:I335"/>
    <mergeCell ref="N335:O335"/>
    <mergeCell ref="H336:I336"/>
    <mergeCell ref="N336:O336"/>
    <mergeCell ref="H337:I337"/>
    <mergeCell ref="N337:O337"/>
    <mergeCell ref="H338:I338"/>
    <mergeCell ref="N338:O338"/>
    <mergeCell ref="H339:I339"/>
    <mergeCell ref="N339:O339"/>
    <mergeCell ref="H340:I340"/>
    <mergeCell ref="N340:O340"/>
    <mergeCell ref="H341:I341"/>
    <mergeCell ref="N341:O341"/>
    <mergeCell ref="H342:I342"/>
    <mergeCell ref="N342:O342"/>
    <mergeCell ref="H343:I343"/>
    <mergeCell ref="N343:O343"/>
    <mergeCell ref="H344:I344"/>
    <mergeCell ref="N344:O344"/>
    <mergeCell ref="H345:I345"/>
    <mergeCell ref="N345:O345"/>
    <mergeCell ref="H346:I346"/>
    <mergeCell ref="N346:O346"/>
    <mergeCell ref="H347:I347"/>
    <mergeCell ref="N347:O347"/>
    <mergeCell ref="H348:I348"/>
    <mergeCell ref="N348:O348"/>
    <mergeCell ref="H349:I349"/>
    <mergeCell ref="N349:O349"/>
    <mergeCell ref="H350:I350"/>
    <mergeCell ref="N350:O350"/>
    <mergeCell ref="H351:I351"/>
    <mergeCell ref="N351:O351"/>
    <mergeCell ref="H352:I352"/>
    <mergeCell ref="N352:O352"/>
    <mergeCell ref="H353:I353"/>
    <mergeCell ref="N353:O353"/>
    <mergeCell ref="H354:I354"/>
    <mergeCell ref="N354:O354"/>
    <mergeCell ref="H355:I355"/>
    <mergeCell ref="N355:O355"/>
    <mergeCell ref="H356:I356"/>
    <mergeCell ref="N356:O356"/>
    <mergeCell ref="A357:S357"/>
    <mergeCell ref="A358:S358"/>
    <mergeCell ref="A359:B359"/>
    <mergeCell ref="H359:I359"/>
    <mergeCell ref="N359:O359"/>
    <mergeCell ref="A360:S360"/>
    <mergeCell ref="A361:S361"/>
    <mergeCell ref="A362:S362"/>
    <mergeCell ref="A363:B363"/>
    <mergeCell ref="H363:I363"/>
    <mergeCell ref="N363:O363"/>
    <mergeCell ref="A364:S364"/>
    <mergeCell ref="H365:I365"/>
    <mergeCell ref="N365:O365"/>
    <mergeCell ref="H366:I366"/>
    <mergeCell ref="N366:O366"/>
    <mergeCell ref="H367:I367"/>
    <mergeCell ref="N367:O367"/>
    <mergeCell ref="H368:I368"/>
    <mergeCell ref="N368:O368"/>
    <mergeCell ref="H369:I369"/>
    <mergeCell ref="N369:O369"/>
    <mergeCell ref="H370:I370"/>
    <mergeCell ref="N370:O370"/>
    <mergeCell ref="H371:I371"/>
    <mergeCell ref="N371:O371"/>
    <mergeCell ref="H372:I372"/>
    <mergeCell ref="N372:O372"/>
    <mergeCell ref="H373:I373"/>
    <mergeCell ref="N373:O373"/>
    <mergeCell ref="H374:I374"/>
    <mergeCell ref="N374:O374"/>
    <mergeCell ref="H375:I375"/>
    <mergeCell ref="N375:O375"/>
    <mergeCell ref="H376:I376"/>
    <mergeCell ref="N376:O376"/>
    <mergeCell ref="H377:I377"/>
    <mergeCell ref="N377:O377"/>
    <mergeCell ref="A378:S378"/>
    <mergeCell ref="A379:S379"/>
    <mergeCell ref="A380:B380"/>
    <mergeCell ref="H380:I380"/>
    <mergeCell ref="N380:O380"/>
    <mergeCell ref="A381:S381"/>
    <mergeCell ref="A382:S382"/>
    <mergeCell ref="A383:S383"/>
    <mergeCell ref="A384:B384"/>
    <mergeCell ref="H384:I384"/>
    <mergeCell ref="N384:O384"/>
    <mergeCell ref="A385:S385"/>
    <mergeCell ref="H386:I386"/>
    <mergeCell ref="N386:O386"/>
    <mergeCell ref="H387:I387"/>
    <mergeCell ref="N387:O387"/>
    <mergeCell ref="H388:I388"/>
    <mergeCell ref="N388:O388"/>
    <mergeCell ref="H389:I389"/>
    <mergeCell ref="N389:O389"/>
    <mergeCell ref="H390:I390"/>
    <mergeCell ref="N390:O390"/>
    <mergeCell ref="H391:I391"/>
    <mergeCell ref="N391:O391"/>
    <mergeCell ref="H392:I392"/>
    <mergeCell ref="N392:O392"/>
    <mergeCell ref="H393:I393"/>
    <mergeCell ref="N393:O393"/>
    <mergeCell ref="H394:I394"/>
    <mergeCell ref="N394:O394"/>
    <mergeCell ref="H395:I395"/>
    <mergeCell ref="N395:O395"/>
    <mergeCell ref="H396:I396"/>
    <mergeCell ref="N396:O396"/>
    <mergeCell ref="H397:I397"/>
    <mergeCell ref="N397:O397"/>
    <mergeCell ref="H398:I398"/>
    <mergeCell ref="N398:O398"/>
    <mergeCell ref="H399:I399"/>
    <mergeCell ref="N399:O399"/>
    <mergeCell ref="H400:I400"/>
    <mergeCell ref="N400:O400"/>
    <mergeCell ref="H401:I401"/>
    <mergeCell ref="N401:O401"/>
    <mergeCell ref="H402:I402"/>
    <mergeCell ref="N402:O402"/>
    <mergeCell ref="H403:I403"/>
    <mergeCell ref="N403:O403"/>
    <mergeCell ref="H404:I404"/>
    <mergeCell ref="N404:O404"/>
    <mergeCell ref="H405:I405"/>
    <mergeCell ref="N405:O405"/>
    <mergeCell ref="H406:I406"/>
    <mergeCell ref="N406:O406"/>
    <mergeCell ref="H407:I407"/>
    <mergeCell ref="N407:O407"/>
    <mergeCell ref="H408:I408"/>
    <mergeCell ref="N408:O408"/>
    <mergeCell ref="H409:I409"/>
    <mergeCell ref="N409:O409"/>
    <mergeCell ref="H410:I410"/>
    <mergeCell ref="N410:O410"/>
    <mergeCell ref="H411:I411"/>
    <mergeCell ref="N411:O411"/>
    <mergeCell ref="H412:I412"/>
    <mergeCell ref="N412:O412"/>
    <mergeCell ref="H413:I413"/>
    <mergeCell ref="N413:O413"/>
    <mergeCell ref="H414:I414"/>
    <mergeCell ref="N414:O414"/>
    <mergeCell ref="H415:I415"/>
    <mergeCell ref="N415:O415"/>
    <mergeCell ref="H416:I416"/>
    <mergeCell ref="N416:O416"/>
    <mergeCell ref="H417:I417"/>
    <mergeCell ref="N417:O417"/>
    <mergeCell ref="H418:I418"/>
    <mergeCell ref="N418:O418"/>
    <mergeCell ref="H419:I419"/>
    <mergeCell ref="N419:O419"/>
    <mergeCell ref="H420:I420"/>
    <mergeCell ref="N420:O420"/>
    <mergeCell ref="H421:I421"/>
    <mergeCell ref="N421:O421"/>
    <mergeCell ref="H422:I422"/>
    <mergeCell ref="N422:O422"/>
    <mergeCell ref="H423:I423"/>
    <mergeCell ref="N423:O423"/>
    <mergeCell ref="H424:I424"/>
    <mergeCell ref="N424:O424"/>
    <mergeCell ref="H425:I425"/>
    <mergeCell ref="N425:O425"/>
    <mergeCell ref="H426:I426"/>
    <mergeCell ref="N426:O426"/>
    <mergeCell ref="H427:I427"/>
    <mergeCell ref="N427:O427"/>
    <mergeCell ref="H428:I428"/>
    <mergeCell ref="N428:O428"/>
    <mergeCell ref="H429:I429"/>
    <mergeCell ref="N429:O429"/>
    <mergeCell ref="H430:I430"/>
    <mergeCell ref="N430:O430"/>
    <mergeCell ref="H431:I431"/>
    <mergeCell ref="N431:O431"/>
    <mergeCell ref="H432:I432"/>
    <mergeCell ref="N432:O432"/>
    <mergeCell ref="H433:I433"/>
    <mergeCell ref="N433:O433"/>
    <mergeCell ref="H434:I434"/>
    <mergeCell ref="N434:O434"/>
    <mergeCell ref="H435:I435"/>
    <mergeCell ref="N435:O435"/>
    <mergeCell ref="H436:I436"/>
    <mergeCell ref="N436:O436"/>
    <mergeCell ref="H437:I437"/>
    <mergeCell ref="N437:O437"/>
    <mergeCell ref="H438:I438"/>
    <mergeCell ref="N438:O438"/>
    <mergeCell ref="A439:S439"/>
    <mergeCell ref="A440:S440"/>
    <mergeCell ref="A441:B441"/>
    <mergeCell ref="H441:I441"/>
    <mergeCell ref="N441:O441"/>
    <mergeCell ref="A442:S442"/>
    <mergeCell ref="A443:S443"/>
    <mergeCell ref="A444:S444"/>
    <mergeCell ref="A445:B445"/>
    <mergeCell ref="H445:I445"/>
    <mergeCell ref="N445:O445"/>
    <mergeCell ref="A446:S446"/>
    <mergeCell ref="H447:I447"/>
    <mergeCell ref="N447:O447"/>
    <mergeCell ref="H448:I448"/>
    <mergeCell ref="N448:O448"/>
    <mergeCell ref="H449:I449"/>
    <mergeCell ref="N449:O449"/>
    <mergeCell ref="H450:I450"/>
    <mergeCell ref="N450:O450"/>
    <mergeCell ref="H451:I451"/>
    <mergeCell ref="N451:O451"/>
    <mergeCell ref="H452:I452"/>
    <mergeCell ref="N452:O452"/>
    <mergeCell ref="H453:I453"/>
    <mergeCell ref="N453:O453"/>
    <mergeCell ref="H454:I454"/>
    <mergeCell ref="N454:O454"/>
    <mergeCell ref="H455:I455"/>
    <mergeCell ref="N455:O455"/>
    <mergeCell ref="H456:I456"/>
    <mergeCell ref="N456:O456"/>
    <mergeCell ref="H457:I457"/>
    <mergeCell ref="N457:O457"/>
    <mergeCell ref="H458:I458"/>
    <mergeCell ref="N458:O458"/>
    <mergeCell ref="A459:S459"/>
    <mergeCell ref="A460:S460"/>
    <mergeCell ref="A461:B461"/>
    <mergeCell ref="H461:I461"/>
    <mergeCell ref="N461:O461"/>
    <mergeCell ref="A462:S462"/>
    <mergeCell ref="A463:S463"/>
    <mergeCell ref="A464:S464"/>
    <mergeCell ref="A465:B465"/>
    <mergeCell ref="H465:I465"/>
    <mergeCell ref="N465:O465"/>
    <mergeCell ref="A466:S466"/>
    <mergeCell ref="H467:I467"/>
    <mergeCell ref="N467:O467"/>
    <mergeCell ref="H468:I468"/>
    <mergeCell ref="N468:O468"/>
    <mergeCell ref="H469:I469"/>
    <mergeCell ref="N469:O469"/>
    <mergeCell ref="H470:I470"/>
    <mergeCell ref="N470:O470"/>
    <mergeCell ref="H471:I471"/>
    <mergeCell ref="N471:O471"/>
    <mergeCell ref="H472:I472"/>
    <mergeCell ref="N472:O472"/>
    <mergeCell ref="H473:I473"/>
    <mergeCell ref="N473:O473"/>
    <mergeCell ref="H474:I474"/>
    <mergeCell ref="N474:O474"/>
    <mergeCell ref="H475:I475"/>
    <mergeCell ref="N475:O475"/>
    <mergeCell ref="A476:S476"/>
    <mergeCell ref="A477:S477"/>
    <mergeCell ref="A478:B478"/>
    <mergeCell ref="H478:I478"/>
    <mergeCell ref="N478:O478"/>
    <mergeCell ref="A479:S479"/>
    <mergeCell ref="A480:S480"/>
    <mergeCell ref="A481:S481"/>
    <mergeCell ref="A482:B482"/>
    <mergeCell ref="H482:I482"/>
    <mergeCell ref="N482:O482"/>
    <mergeCell ref="A483:S483"/>
    <mergeCell ref="H484:I484"/>
    <mergeCell ref="N484:O484"/>
    <mergeCell ref="H485:I485"/>
    <mergeCell ref="N485:O485"/>
    <mergeCell ref="H486:I486"/>
    <mergeCell ref="N486:O486"/>
    <mergeCell ref="H487:I487"/>
    <mergeCell ref="N487:O487"/>
    <mergeCell ref="H488:I488"/>
    <mergeCell ref="N488:O488"/>
    <mergeCell ref="H489:I489"/>
    <mergeCell ref="N489:O489"/>
    <mergeCell ref="H490:I490"/>
    <mergeCell ref="N490:O490"/>
    <mergeCell ref="H491:I491"/>
    <mergeCell ref="N491:O491"/>
    <mergeCell ref="H492:I492"/>
    <mergeCell ref="N492:O492"/>
    <mergeCell ref="H493:I493"/>
    <mergeCell ref="N493:O493"/>
    <mergeCell ref="H494:I494"/>
    <mergeCell ref="N494:O494"/>
    <mergeCell ref="H495:I495"/>
    <mergeCell ref="N495:O495"/>
    <mergeCell ref="H496:I496"/>
    <mergeCell ref="N496:O496"/>
    <mergeCell ref="H497:I497"/>
    <mergeCell ref="N497:O497"/>
    <mergeCell ref="H498:I498"/>
    <mergeCell ref="N498:O498"/>
    <mergeCell ref="H499:I499"/>
    <mergeCell ref="N499:O499"/>
    <mergeCell ref="H500:I500"/>
    <mergeCell ref="N500:O500"/>
    <mergeCell ref="H501:I501"/>
    <mergeCell ref="N501:O501"/>
    <mergeCell ref="H502:I502"/>
    <mergeCell ref="N502:O502"/>
    <mergeCell ref="H503:I503"/>
    <mergeCell ref="N503:O503"/>
    <mergeCell ref="H504:I504"/>
    <mergeCell ref="N504:O504"/>
    <mergeCell ref="H505:I505"/>
    <mergeCell ref="N505:O505"/>
    <mergeCell ref="H506:I506"/>
    <mergeCell ref="N506:O506"/>
    <mergeCell ref="H507:I507"/>
    <mergeCell ref="N507:O507"/>
    <mergeCell ref="H508:I508"/>
    <mergeCell ref="N508:O508"/>
    <mergeCell ref="H509:I509"/>
    <mergeCell ref="N509:O509"/>
    <mergeCell ref="H510:I510"/>
    <mergeCell ref="N510:O510"/>
    <mergeCell ref="H511:I511"/>
    <mergeCell ref="N511:O511"/>
    <mergeCell ref="H512:I512"/>
    <mergeCell ref="N512:O512"/>
    <mergeCell ref="H513:I513"/>
    <mergeCell ref="N513:O513"/>
    <mergeCell ref="A514:S514"/>
    <mergeCell ref="A515:S515"/>
    <mergeCell ref="A516:B516"/>
    <mergeCell ref="H516:I516"/>
    <mergeCell ref="N516:O516"/>
    <mergeCell ref="A517:S517"/>
    <mergeCell ref="A518:S518"/>
    <mergeCell ref="A519:S519"/>
    <mergeCell ref="A520:B520"/>
    <mergeCell ref="H520:I520"/>
    <mergeCell ref="N520:O520"/>
    <mergeCell ref="A521:S521"/>
    <mergeCell ref="H522:I522"/>
    <mergeCell ref="N522:O522"/>
    <mergeCell ref="H523:I523"/>
    <mergeCell ref="N523:O523"/>
    <mergeCell ref="H524:I524"/>
    <mergeCell ref="N524:O524"/>
    <mergeCell ref="H525:I525"/>
    <mergeCell ref="N525:O525"/>
    <mergeCell ref="H526:I526"/>
    <mergeCell ref="N526:O526"/>
    <mergeCell ref="H527:I527"/>
    <mergeCell ref="N527:O527"/>
    <mergeCell ref="H528:I528"/>
    <mergeCell ref="N528:O528"/>
    <mergeCell ref="H529:I529"/>
    <mergeCell ref="N529:O529"/>
    <mergeCell ref="H530:I530"/>
    <mergeCell ref="N530:O530"/>
    <mergeCell ref="H531:I531"/>
    <mergeCell ref="N531:O531"/>
    <mergeCell ref="H532:I532"/>
    <mergeCell ref="N532:O532"/>
    <mergeCell ref="H533:I533"/>
    <mergeCell ref="N533:O533"/>
    <mergeCell ref="H534:I534"/>
    <mergeCell ref="N534:O534"/>
    <mergeCell ref="H535:I535"/>
    <mergeCell ref="N535:O535"/>
    <mergeCell ref="H536:I536"/>
    <mergeCell ref="N536:O536"/>
    <mergeCell ref="H537:I537"/>
    <mergeCell ref="N537:O537"/>
    <mergeCell ref="H538:I538"/>
    <mergeCell ref="N538:O538"/>
    <mergeCell ref="H539:I539"/>
    <mergeCell ref="N539:O539"/>
    <mergeCell ref="H540:I540"/>
    <mergeCell ref="N540:O540"/>
    <mergeCell ref="H541:I541"/>
    <mergeCell ref="N541:O541"/>
    <mergeCell ref="H542:I542"/>
    <mergeCell ref="N542:O542"/>
    <mergeCell ref="H543:I543"/>
    <mergeCell ref="N543:O543"/>
    <mergeCell ref="A544:S544"/>
    <mergeCell ref="A545:S545"/>
    <mergeCell ref="A546:B546"/>
    <mergeCell ref="H546:I546"/>
    <mergeCell ref="N546:O546"/>
    <mergeCell ref="A547:S547"/>
    <mergeCell ref="A548:S548"/>
    <mergeCell ref="A549:S549"/>
    <mergeCell ref="A550:B550"/>
    <mergeCell ref="H550:I550"/>
    <mergeCell ref="N550:O550"/>
    <mergeCell ref="A551:S551"/>
    <mergeCell ref="H552:I552"/>
    <mergeCell ref="N552:O552"/>
    <mergeCell ref="H553:I553"/>
    <mergeCell ref="N553:O553"/>
    <mergeCell ref="H554:I554"/>
    <mergeCell ref="N554:O554"/>
    <mergeCell ref="H555:I555"/>
    <mergeCell ref="N555:O555"/>
    <mergeCell ref="H556:I556"/>
    <mergeCell ref="N556:O556"/>
    <mergeCell ref="A557:S557"/>
    <mergeCell ref="A558:S558"/>
    <mergeCell ref="A559:B559"/>
    <mergeCell ref="H559:I559"/>
    <mergeCell ref="N559:O559"/>
    <mergeCell ref="A560:S560"/>
    <mergeCell ref="A561:S561"/>
    <mergeCell ref="A562:S562"/>
    <mergeCell ref="A563:S563"/>
    <mergeCell ref="A564:S564"/>
    <mergeCell ref="A565:B565"/>
    <mergeCell ref="H565:I565"/>
    <mergeCell ref="N565:O565"/>
    <mergeCell ref="A566:S566"/>
    <mergeCell ref="A567:S567"/>
    <mergeCell ref="A1:H4"/>
    <mergeCell ref="O4:S5"/>
    <mergeCell ref="A5:H7"/>
    <mergeCell ref="O7:S9"/>
    <mergeCell ref="A8:H10"/>
  </mergeCells>
  <hyperlinks>
    <hyperlink ref="A20" r:id="rId1" display="FG00001"/>
    <hyperlink ref="A21" r:id="rId2" display="FG00002"/>
    <hyperlink ref="A22" r:id="rId3" display="FG00003"/>
    <hyperlink ref="A23" r:id="rId4" display="FG00004"/>
    <hyperlink ref="A24" r:id="rId5" display="FG00005"/>
    <hyperlink ref="A25" r:id="rId6" display="FG00006"/>
    <hyperlink ref="A26" r:id="rId7" display="FG00007"/>
    <hyperlink ref="A27" r:id="rId8" display="FG00008"/>
    <hyperlink ref="A28" r:id="rId9" display="FG00009"/>
    <hyperlink ref="A29" r:id="rId10" display="FG00010"/>
    <hyperlink ref="A30" r:id="rId11" display="FG00011"/>
    <hyperlink ref="A31" r:id="rId12" display="FG00012"/>
    <hyperlink ref="A32" r:id="rId13" display="FG00013"/>
    <hyperlink ref="A33" r:id="rId14" display="FG00014"/>
    <hyperlink ref="A34" r:id="rId15" display="FG00015"/>
    <hyperlink ref="A35" r:id="rId16" display="FG00016"/>
    <hyperlink ref="A36" r:id="rId17" display="FG00017"/>
    <hyperlink ref="A37" r:id="rId18" display="FG00018"/>
    <hyperlink ref="A38" r:id="rId19" display="FG00019"/>
    <hyperlink ref="A39" r:id="rId20" display="FG00020"/>
    <hyperlink ref="A40" r:id="rId21" display="FG00023"/>
    <hyperlink ref="A41" r:id="rId22" display="FG00024"/>
    <hyperlink ref="A42" r:id="rId23" display="FG00025"/>
    <hyperlink ref="A43" r:id="rId24" display="FG00026"/>
    <hyperlink ref="A44" r:id="rId25" display="FG00027"/>
    <hyperlink ref="A45" r:id="rId26" display="FG00028"/>
    <hyperlink ref="A46" r:id="rId27" display="FG00029"/>
    <hyperlink ref="A47" r:id="rId28" display="FG00030"/>
    <hyperlink ref="A48" r:id="rId29" display="FG00031"/>
    <hyperlink ref="A49" r:id="rId30" display="FG00032"/>
    <hyperlink ref="A50" r:id="rId31" display="FG00033"/>
    <hyperlink ref="A51" r:id="rId32" display="FG00034"/>
    <hyperlink ref="A52" r:id="rId33" display="FG00035"/>
    <hyperlink ref="A53" r:id="rId34" display="FG00036"/>
    <hyperlink ref="A54" r:id="rId35" display="FG00037"/>
    <hyperlink ref="A55" r:id="rId36" display="FG00038"/>
    <hyperlink ref="A56" r:id="rId37" display="FG00039"/>
    <hyperlink ref="A57" r:id="rId38" display="FG00040"/>
    <hyperlink ref="A58" r:id="rId39" display="FG00041"/>
    <hyperlink ref="A59" r:id="rId40" display="FG00042"/>
    <hyperlink ref="A60" r:id="rId41" display="FG00044"/>
    <hyperlink ref="A61" r:id="rId42" display="FG00045"/>
    <hyperlink ref="A62" r:id="rId43" display="FG00046"/>
    <hyperlink ref="A63" r:id="rId44" display="FG00052"/>
    <hyperlink ref="A64" r:id="rId45" display="FG00053"/>
    <hyperlink ref="A65" r:id="rId46" display="FG00054"/>
    <hyperlink ref="A66" r:id="rId47" display="FG00055"/>
    <hyperlink ref="A67" r:id="rId48" display="FG00056"/>
    <hyperlink ref="A68" r:id="rId49" display="FG00057"/>
    <hyperlink ref="A69" r:id="rId50" display="FG00058"/>
    <hyperlink ref="A70" r:id="rId51" display="FG00059"/>
    <hyperlink ref="A71" r:id="rId52" display="FG00060"/>
    <hyperlink ref="A72" r:id="rId53" display="FG00061"/>
    <hyperlink ref="A73" r:id="rId54" display="FG00062"/>
    <hyperlink ref="A74" r:id="rId55" display="FG00063"/>
    <hyperlink ref="A75" r:id="rId56" display="FG00064"/>
    <hyperlink ref="A76" r:id="rId57" display="FG00065"/>
    <hyperlink ref="A77" r:id="rId58" display="FG00066"/>
    <hyperlink ref="A78" r:id="rId59" display="FG00067"/>
    <hyperlink ref="A79" r:id="rId60" display="FG00069"/>
    <hyperlink ref="A80" r:id="rId61" display="FG00070"/>
    <hyperlink ref="A81" r:id="rId62" display="FG00071"/>
    <hyperlink ref="A82" r:id="rId63" display="FG00074"/>
    <hyperlink ref="A83" r:id="rId64" display="FG00075"/>
    <hyperlink ref="A84" r:id="rId65" display="FG00076"/>
    <hyperlink ref="A85" r:id="rId66" display="FG00077"/>
    <hyperlink ref="A86" r:id="rId67" display="FG00078"/>
    <hyperlink ref="A87" r:id="rId68" display="FG00079"/>
    <hyperlink ref="A88" r:id="rId69" display="FG00080"/>
    <hyperlink ref="A89" r:id="rId70" display="FG00084"/>
    <hyperlink ref="A90" r:id="rId71" display="FG00085"/>
    <hyperlink ref="A91" r:id="rId72" display="FG00086"/>
    <hyperlink ref="A92" r:id="rId73" display="FG00093"/>
    <hyperlink ref="A93" r:id="rId74" display="FG00097"/>
    <hyperlink ref="A94" r:id="rId75" display="FG00098"/>
    <hyperlink ref="A95" r:id="rId76" display="FG00099"/>
    <hyperlink ref="A96" r:id="rId77" display="FG00100"/>
    <hyperlink ref="A97" r:id="rId78" display="FG00101"/>
    <hyperlink ref="A98" r:id="rId79" display="FG00102"/>
    <hyperlink ref="A99" r:id="rId80" display="FG00103"/>
    <hyperlink ref="A100" r:id="rId81" display="FG00104"/>
    <hyperlink ref="A101" r:id="rId82" display="FG00105"/>
    <hyperlink ref="A102" r:id="rId83" display="FG00106"/>
    <hyperlink ref="A103" r:id="rId84" display="FG00107"/>
    <hyperlink ref="A104" r:id="rId85" display="FG00108"/>
    <hyperlink ref="A105" r:id="rId86" display="FG00110"/>
    <hyperlink ref="A106" r:id="rId87" display="FG00111"/>
    <hyperlink ref="A107" r:id="rId88" display="FG00112"/>
    <hyperlink ref="A108" r:id="rId89" display="FG00113"/>
    <hyperlink ref="A109" r:id="rId90" display="FG00114"/>
    <hyperlink ref="A110" r:id="rId91" display="FG00115"/>
    <hyperlink ref="A111" r:id="rId92" display="FG00116"/>
    <hyperlink ref="A112" r:id="rId93" display="FG00117"/>
    <hyperlink ref="A113" r:id="rId94" display="FG00118"/>
    <hyperlink ref="A114" r:id="rId95" display="FG00119"/>
    <hyperlink ref="A115" r:id="rId96" display="FG00121"/>
    <hyperlink ref="A116" r:id="rId97" display="FG00122"/>
    <hyperlink ref="A117" r:id="rId98" display="FG00123"/>
    <hyperlink ref="A118" r:id="rId99" display="FG00124"/>
    <hyperlink ref="A119" r:id="rId100" display="FG00125"/>
    <hyperlink ref="A120" r:id="rId101" display="FG00126"/>
    <hyperlink ref="A121" r:id="rId102" display="FG00127"/>
    <hyperlink ref="A122" r:id="rId103" display="FG00128"/>
    <hyperlink ref="A123" r:id="rId104" display="FG00129"/>
    <hyperlink ref="A124" r:id="rId105" display="FG00130"/>
    <hyperlink ref="A125" r:id="rId106" display="FG00131"/>
    <hyperlink ref="A126" r:id="rId107" display="FG00132"/>
    <hyperlink ref="A127" r:id="rId108" display="FG00133"/>
    <hyperlink ref="A128" r:id="rId109" display="FG00134"/>
    <hyperlink ref="A129" r:id="rId110" display="FG00135"/>
    <hyperlink ref="A130" r:id="rId111" display="FG00136"/>
    <hyperlink ref="A131" r:id="rId112" display="FG00137"/>
    <hyperlink ref="A132" r:id="rId113" display="FG00138"/>
    <hyperlink ref="A133" r:id="rId114" display="FG00139"/>
    <hyperlink ref="A134" r:id="rId115" display="FG00140"/>
    <hyperlink ref="A135" r:id="rId116" display="FG00141"/>
    <hyperlink ref="A136" r:id="rId117" display="FG00142"/>
    <hyperlink ref="A137" r:id="rId118" display="FG00143"/>
    <hyperlink ref="A138" r:id="rId119" display="FG00144"/>
    <hyperlink ref="A139" r:id="rId120" display="FG00145"/>
    <hyperlink ref="A140" r:id="rId121" display="FG00146"/>
    <hyperlink ref="A141" r:id="rId122" display="FG00147"/>
    <hyperlink ref="A142" r:id="rId123" display="FG00148"/>
    <hyperlink ref="A143" r:id="rId124" display="FG00149"/>
    <hyperlink ref="A144" r:id="rId125" display="FG00150"/>
    <hyperlink ref="A145" r:id="rId126" display="FG00151"/>
    <hyperlink ref="A146" r:id="rId127" display="FG00157"/>
    <hyperlink ref="A147" r:id="rId128" display="FG00158"/>
    <hyperlink ref="A148" r:id="rId129" display="FG00162"/>
    <hyperlink ref="A149" r:id="rId130" display="FG00163"/>
    <hyperlink ref="A150" r:id="rId131" display="FG00164"/>
    <hyperlink ref="A151" r:id="rId132" display="FG00166"/>
    <hyperlink ref="A152" r:id="rId133" display="FG00168"/>
    <hyperlink ref="A153" r:id="rId134" display="FG00170"/>
    <hyperlink ref="A154" r:id="rId135" display="FG00171"/>
    <hyperlink ref="A155" r:id="rId136" display="FG00172"/>
    <hyperlink ref="A156" r:id="rId137" display="FG00173"/>
    <hyperlink ref="A157" r:id="rId138" display="FG00174"/>
    <hyperlink ref="A158" r:id="rId139" display="FG00175"/>
    <hyperlink ref="A159" r:id="rId140" display="FG00176"/>
    <hyperlink ref="A160" r:id="rId141" display="FG00177"/>
    <hyperlink ref="A161" r:id="rId142" display="FG00179"/>
    <hyperlink ref="A162" r:id="rId143" display="FG00181"/>
    <hyperlink ref="A163" r:id="rId144" display="FG00182"/>
    <hyperlink ref="A164" r:id="rId145" display="FG00183"/>
    <hyperlink ref="A165" r:id="rId146" display="FG00184"/>
    <hyperlink ref="A166" r:id="rId147" display="FG00185"/>
    <hyperlink ref="A167" r:id="rId148" display="FG00186"/>
    <hyperlink ref="A168" r:id="rId149" display="FG00190"/>
    <hyperlink ref="A169" r:id="rId150" display="FG00192"/>
    <hyperlink ref="A170" r:id="rId151" display="FG00194"/>
    <hyperlink ref="A171" r:id="rId152" display="FG00195"/>
    <hyperlink ref="A172" r:id="rId153" display="FG00196"/>
    <hyperlink ref="A173" r:id="rId154" display="FG00197"/>
    <hyperlink ref="A174" r:id="rId155" display="FG00198"/>
    <hyperlink ref="A175" r:id="rId156" display="FG00201"/>
    <hyperlink ref="A176" r:id="rId157" display="FG00202"/>
    <hyperlink ref="A177" r:id="rId158" display="FG00203"/>
    <hyperlink ref="A178" r:id="rId159" display="FG00204"/>
    <hyperlink ref="A179" r:id="rId160" display="FG00205"/>
    <hyperlink ref="A180" r:id="rId161" display="FG00206"/>
    <hyperlink ref="A181" r:id="rId162" display="FG00207"/>
    <hyperlink ref="A182" r:id="rId163" display="FG00208"/>
    <hyperlink ref="A183" r:id="rId164" display="FG00209"/>
    <hyperlink ref="A184" r:id="rId165" display="FG00211"/>
    <hyperlink ref="A185" r:id="rId166" display="FG00212"/>
    <hyperlink ref="A186" r:id="rId167" display="FG00213"/>
    <hyperlink ref="A187" r:id="rId168" display="FG00214"/>
    <hyperlink ref="A188" r:id="rId169" display="FG00215"/>
    <hyperlink ref="A189" r:id="rId170" display="FG00217"/>
    <hyperlink ref="A190" r:id="rId171" display="FG00218"/>
    <hyperlink ref="A191" r:id="rId172" display="FG00219"/>
    <hyperlink ref="A192" r:id="rId173" display="FG00221"/>
    <hyperlink ref="A193" r:id="rId174" display="FG00222"/>
    <hyperlink ref="A194" r:id="rId175" display="FG00223"/>
    <hyperlink ref="A195" r:id="rId176" display="FG00226"/>
    <hyperlink ref="A196" r:id="rId177" display="FG00227"/>
    <hyperlink ref="A197" r:id="rId178" display="FG00228"/>
    <hyperlink ref="A198" r:id="rId179" display="FG00229"/>
    <hyperlink ref="A199" r:id="rId180" display="FG00230"/>
    <hyperlink ref="A200" r:id="rId181" display="FG00234"/>
    <hyperlink ref="A201" r:id="rId182" display="FG00236"/>
    <hyperlink ref="A202" r:id="rId183" display="FG00237"/>
    <hyperlink ref="A203" r:id="rId184" display="FG00238"/>
    <hyperlink ref="A204" r:id="rId185" display="FG00240"/>
    <hyperlink ref="A205" r:id="rId186" display="FG00241"/>
    <hyperlink ref="A206" r:id="rId187" display="FG00242"/>
    <hyperlink ref="A207" r:id="rId188" display="FG00243"/>
    <hyperlink ref="A208" r:id="rId189" display="FG00245"/>
    <hyperlink ref="A209" r:id="rId190" display="FG00247"/>
    <hyperlink ref="A210" r:id="rId191" display="FG00249"/>
    <hyperlink ref="A211" r:id="rId192" display="FG00252"/>
    <hyperlink ref="A212" r:id="rId193" display="FG00253"/>
    <hyperlink ref="A213" r:id="rId194" display="FG00255"/>
    <hyperlink ref="A214" r:id="rId195" display="FG00257"/>
    <hyperlink ref="A215" r:id="rId196" display="FG00260"/>
    <hyperlink ref="A216" r:id="rId197" display="FG00262"/>
    <hyperlink ref="A217" r:id="rId198" display="FG00264"/>
    <hyperlink ref="A218" r:id="rId199" display="FG00267"/>
    <hyperlink ref="A219" r:id="rId200" display="FG00268"/>
    <hyperlink ref="A220" r:id="rId201" display="FG00270"/>
    <hyperlink ref="A221" r:id="rId202" display="FG00272"/>
    <hyperlink ref="A222" r:id="rId203" display="FG00283"/>
    <hyperlink ref="A223" r:id="rId204" display="FG00289"/>
    <hyperlink ref="A224" r:id="rId205" display="FG00290"/>
    <hyperlink ref="A225" r:id="rId206" display="FG00293"/>
    <hyperlink ref="A226" r:id="rId207" display="FG00294"/>
    <hyperlink ref="A227" r:id="rId208" display="FG00296"/>
    <hyperlink ref="A228" r:id="rId209" display="FG00297"/>
    <hyperlink ref="A229" r:id="rId210" display="FG00298"/>
    <hyperlink ref="A230" r:id="rId211" display="FG00299"/>
    <hyperlink ref="A231" r:id="rId212" display="FG00315"/>
    <hyperlink ref="A232" r:id="rId213" display="FG00316"/>
    <hyperlink ref="A233" r:id="rId214" display="FG00325"/>
    <hyperlink ref="A234" r:id="rId215" display="FG00326"/>
    <hyperlink ref="A235" r:id="rId216" display="FG00327"/>
    <hyperlink ref="A236" r:id="rId217" display="FG00328"/>
    <hyperlink ref="A237" r:id="rId218" display="FG00331"/>
    <hyperlink ref="A238" r:id="rId219" display="FG00332"/>
    <hyperlink ref="A239" r:id="rId220" display="FG00333"/>
    <hyperlink ref="A240" r:id="rId221" display="FG00336"/>
    <hyperlink ref="A241" r:id="rId222" display="FG00337"/>
    <hyperlink ref="A242" r:id="rId223" display="FG00348"/>
    <hyperlink ref="A243" r:id="rId224" display="FG00349"/>
    <hyperlink ref="A244" r:id="rId225" display="FG00350"/>
    <hyperlink ref="A245" r:id="rId226" display="FG00352"/>
    <hyperlink ref="A246" r:id="rId227" display="FG00353"/>
    <hyperlink ref="A247" r:id="rId228" display="FG00354"/>
    <hyperlink ref="A248" r:id="rId229" display="FG00355"/>
    <hyperlink ref="A249" r:id="rId230" display="FG00357"/>
    <hyperlink ref="A250" r:id="rId231" display="FG00361"/>
    <hyperlink ref="A251" r:id="rId232" display="FG00362"/>
    <hyperlink ref="A252" r:id="rId233" display="FG00364"/>
    <hyperlink ref="A253" r:id="rId234" display="FG00365"/>
    <hyperlink ref="A254" r:id="rId235" display="FG00366"/>
    <hyperlink ref="A255" r:id="rId236" display="FG00367"/>
    <hyperlink ref="A256" r:id="rId237" display="FG00369"/>
    <hyperlink ref="A257" r:id="rId238" display="FG00370"/>
    <hyperlink ref="A258" r:id="rId239" display="FG00371"/>
    <hyperlink ref="A259" r:id="rId240" display="FG00372"/>
    <hyperlink ref="A260" r:id="rId241" display="FG00376"/>
    <hyperlink ref="A261" r:id="rId242" display="FG00377"/>
    <hyperlink ref="A262" r:id="rId243" display="FG00378"/>
    <hyperlink ref="A263" r:id="rId244" display="FG00379"/>
    <hyperlink ref="A264" r:id="rId245" display="FG00380"/>
    <hyperlink ref="A273" r:id="rId246" display="RM00018"/>
    <hyperlink ref="A274" r:id="rId247" display="RM00019"/>
    <hyperlink ref="A275" r:id="rId248" display="RM00020"/>
    <hyperlink ref="A276" r:id="rId249" display="RM00021"/>
    <hyperlink ref="A277" r:id="rId250" display="RM00022"/>
    <hyperlink ref="A278" r:id="rId251" display="RM00023"/>
    <hyperlink ref="A279" r:id="rId252" display="RM00024"/>
    <hyperlink ref="A280" r:id="rId253" display="RM00025"/>
    <hyperlink ref="A281" r:id="rId254" display="RM00027"/>
    <hyperlink ref="A282" r:id="rId255" display="RM00028"/>
    <hyperlink ref="A283" r:id="rId256" display="RM00029"/>
    <hyperlink ref="A284" r:id="rId257" display="RM00030"/>
    <hyperlink ref="A285" r:id="rId258" display="RM00033"/>
    <hyperlink ref="A286" r:id="rId259" display="RM00034"/>
    <hyperlink ref="A287" r:id="rId260" display="RM00035"/>
    <hyperlink ref="A288" r:id="rId261" display="RM00036"/>
    <hyperlink ref="A289" r:id="rId262" display="RM00039"/>
    <hyperlink ref="A290" r:id="rId263" display="RM00040"/>
    <hyperlink ref="A291" r:id="rId264" display="RM00041"/>
    <hyperlink ref="A292" r:id="rId265" display="RM00042"/>
    <hyperlink ref="A293" r:id="rId266" display="RM00043"/>
    <hyperlink ref="A294" r:id="rId267" display="RM00044"/>
    <hyperlink ref="A295" r:id="rId268" display="RM00046"/>
    <hyperlink ref="A296" r:id="rId269" display="RM00047"/>
    <hyperlink ref="A297" r:id="rId270" display="RM00048"/>
    <hyperlink ref="A298" r:id="rId271" display="RM00049"/>
    <hyperlink ref="A299" r:id="rId272" display="RM00055"/>
    <hyperlink ref="A300" r:id="rId273" display="RM00057"/>
    <hyperlink ref="A301" r:id="rId274" display="RM00059"/>
    <hyperlink ref="A302" r:id="rId275" display="RM00063"/>
    <hyperlink ref="A303" r:id="rId276" display="RM00066"/>
    <hyperlink ref="A304" r:id="rId277" display="RM00073"/>
    <hyperlink ref="A305" r:id="rId278" display="RM00074"/>
    <hyperlink ref="A306" r:id="rId279" display="RM00079"/>
    <hyperlink ref="A307" r:id="rId280" display="RM00081"/>
    <hyperlink ref="A308" r:id="rId281" display="RM00084"/>
    <hyperlink ref="A309" r:id="rId282" display="RM00088"/>
    <hyperlink ref="A310" r:id="rId283" display="RM00091"/>
    <hyperlink ref="A311" r:id="rId284" display="RM00092"/>
    <hyperlink ref="A312" r:id="rId285" display="RM00093"/>
    <hyperlink ref="A313" r:id="rId286" display="RM00101"/>
    <hyperlink ref="A314" r:id="rId287" display="RM00105"/>
    <hyperlink ref="A315" r:id="rId288" display="RM00107"/>
    <hyperlink ref="A316" r:id="rId289" display="RM00108"/>
    <hyperlink ref="A317" r:id="rId290" display="RM00114"/>
    <hyperlink ref="A318" r:id="rId291" display="RM00115"/>
    <hyperlink ref="A319" r:id="rId292" display="RM00116"/>
    <hyperlink ref="A320" r:id="rId293" display="RM00117"/>
    <hyperlink ref="A321" r:id="rId294" display="RM00119"/>
    <hyperlink ref="A322" r:id="rId295" display="RM00120"/>
    <hyperlink ref="A323" r:id="rId296" display="RM00121"/>
    <hyperlink ref="A324" r:id="rId297" display="RM00122"/>
    <hyperlink ref="A325" r:id="rId298" display="RM00123"/>
    <hyperlink ref="A326" r:id="rId299" display="RM00124"/>
    <hyperlink ref="A327" r:id="rId300" display="RM00143"/>
    <hyperlink ref="A328" r:id="rId301" display="RM00144"/>
    <hyperlink ref="A329" r:id="rId302" display="RM00149"/>
    <hyperlink ref="A330" r:id="rId303" display="RM00150"/>
    <hyperlink ref="A331" r:id="rId304" display="RM00151"/>
    <hyperlink ref="A332" r:id="rId305" display="RM00153"/>
    <hyperlink ref="A333" r:id="rId306" display="RM00154"/>
    <hyperlink ref="A334" r:id="rId307" display="RM00155"/>
    <hyperlink ref="A335" r:id="rId308" display="RM00156"/>
    <hyperlink ref="A336" r:id="rId309" display="RM00158"/>
    <hyperlink ref="A337" r:id="rId310" display="RM00159"/>
    <hyperlink ref="A338" r:id="rId311" display="RM00161"/>
    <hyperlink ref="A339" r:id="rId312" display="RM00162"/>
    <hyperlink ref="A340" r:id="rId313" display="RM00163"/>
    <hyperlink ref="A341" r:id="rId314" display="RM00164"/>
    <hyperlink ref="A342" r:id="rId315" display="RM00165"/>
    <hyperlink ref="A343" r:id="rId316" display="RM00166"/>
    <hyperlink ref="A344" r:id="rId317" display="RM00167"/>
    <hyperlink ref="A345" r:id="rId318" display="RM00168"/>
    <hyperlink ref="A346" r:id="rId319" display="RM00169"/>
    <hyperlink ref="A347" r:id="rId320" display="RM00170"/>
    <hyperlink ref="A348" r:id="rId321" display="RM00171"/>
    <hyperlink ref="A349" r:id="rId322" display="RM00172"/>
    <hyperlink ref="A350" r:id="rId323" display="RM00173"/>
    <hyperlink ref="A351" r:id="rId324" display="RM00174"/>
    <hyperlink ref="A352" r:id="rId325" display="RM00175"/>
    <hyperlink ref="A353" r:id="rId326" display="RM00176"/>
    <hyperlink ref="A354" r:id="rId327" display="RM00179"/>
    <hyperlink ref="A355" r:id="rId328" display="RM00181"/>
    <hyperlink ref="A356" r:id="rId329" display="RM00182"/>
    <hyperlink ref="A365" r:id="rId330" display="MC00001"/>
    <hyperlink ref="A366" r:id="rId331" display="MC00003"/>
    <hyperlink ref="A367" r:id="rId332" display="MC00004"/>
    <hyperlink ref="A368" r:id="rId333" display="MC00005"/>
    <hyperlink ref="A369" r:id="rId334" display="MC00007"/>
    <hyperlink ref="A370" r:id="rId335" display="MC00009"/>
    <hyperlink ref="A371" r:id="rId336" display="MC00010"/>
    <hyperlink ref="A372" r:id="rId337" display="MC00012"/>
    <hyperlink ref="A373" r:id="rId338" display="MC00014"/>
    <hyperlink ref="A374" r:id="rId339" display="MC00015"/>
    <hyperlink ref="A375" r:id="rId340" display="MC00016"/>
    <hyperlink ref="A376" r:id="rId341" display="MC00018"/>
    <hyperlink ref="A377" r:id="rId342" display="MC00019"/>
    <hyperlink ref="A386" r:id="rId343" display="MS00001"/>
    <hyperlink ref="A387" r:id="rId344" display="MS00002"/>
    <hyperlink ref="A388" r:id="rId345" display="MS00003"/>
    <hyperlink ref="A389" r:id="rId346" display="MS00005"/>
    <hyperlink ref="A390" r:id="rId347" display="MS00006"/>
    <hyperlink ref="A391" r:id="rId348" display="MS00007"/>
    <hyperlink ref="A392" r:id="rId349" display="MS00008"/>
    <hyperlink ref="A393" r:id="rId350" display="MS00009"/>
    <hyperlink ref="A394" r:id="rId351" display="MS00010"/>
    <hyperlink ref="A395" r:id="rId352" display="MS00011"/>
    <hyperlink ref="A396" r:id="rId353" display="MS00012"/>
    <hyperlink ref="A397" r:id="rId354" display="MS00013"/>
    <hyperlink ref="A398" r:id="rId355" display="MS00014"/>
    <hyperlink ref="A399" r:id="rId356" display="MS00015"/>
    <hyperlink ref="A400" r:id="rId357" display="MS00016"/>
    <hyperlink ref="A401" r:id="rId358" display="MS00017"/>
    <hyperlink ref="A402" r:id="rId359" display="MS00022"/>
    <hyperlink ref="A403" r:id="rId360" display="MS00023"/>
    <hyperlink ref="A404" r:id="rId361" display="MS00024"/>
    <hyperlink ref="A405" r:id="rId362" display="MS00026"/>
    <hyperlink ref="A406" r:id="rId363" display="MS00027"/>
    <hyperlink ref="A407" r:id="rId364" display="MS00028"/>
    <hyperlink ref="A408" r:id="rId365" display="MS00029"/>
    <hyperlink ref="A409" r:id="rId366" display="MS00030"/>
    <hyperlink ref="A410" r:id="rId367" display="MS00031"/>
    <hyperlink ref="A411" r:id="rId368" display="MS00032"/>
    <hyperlink ref="A412" r:id="rId369" display="MS00035"/>
    <hyperlink ref="A413" r:id="rId370" display="MS00036"/>
    <hyperlink ref="A414" r:id="rId371" display="MS00037"/>
    <hyperlink ref="A415" r:id="rId372" display="MS00038"/>
    <hyperlink ref="A416" r:id="rId373" display="MS00039"/>
    <hyperlink ref="A417" r:id="rId374" display="MS00040"/>
    <hyperlink ref="A418" r:id="rId375" display="MS00041"/>
    <hyperlink ref="A419" r:id="rId376" display="MS00042"/>
    <hyperlink ref="A420" r:id="rId377" display="MS00044"/>
    <hyperlink ref="A421" r:id="rId378" display="MS00045"/>
    <hyperlink ref="A422" r:id="rId379" display="MS00046"/>
    <hyperlink ref="A423" r:id="rId380" display="MS00047"/>
    <hyperlink ref="A424" r:id="rId381" display="MS00048"/>
    <hyperlink ref="A425" r:id="rId382" display="MS00049"/>
    <hyperlink ref="A426" r:id="rId383" display="MS00050"/>
    <hyperlink ref="A427" r:id="rId384" display="MS00051"/>
    <hyperlink ref="A428" r:id="rId385" display="MS00052"/>
    <hyperlink ref="A429" r:id="rId386" display="MS00053"/>
    <hyperlink ref="A430" r:id="rId387" display="MS00054"/>
    <hyperlink ref="A431" r:id="rId388" display="MS00056"/>
    <hyperlink ref="A432" r:id="rId389" display="MS00057"/>
    <hyperlink ref="A433" r:id="rId390" display="MS00059"/>
    <hyperlink ref="A434" r:id="rId391" display="MS00060"/>
    <hyperlink ref="A435" r:id="rId392" display="MS00063"/>
    <hyperlink ref="A436" r:id="rId393" display="MS00073"/>
    <hyperlink ref="A437" r:id="rId394" display="MS00074"/>
    <hyperlink ref="A438" r:id="rId395" display="MS00075"/>
    <hyperlink ref="A447" r:id="rId396" display="PC00001"/>
    <hyperlink ref="A448" r:id="rId397" display="PC00002"/>
    <hyperlink ref="A449" r:id="rId398" display="PC00003"/>
    <hyperlink ref="A450" r:id="rId399" display="PC00004"/>
    <hyperlink ref="A451" r:id="rId400" display="PC00005"/>
    <hyperlink ref="A452" r:id="rId401" display="PC00010"/>
    <hyperlink ref="A453" r:id="rId402" display="PC00011"/>
    <hyperlink ref="A454" r:id="rId403" display="PC00012"/>
    <hyperlink ref="A455" r:id="rId404" display="PC00013"/>
    <hyperlink ref="A456" r:id="rId405" display="PC00015"/>
    <hyperlink ref="A457" r:id="rId406" display="PC00016"/>
    <hyperlink ref="A458" r:id="rId407" display="PC00017"/>
    <hyperlink ref="A467" r:id="rId408" display="PM00001"/>
    <hyperlink ref="A468" r:id="rId409" display="PM00002"/>
    <hyperlink ref="A469" r:id="rId410" display="PM00003"/>
    <hyperlink ref="A470" r:id="rId411" display="PM00004"/>
    <hyperlink ref="A471" r:id="rId412" display="PM00005"/>
    <hyperlink ref="A472" r:id="rId413" display="PM00006"/>
    <hyperlink ref="A473" r:id="rId414" display="PM00007"/>
    <hyperlink ref="A474" r:id="rId415" display="PM00008"/>
    <hyperlink ref="A475" r:id="rId416" display="PM00009"/>
    <hyperlink ref="A484" r:id="rId417" display="RM00001"/>
    <hyperlink ref="A485" r:id="rId418" display="RM00002"/>
    <hyperlink ref="A486" r:id="rId419" display="RM00003"/>
    <hyperlink ref="A487" r:id="rId420" display="RM00004"/>
    <hyperlink ref="A488" r:id="rId421" display="RM00005"/>
    <hyperlink ref="A489" r:id="rId422" display="RM00006"/>
    <hyperlink ref="A490" r:id="rId423" display="RM00007"/>
    <hyperlink ref="A491" r:id="rId424" display="RM00008"/>
    <hyperlink ref="A492" r:id="rId425" display="RM00009"/>
    <hyperlink ref="A493" r:id="rId426" display="RM00010"/>
    <hyperlink ref="A494" r:id="rId427" display="RM00013"/>
    <hyperlink ref="A495" r:id="rId428" display="RM000139"/>
    <hyperlink ref="A496" r:id="rId429" display="RM00014"/>
    <hyperlink ref="A497" r:id="rId430" display="RM00015"/>
    <hyperlink ref="A498" r:id="rId431" display="RM00016"/>
    <hyperlink ref="A499" r:id="rId432" display="RM00017"/>
    <hyperlink ref="A500" r:id="rId433" display="RM00125"/>
    <hyperlink ref="A501" r:id="rId434" display="RM00126"/>
    <hyperlink ref="A502" r:id="rId435" display="RM00127"/>
    <hyperlink ref="A503" r:id="rId436" display="RM00131"/>
    <hyperlink ref="A504" r:id="rId437" display="RM00134"/>
    <hyperlink ref="A505" r:id="rId438" display="RM00136"/>
    <hyperlink ref="A506" r:id="rId439" display="RM00137"/>
    <hyperlink ref="A507" r:id="rId440" display="RM00138"/>
    <hyperlink ref="A508" r:id="rId441" display="RM00139"/>
    <hyperlink ref="A509" r:id="rId442" display="RM00142"/>
    <hyperlink ref="A510" r:id="rId443" display="RM00146"/>
    <hyperlink ref="A511" r:id="rId444" display="RM00152"/>
    <hyperlink ref="A512" r:id="rId445" display="RM00157"/>
    <hyperlink ref="A513" r:id="rId446" display="RM00178"/>
    <hyperlink ref="A522" r:id="rId447" display="PRN0001"/>
    <hyperlink ref="A523" r:id="rId448" display="PRN0002"/>
    <hyperlink ref="A524" r:id="rId449" display="PRN0003"/>
    <hyperlink ref="A525" r:id="rId450" display="PRN0004"/>
    <hyperlink ref="A526" r:id="rId451" display="PRN0005"/>
    <hyperlink ref="A527" r:id="rId452" display="PRN0006"/>
    <hyperlink ref="A528" r:id="rId453" display="PRN0007"/>
    <hyperlink ref="A529" r:id="rId454" display="PRN0008"/>
    <hyperlink ref="A530" r:id="rId455" display="PRN0009"/>
    <hyperlink ref="A531" r:id="rId456" display="PRN0010"/>
    <hyperlink ref="A532" r:id="rId457" display="PRN0011"/>
    <hyperlink ref="A533" r:id="rId458" display="PRN0012"/>
    <hyperlink ref="A534" r:id="rId459" display="PRN0013"/>
    <hyperlink ref="A535" r:id="rId460" display="PRN0014"/>
    <hyperlink ref="A536" r:id="rId461" display="PRN0015"/>
    <hyperlink ref="A537" r:id="rId462" display="PRN0016"/>
    <hyperlink ref="A538" r:id="rId463" display="PRN0017"/>
    <hyperlink ref="A539" r:id="rId464" display="PRN0018"/>
    <hyperlink ref="A540" r:id="rId465" display="PRN0019"/>
    <hyperlink ref="A541" r:id="rId466" display="PRN0020"/>
    <hyperlink ref="A542" r:id="rId467" display="PRN0021"/>
    <hyperlink ref="A543" r:id="rId468" display="PRN0022"/>
    <hyperlink ref="A552" r:id="rId469" display="FG00269"/>
    <hyperlink ref="A553" r:id="rId470" display="FG00335"/>
    <hyperlink ref="A554" r:id="rId471" display="FG00338"/>
    <hyperlink ref="A555" r:id="rId472" display="FG00373"/>
    <hyperlink ref="A556" r:id="rId473" display="RM00160"/>
  </hyperlinks>
  <pageMargins left="0.590551181102362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topLeftCell="C1" workbookViewId="0">
      <pane ySplit="1" topLeftCell="A91" activePane="bottomLeft" state="frozen"/>
      <selection/>
      <selection pane="bottomLeft" activeCell="I87" sqref="I87"/>
    </sheetView>
  </sheetViews>
  <sheetFormatPr defaultColWidth="9.81818181818182" defaultRowHeight="14.5"/>
  <cols>
    <col min="1" max="1" width="13.8636363636364" style="1" customWidth="1"/>
    <col min="2" max="2" width="4.72727272727273" style="1" customWidth="1"/>
    <col min="3" max="3" width="20.9090909090909" style="1" customWidth="1"/>
    <col min="4" max="4" width="8.90909090909091" style="1" customWidth="1"/>
    <col min="5" max="5" width="25.0909090909091" style="1" customWidth="1"/>
    <col min="6" max="6" width="7.81818181818182" style="1" customWidth="1"/>
    <col min="7" max="7" width="9.36363636363636" style="1" customWidth="1"/>
    <col min="8" max="8" width="13.4545454545455" style="1" customWidth="1"/>
    <col min="9" max="9" width="18.2727272727273" style="1" customWidth="1"/>
    <col min="10" max="10" width="18.4090909090909" style="1" customWidth="1"/>
    <col min="11" max="11" width="10.9181818181818" style="1" customWidth="1"/>
    <col min="12" max="12" width="10.9454545454545" style="1" customWidth="1"/>
    <col min="13" max="16384" width="9.81818181818182" style="1"/>
  </cols>
  <sheetData>
    <row r="1" spans="1:12">
      <c r="A1" s="2" t="s">
        <v>16</v>
      </c>
      <c r="B1" s="2" t="s">
        <v>20</v>
      </c>
      <c r="C1" s="2" t="s">
        <v>21</v>
      </c>
      <c r="D1" s="2" t="s">
        <v>1032</v>
      </c>
      <c r="E1" s="2" t="s">
        <v>23</v>
      </c>
      <c r="F1" s="2" t="s">
        <v>38</v>
      </c>
      <c r="G1" s="2" t="s">
        <v>39</v>
      </c>
      <c r="H1" s="2" t="s">
        <v>1033</v>
      </c>
      <c r="I1" s="2" t="s">
        <v>29</v>
      </c>
      <c r="J1" s="2" t="s">
        <v>1034</v>
      </c>
      <c r="K1" s="2" t="s">
        <v>1035</v>
      </c>
      <c r="L1" s="2" t="s">
        <v>47</v>
      </c>
    </row>
    <row r="2" spans="1:12">
      <c r="A2" s="3">
        <v>45995</v>
      </c>
      <c r="B2" s="4" t="s">
        <v>50</v>
      </c>
      <c r="C2" s="4" t="s">
        <v>1036</v>
      </c>
      <c r="D2" s="4" t="s">
        <v>5</v>
      </c>
      <c r="E2" s="4" t="s">
        <v>1037</v>
      </c>
      <c r="F2" s="4" t="s">
        <v>56</v>
      </c>
      <c r="G2" s="4" t="s">
        <v>57</v>
      </c>
      <c r="H2" s="5">
        <v>0.01</v>
      </c>
      <c r="I2" s="5">
        <f>H2</f>
        <v>0.01</v>
      </c>
      <c r="J2" s="4" t="s">
        <v>1038</v>
      </c>
      <c r="K2" s="3">
        <v>45995</v>
      </c>
      <c r="L2" s="6">
        <v>238969</v>
      </c>
    </row>
    <row r="3" spans="1:12">
      <c r="A3" s="3">
        <v>45995</v>
      </c>
      <c r="B3" s="4" t="s">
        <v>50</v>
      </c>
      <c r="C3" s="4" t="s">
        <v>1036</v>
      </c>
      <c r="D3" s="4" t="s">
        <v>5</v>
      </c>
      <c r="E3" s="4" t="s">
        <v>1037</v>
      </c>
      <c r="F3" s="4" t="s">
        <v>56</v>
      </c>
      <c r="G3" s="4" t="s">
        <v>57</v>
      </c>
      <c r="H3" s="5">
        <v>-4251.73</v>
      </c>
      <c r="I3" s="5">
        <f>H3+I2</f>
        <v>-4251.72</v>
      </c>
      <c r="J3" s="4" t="s">
        <v>1038</v>
      </c>
      <c r="K3" s="3">
        <v>45995</v>
      </c>
      <c r="L3" s="6">
        <v>238967</v>
      </c>
    </row>
    <row r="4" spans="1:12">
      <c r="A4" s="3">
        <v>45995</v>
      </c>
      <c r="B4" s="4" t="s">
        <v>50</v>
      </c>
      <c r="C4" s="4" t="s">
        <v>1036</v>
      </c>
      <c r="D4" s="4" t="s">
        <v>5</v>
      </c>
      <c r="E4" s="4" t="s">
        <v>1037</v>
      </c>
      <c r="F4" s="4" t="s">
        <v>56</v>
      </c>
      <c r="G4" s="4" t="s">
        <v>57</v>
      </c>
      <c r="H4" s="5">
        <v>-5560.83</v>
      </c>
      <c r="I4" s="5">
        <f t="shared" ref="I4:I35" si="0">H4+I3</f>
        <v>-9812.55</v>
      </c>
      <c r="J4" s="4" t="s">
        <v>1038</v>
      </c>
      <c r="K4" s="3">
        <v>45995</v>
      </c>
      <c r="L4" s="6">
        <v>238949</v>
      </c>
    </row>
    <row r="5" spans="1:12">
      <c r="A5" s="3">
        <v>45996</v>
      </c>
      <c r="B5" s="4" t="s">
        <v>50</v>
      </c>
      <c r="C5" s="4" t="s">
        <v>1039</v>
      </c>
      <c r="D5" s="4" t="s">
        <v>5</v>
      </c>
      <c r="E5" s="4" t="s">
        <v>1040</v>
      </c>
      <c r="F5" s="4" t="s">
        <v>56</v>
      </c>
      <c r="G5" s="4" t="s">
        <v>1041</v>
      </c>
      <c r="H5" s="5">
        <v>-403553.8</v>
      </c>
      <c r="I5" s="5">
        <f t="shared" si="0"/>
        <v>-413366.35</v>
      </c>
      <c r="J5" s="4" t="s">
        <v>1038</v>
      </c>
      <c r="K5" s="3">
        <v>45996</v>
      </c>
      <c r="L5" s="6">
        <v>239008</v>
      </c>
    </row>
    <row r="6" spans="1:12">
      <c r="A6" s="3">
        <v>46000</v>
      </c>
      <c r="B6" s="4" t="s">
        <v>50</v>
      </c>
      <c r="C6" s="4" t="s">
        <v>1042</v>
      </c>
      <c r="D6" s="4" t="s">
        <v>5</v>
      </c>
      <c r="E6" s="4" t="s">
        <v>1043</v>
      </c>
      <c r="F6" s="4" t="s">
        <v>56</v>
      </c>
      <c r="G6" s="4" t="s">
        <v>57</v>
      </c>
      <c r="H6" s="5">
        <v>40635</v>
      </c>
      <c r="I6" s="5">
        <f t="shared" si="0"/>
        <v>-372731.35</v>
      </c>
      <c r="J6" s="4" t="s">
        <v>1038</v>
      </c>
      <c r="K6" s="3">
        <v>46000</v>
      </c>
      <c r="L6" s="6">
        <v>239212</v>
      </c>
    </row>
    <row r="7" spans="1:12">
      <c r="A7" s="3">
        <v>46000</v>
      </c>
      <c r="B7" s="4" t="s">
        <v>50</v>
      </c>
      <c r="C7" s="4" t="s">
        <v>1042</v>
      </c>
      <c r="D7" s="4" t="s">
        <v>5</v>
      </c>
      <c r="E7" s="4" t="s">
        <v>1043</v>
      </c>
      <c r="F7" s="4" t="s">
        <v>56</v>
      </c>
      <c r="G7" s="4" t="s">
        <v>57</v>
      </c>
      <c r="H7" s="5">
        <v>185962.62</v>
      </c>
      <c r="I7" s="5">
        <f t="shared" si="0"/>
        <v>-186768.73</v>
      </c>
      <c r="J7" s="4" t="s">
        <v>1038</v>
      </c>
      <c r="K7" s="3">
        <v>46000</v>
      </c>
      <c r="L7" s="6">
        <v>239208</v>
      </c>
    </row>
    <row r="8" spans="1:12">
      <c r="A8" s="3">
        <v>46000</v>
      </c>
      <c r="B8" s="4" t="s">
        <v>50</v>
      </c>
      <c r="C8" s="4" t="s">
        <v>1042</v>
      </c>
      <c r="D8" s="4" t="s">
        <v>5</v>
      </c>
      <c r="E8" s="4" t="s">
        <v>1044</v>
      </c>
      <c r="F8" s="4" t="s">
        <v>56</v>
      </c>
      <c r="G8" s="4" t="s">
        <v>57</v>
      </c>
      <c r="H8" s="5">
        <v>4252.5</v>
      </c>
      <c r="I8" s="5">
        <f t="shared" si="0"/>
        <v>-182516.23</v>
      </c>
      <c r="J8" s="4" t="s">
        <v>1038</v>
      </c>
      <c r="K8" s="3">
        <v>46000</v>
      </c>
      <c r="L8" s="6">
        <v>239214</v>
      </c>
    </row>
    <row r="9" spans="1:12">
      <c r="A9" s="3">
        <v>46000</v>
      </c>
      <c r="B9" s="4" t="s">
        <v>50</v>
      </c>
      <c r="C9" s="4" t="s">
        <v>1042</v>
      </c>
      <c r="D9" s="4" t="s">
        <v>5</v>
      </c>
      <c r="E9" s="4" t="s">
        <v>1044</v>
      </c>
      <c r="F9" s="4" t="s">
        <v>56</v>
      </c>
      <c r="G9" s="4" t="s">
        <v>57</v>
      </c>
      <c r="H9" s="5">
        <v>-0.12</v>
      </c>
      <c r="I9" s="5">
        <f t="shared" si="0"/>
        <v>-182516.35</v>
      </c>
      <c r="J9" s="4" t="s">
        <v>1038</v>
      </c>
      <c r="K9" s="3">
        <v>46000</v>
      </c>
      <c r="L9" s="6">
        <v>239210</v>
      </c>
    </row>
    <row r="10" spans="1:12">
      <c r="A10" s="3">
        <v>46002</v>
      </c>
      <c r="B10" s="4" t="s">
        <v>50</v>
      </c>
      <c r="C10" s="4" t="s">
        <v>1045</v>
      </c>
      <c r="D10" s="4" t="s">
        <v>5</v>
      </c>
      <c r="E10" s="4" t="s">
        <v>1046</v>
      </c>
      <c r="F10" s="4" t="s">
        <v>56</v>
      </c>
      <c r="G10" s="4" t="s">
        <v>1041</v>
      </c>
      <c r="H10" s="5">
        <v>-4730.86</v>
      </c>
      <c r="I10" s="5">
        <f t="shared" si="0"/>
        <v>-187247.21</v>
      </c>
      <c r="J10" s="4" t="s">
        <v>1038</v>
      </c>
      <c r="K10" s="3">
        <v>46002</v>
      </c>
      <c r="L10" s="6">
        <v>239388</v>
      </c>
    </row>
    <row r="11" spans="1:12">
      <c r="A11" s="3">
        <v>46002</v>
      </c>
      <c r="B11" s="4" t="s">
        <v>50</v>
      </c>
      <c r="C11" s="4" t="s">
        <v>1045</v>
      </c>
      <c r="D11" s="4" t="s">
        <v>5</v>
      </c>
      <c r="E11" s="4" t="s">
        <v>1046</v>
      </c>
      <c r="F11" s="4" t="s">
        <v>56</v>
      </c>
      <c r="G11" s="4" t="s">
        <v>1041</v>
      </c>
      <c r="H11" s="5">
        <v>-67148.73</v>
      </c>
      <c r="I11" s="5">
        <f t="shared" si="0"/>
        <v>-254395.94</v>
      </c>
      <c r="J11" s="4" t="s">
        <v>1038</v>
      </c>
      <c r="K11" s="3">
        <v>46002</v>
      </c>
      <c r="L11" s="6">
        <v>239386</v>
      </c>
    </row>
    <row r="12" spans="1:12">
      <c r="A12" s="3">
        <v>46002</v>
      </c>
      <c r="B12" s="4" t="s">
        <v>50</v>
      </c>
      <c r="C12" s="4" t="s">
        <v>1047</v>
      </c>
      <c r="D12" s="4" t="s">
        <v>5</v>
      </c>
      <c r="E12" s="4" t="s">
        <v>1048</v>
      </c>
      <c r="F12" s="4" t="s">
        <v>56</v>
      </c>
      <c r="G12" s="4" t="s">
        <v>57</v>
      </c>
      <c r="H12" s="5">
        <v>-4506.75</v>
      </c>
      <c r="I12" s="5">
        <f t="shared" si="0"/>
        <v>-258902.69</v>
      </c>
      <c r="J12" s="4" t="s">
        <v>1038</v>
      </c>
      <c r="K12" s="3">
        <v>46002</v>
      </c>
      <c r="L12" s="6">
        <v>239588</v>
      </c>
    </row>
    <row r="13" spans="1:12">
      <c r="A13" s="3">
        <v>46002</v>
      </c>
      <c r="B13" s="4" t="s">
        <v>50</v>
      </c>
      <c r="C13" s="4" t="s">
        <v>1047</v>
      </c>
      <c r="D13" s="4" t="s">
        <v>5</v>
      </c>
      <c r="E13" s="4" t="s">
        <v>1048</v>
      </c>
      <c r="F13" s="4" t="s">
        <v>56</v>
      </c>
      <c r="G13" s="4" t="s">
        <v>57</v>
      </c>
      <c r="H13" s="5">
        <v>-35025</v>
      </c>
      <c r="I13" s="5">
        <f t="shared" si="0"/>
        <v>-293927.69</v>
      </c>
      <c r="J13" s="4" t="s">
        <v>1038</v>
      </c>
      <c r="K13" s="3">
        <v>46002</v>
      </c>
      <c r="L13" s="6">
        <v>239586</v>
      </c>
    </row>
    <row r="14" spans="1:12">
      <c r="A14" s="3">
        <v>46002</v>
      </c>
      <c r="B14" s="4" t="s">
        <v>50</v>
      </c>
      <c r="C14" s="4" t="s">
        <v>1049</v>
      </c>
      <c r="D14" s="4" t="s">
        <v>5</v>
      </c>
      <c r="E14" s="4" t="s">
        <v>1050</v>
      </c>
      <c r="F14" s="4" t="s">
        <v>56</v>
      </c>
      <c r="G14" s="4" t="s">
        <v>57</v>
      </c>
      <c r="H14" s="5">
        <v>-62820.1</v>
      </c>
      <c r="I14" s="5">
        <f t="shared" si="0"/>
        <v>-356747.79</v>
      </c>
      <c r="J14" s="4" t="s">
        <v>1038</v>
      </c>
      <c r="K14" s="3">
        <v>46002</v>
      </c>
      <c r="L14" s="6">
        <v>239438</v>
      </c>
    </row>
    <row r="15" spans="1:12">
      <c r="A15" s="3">
        <v>46002</v>
      </c>
      <c r="B15" s="4" t="s">
        <v>50</v>
      </c>
      <c r="C15" s="4" t="s">
        <v>1051</v>
      </c>
      <c r="D15" s="4" t="s">
        <v>5</v>
      </c>
      <c r="E15" s="4" t="s">
        <v>1052</v>
      </c>
      <c r="F15" s="4" t="s">
        <v>56</v>
      </c>
      <c r="G15" s="4" t="s">
        <v>57</v>
      </c>
      <c r="H15" s="5">
        <v>-65687.3</v>
      </c>
      <c r="I15" s="5">
        <f t="shared" si="0"/>
        <v>-422435.09</v>
      </c>
      <c r="J15" s="4" t="s">
        <v>1038</v>
      </c>
      <c r="K15" s="3">
        <v>46002</v>
      </c>
      <c r="L15" s="6">
        <v>239532</v>
      </c>
    </row>
    <row r="16" spans="1:12">
      <c r="A16" s="3">
        <v>46002</v>
      </c>
      <c r="B16" s="4" t="s">
        <v>50</v>
      </c>
      <c r="C16" s="4" t="s">
        <v>1053</v>
      </c>
      <c r="D16" s="4" t="s">
        <v>5</v>
      </c>
      <c r="E16" s="4" t="s">
        <v>1054</v>
      </c>
      <c r="F16" s="4" t="s">
        <v>56</v>
      </c>
      <c r="G16" s="4" t="s">
        <v>1041</v>
      </c>
      <c r="H16" s="5">
        <v>-355889.92</v>
      </c>
      <c r="I16" s="5">
        <f t="shared" si="0"/>
        <v>-778325.01</v>
      </c>
      <c r="J16" s="4" t="s">
        <v>1038</v>
      </c>
      <c r="K16" s="3">
        <v>46002</v>
      </c>
      <c r="L16" s="6">
        <v>239310</v>
      </c>
    </row>
    <row r="17" spans="1:12">
      <c r="A17" s="3">
        <v>46006</v>
      </c>
      <c r="B17" s="4" t="s">
        <v>50</v>
      </c>
      <c r="C17" s="4" t="s">
        <v>1055</v>
      </c>
      <c r="D17" s="4" t="s">
        <v>5</v>
      </c>
      <c r="E17" s="4" t="s">
        <v>1056</v>
      </c>
      <c r="F17" s="4" t="s">
        <v>56</v>
      </c>
      <c r="G17" s="4" t="s">
        <v>1041</v>
      </c>
      <c r="H17" s="5">
        <v>-994968.62</v>
      </c>
      <c r="I17" s="5">
        <f t="shared" si="0"/>
        <v>-1773293.63</v>
      </c>
      <c r="J17" s="4" t="s">
        <v>1038</v>
      </c>
      <c r="K17" s="3">
        <v>46006</v>
      </c>
      <c r="L17" s="6">
        <v>239726</v>
      </c>
    </row>
    <row r="18" spans="1:12">
      <c r="A18" s="3">
        <v>46006</v>
      </c>
      <c r="B18" s="4" t="s">
        <v>50</v>
      </c>
      <c r="C18" s="4" t="s">
        <v>1057</v>
      </c>
      <c r="D18" s="4" t="s">
        <v>5</v>
      </c>
      <c r="E18" s="4" t="s">
        <v>1058</v>
      </c>
      <c r="F18" s="4" t="s">
        <v>56</v>
      </c>
      <c r="G18" s="4" t="s">
        <v>1041</v>
      </c>
      <c r="H18" s="5">
        <v>-67824.83</v>
      </c>
      <c r="I18" s="5">
        <f t="shared" si="0"/>
        <v>-1841118.46</v>
      </c>
      <c r="J18" s="4" t="s">
        <v>1038</v>
      </c>
      <c r="K18" s="3">
        <v>46006</v>
      </c>
      <c r="L18" s="6">
        <v>239781</v>
      </c>
    </row>
    <row r="19" spans="1:12">
      <c r="A19" s="3">
        <v>46007</v>
      </c>
      <c r="B19" s="4" t="s">
        <v>50</v>
      </c>
      <c r="C19" s="4" t="s">
        <v>1059</v>
      </c>
      <c r="D19" s="4" t="s">
        <v>5</v>
      </c>
      <c r="E19" s="4" t="s">
        <v>1060</v>
      </c>
      <c r="F19" s="4" t="s">
        <v>56</v>
      </c>
      <c r="G19" s="4" t="s">
        <v>57</v>
      </c>
      <c r="H19" s="5">
        <v>-803.25</v>
      </c>
      <c r="I19" s="5">
        <f t="shared" si="0"/>
        <v>-1841921.71</v>
      </c>
      <c r="J19" s="4" t="s">
        <v>1038</v>
      </c>
      <c r="K19" s="3">
        <v>46007</v>
      </c>
      <c r="L19" s="6">
        <v>239927</v>
      </c>
    </row>
    <row r="20" spans="1:12">
      <c r="A20" s="3">
        <v>46007</v>
      </c>
      <c r="B20" s="4" t="s">
        <v>50</v>
      </c>
      <c r="C20" s="4" t="s">
        <v>1059</v>
      </c>
      <c r="D20" s="4" t="s">
        <v>5</v>
      </c>
      <c r="E20" s="4" t="s">
        <v>1060</v>
      </c>
      <c r="F20" s="4" t="s">
        <v>56</v>
      </c>
      <c r="G20" s="4" t="s">
        <v>57</v>
      </c>
      <c r="H20" s="5">
        <v>-10200</v>
      </c>
      <c r="I20" s="5">
        <f t="shared" si="0"/>
        <v>-1852121.71</v>
      </c>
      <c r="J20" s="4" t="s">
        <v>1038</v>
      </c>
      <c r="K20" s="3">
        <v>46007</v>
      </c>
      <c r="L20" s="6">
        <v>239925</v>
      </c>
    </row>
    <row r="21" spans="1:12">
      <c r="A21" s="3">
        <v>46007</v>
      </c>
      <c r="B21" s="4" t="s">
        <v>50</v>
      </c>
      <c r="C21" s="4" t="s">
        <v>1061</v>
      </c>
      <c r="D21" s="4" t="s">
        <v>5</v>
      </c>
      <c r="E21" s="4" t="s">
        <v>1062</v>
      </c>
      <c r="F21" s="4" t="s">
        <v>56</v>
      </c>
      <c r="G21" s="4" t="s">
        <v>57</v>
      </c>
      <c r="H21" s="5">
        <v>-9561.75</v>
      </c>
      <c r="I21" s="5">
        <f t="shared" si="0"/>
        <v>-1861683.46</v>
      </c>
      <c r="J21" s="4" t="s">
        <v>1038</v>
      </c>
      <c r="K21" s="3">
        <v>46007</v>
      </c>
      <c r="L21" s="6">
        <v>239977</v>
      </c>
    </row>
    <row r="22" spans="1:12">
      <c r="A22" s="3">
        <v>46007</v>
      </c>
      <c r="B22" s="4" t="s">
        <v>50</v>
      </c>
      <c r="C22" s="4" t="s">
        <v>1063</v>
      </c>
      <c r="D22" s="4" t="s">
        <v>5</v>
      </c>
      <c r="E22" s="4" t="s">
        <v>1064</v>
      </c>
      <c r="F22" s="4" t="s">
        <v>56</v>
      </c>
      <c r="G22" s="4" t="s">
        <v>57</v>
      </c>
      <c r="H22" s="5">
        <v>-0.01</v>
      </c>
      <c r="I22" s="5">
        <f t="shared" si="0"/>
        <v>-1861683.47</v>
      </c>
      <c r="J22" s="4" t="s">
        <v>1038</v>
      </c>
      <c r="K22" s="3">
        <v>46007</v>
      </c>
      <c r="L22" s="6">
        <v>240083</v>
      </c>
    </row>
    <row r="23" spans="1:12">
      <c r="A23" s="3">
        <v>46007</v>
      </c>
      <c r="B23" s="4" t="s">
        <v>50</v>
      </c>
      <c r="C23" s="4" t="s">
        <v>1063</v>
      </c>
      <c r="D23" s="4" t="s">
        <v>5</v>
      </c>
      <c r="E23" s="4" t="s">
        <v>1064</v>
      </c>
      <c r="F23" s="4" t="s">
        <v>56</v>
      </c>
      <c r="G23" s="4" t="s">
        <v>57</v>
      </c>
      <c r="H23" s="5">
        <v>-1002.25</v>
      </c>
      <c r="I23" s="5">
        <f t="shared" si="0"/>
        <v>-1862685.72</v>
      </c>
      <c r="J23" s="4" t="s">
        <v>1038</v>
      </c>
      <c r="K23" s="3">
        <v>46007</v>
      </c>
      <c r="L23" s="6">
        <v>240069</v>
      </c>
    </row>
    <row r="24" spans="1:12">
      <c r="A24" s="3">
        <v>46007</v>
      </c>
      <c r="B24" s="4" t="s">
        <v>50</v>
      </c>
      <c r="C24" s="4" t="s">
        <v>1063</v>
      </c>
      <c r="D24" s="4" t="s">
        <v>5</v>
      </c>
      <c r="E24" s="4" t="s">
        <v>1064</v>
      </c>
      <c r="F24" s="4" t="s">
        <v>56</v>
      </c>
      <c r="G24" s="4" t="s">
        <v>57</v>
      </c>
      <c r="H24" s="5">
        <v>-54055</v>
      </c>
      <c r="I24" s="5">
        <f t="shared" si="0"/>
        <v>-1916740.72</v>
      </c>
      <c r="J24" s="4" t="s">
        <v>1038</v>
      </c>
      <c r="K24" s="3">
        <v>46007</v>
      </c>
      <c r="L24" s="6">
        <v>240067</v>
      </c>
    </row>
    <row r="25" spans="1:12">
      <c r="A25" s="3">
        <v>46007</v>
      </c>
      <c r="B25" s="4" t="s">
        <v>50</v>
      </c>
      <c r="C25" s="4" t="s">
        <v>1065</v>
      </c>
      <c r="D25" s="4" t="s">
        <v>5</v>
      </c>
      <c r="E25" s="4" t="s">
        <v>1066</v>
      </c>
      <c r="F25" s="4" t="s">
        <v>56</v>
      </c>
      <c r="G25" s="4" t="s">
        <v>57</v>
      </c>
      <c r="H25" s="5">
        <v>-29128.9</v>
      </c>
      <c r="I25" s="5">
        <f t="shared" si="0"/>
        <v>-1945869.62</v>
      </c>
      <c r="J25" s="4" t="s">
        <v>1038</v>
      </c>
      <c r="K25" s="3">
        <v>46007</v>
      </c>
      <c r="L25" s="6">
        <v>240126</v>
      </c>
    </row>
    <row r="26" spans="1:12">
      <c r="A26" s="3">
        <v>46007</v>
      </c>
      <c r="B26" s="4" t="s">
        <v>50</v>
      </c>
      <c r="C26" s="4" t="s">
        <v>1067</v>
      </c>
      <c r="D26" s="4" t="s">
        <v>5</v>
      </c>
      <c r="E26" s="4" t="s">
        <v>1068</v>
      </c>
      <c r="F26" s="4" t="s">
        <v>56</v>
      </c>
      <c r="G26" s="4" t="s">
        <v>57</v>
      </c>
      <c r="H26" s="5">
        <v>-52811.93</v>
      </c>
      <c r="I26" s="5">
        <f t="shared" si="0"/>
        <v>-1998681.55</v>
      </c>
      <c r="J26" s="4" t="s">
        <v>1038</v>
      </c>
      <c r="K26" s="3">
        <v>46007</v>
      </c>
      <c r="L26" s="6">
        <v>240174</v>
      </c>
    </row>
    <row r="27" spans="1:12">
      <c r="A27" s="3">
        <v>46007</v>
      </c>
      <c r="B27" s="4" t="s">
        <v>50</v>
      </c>
      <c r="C27" s="4" t="s">
        <v>1069</v>
      </c>
      <c r="D27" s="4" t="s">
        <v>5</v>
      </c>
      <c r="E27" s="4" t="s">
        <v>1070</v>
      </c>
      <c r="F27" s="4" t="s">
        <v>56</v>
      </c>
      <c r="G27" s="4" t="s">
        <v>1041</v>
      </c>
      <c r="H27" s="5">
        <v>-256672.31</v>
      </c>
      <c r="I27" s="5">
        <f t="shared" si="0"/>
        <v>-2255353.86</v>
      </c>
      <c r="J27" s="4" t="s">
        <v>1038</v>
      </c>
      <c r="K27" s="3">
        <v>46007</v>
      </c>
      <c r="L27" s="6">
        <v>239857</v>
      </c>
    </row>
    <row r="28" spans="1:12">
      <c r="A28" s="3">
        <v>46007</v>
      </c>
      <c r="B28" s="4" t="s">
        <v>50</v>
      </c>
      <c r="C28" s="4" t="s">
        <v>1071</v>
      </c>
      <c r="D28" s="4" t="s">
        <v>5</v>
      </c>
      <c r="E28" s="4" t="s">
        <v>1072</v>
      </c>
      <c r="F28" s="4" t="s">
        <v>56</v>
      </c>
      <c r="G28" s="4" t="s">
        <v>1041</v>
      </c>
      <c r="H28" s="5">
        <v>-48978.65</v>
      </c>
      <c r="I28" s="5">
        <f t="shared" si="0"/>
        <v>-2304332.51</v>
      </c>
      <c r="J28" s="4" t="s">
        <v>1038</v>
      </c>
      <c r="K28" s="3">
        <v>46007</v>
      </c>
      <c r="L28" s="6">
        <v>240239</v>
      </c>
    </row>
    <row r="29" spans="1:12">
      <c r="A29" s="3">
        <v>46009</v>
      </c>
      <c r="B29" s="4" t="s">
        <v>50</v>
      </c>
      <c r="C29" s="4" t="s">
        <v>1073</v>
      </c>
      <c r="D29" s="4" t="s">
        <v>5</v>
      </c>
      <c r="E29" s="4" t="s">
        <v>1074</v>
      </c>
      <c r="F29" s="4" t="s">
        <v>56</v>
      </c>
      <c r="G29" s="4" t="s">
        <v>57</v>
      </c>
      <c r="H29" s="5">
        <v>-577.6</v>
      </c>
      <c r="I29" s="5">
        <f t="shared" si="0"/>
        <v>-2304910.11</v>
      </c>
      <c r="J29" s="4" t="s">
        <v>1038</v>
      </c>
      <c r="K29" s="3">
        <v>46009</v>
      </c>
      <c r="L29" s="6">
        <v>240411</v>
      </c>
    </row>
    <row r="30" spans="1:12">
      <c r="A30" s="3">
        <v>46009</v>
      </c>
      <c r="B30" s="4" t="s">
        <v>50</v>
      </c>
      <c r="C30" s="4" t="s">
        <v>1073</v>
      </c>
      <c r="D30" s="4" t="s">
        <v>5</v>
      </c>
      <c r="E30" s="4" t="s">
        <v>1074</v>
      </c>
      <c r="F30" s="4" t="s">
        <v>56</v>
      </c>
      <c r="G30" s="4" t="s">
        <v>57</v>
      </c>
      <c r="H30" s="5">
        <v>-3705</v>
      </c>
      <c r="I30" s="5">
        <f t="shared" si="0"/>
        <v>-2308615.11</v>
      </c>
      <c r="J30" s="4" t="s">
        <v>1038</v>
      </c>
      <c r="K30" s="3">
        <v>46009</v>
      </c>
      <c r="L30" s="6">
        <v>240409</v>
      </c>
    </row>
    <row r="31" spans="1:12">
      <c r="A31" s="3">
        <v>46009</v>
      </c>
      <c r="B31" s="4" t="s">
        <v>50</v>
      </c>
      <c r="C31" s="4" t="s">
        <v>1075</v>
      </c>
      <c r="D31" s="4" t="s">
        <v>5</v>
      </c>
      <c r="E31" s="4" t="s">
        <v>1076</v>
      </c>
      <c r="F31" s="4" t="s">
        <v>56</v>
      </c>
      <c r="G31" s="4" t="s">
        <v>57</v>
      </c>
      <c r="H31" s="5">
        <v>-1340.93</v>
      </c>
      <c r="I31" s="5">
        <f t="shared" si="0"/>
        <v>-2309956.04</v>
      </c>
      <c r="J31" s="4" t="s">
        <v>1038</v>
      </c>
      <c r="K31" s="3">
        <v>46009</v>
      </c>
      <c r="L31" s="6">
        <v>240369</v>
      </c>
    </row>
    <row r="32" spans="1:12">
      <c r="A32" s="3">
        <v>46009</v>
      </c>
      <c r="B32" s="4" t="s">
        <v>50</v>
      </c>
      <c r="C32" s="4" t="s">
        <v>1075</v>
      </c>
      <c r="D32" s="4" t="s">
        <v>5</v>
      </c>
      <c r="E32" s="4" t="s">
        <v>1076</v>
      </c>
      <c r="F32" s="4" t="s">
        <v>56</v>
      </c>
      <c r="G32" s="4" t="s">
        <v>57</v>
      </c>
      <c r="H32" s="5">
        <v>-2137.5</v>
      </c>
      <c r="I32" s="5">
        <f t="shared" si="0"/>
        <v>-2312093.54</v>
      </c>
      <c r="J32" s="4" t="s">
        <v>1038</v>
      </c>
      <c r="K32" s="3">
        <v>46009</v>
      </c>
      <c r="L32" s="6">
        <v>240367</v>
      </c>
    </row>
    <row r="33" spans="1:12">
      <c r="A33" s="3">
        <v>46010</v>
      </c>
      <c r="B33" s="4" t="s">
        <v>50</v>
      </c>
      <c r="C33" s="4" t="s">
        <v>1077</v>
      </c>
      <c r="D33" s="4" t="s">
        <v>5</v>
      </c>
      <c r="E33" s="4" t="s">
        <v>1078</v>
      </c>
      <c r="F33" s="4" t="s">
        <v>56</v>
      </c>
      <c r="G33" s="4" t="s">
        <v>1041</v>
      </c>
      <c r="H33" s="5">
        <v>2376845.16</v>
      </c>
      <c r="I33" s="5">
        <f t="shared" si="0"/>
        <v>64751.6200000001</v>
      </c>
      <c r="J33" s="4" t="s">
        <v>1038</v>
      </c>
      <c r="K33" s="3">
        <v>46010</v>
      </c>
      <c r="L33" s="6">
        <v>240671</v>
      </c>
    </row>
    <row r="34" spans="1:12">
      <c r="A34" s="3">
        <v>46010</v>
      </c>
      <c r="B34" s="4" t="s">
        <v>50</v>
      </c>
      <c r="C34" s="4" t="s">
        <v>1079</v>
      </c>
      <c r="D34" s="4" t="s">
        <v>5</v>
      </c>
      <c r="E34" s="4" t="s">
        <v>1080</v>
      </c>
      <c r="F34" s="4" t="s">
        <v>56</v>
      </c>
      <c r="G34" s="4" t="s">
        <v>1041</v>
      </c>
      <c r="H34" s="5">
        <v>1.15</v>
      </c>
      <c r="I34" s="5">
        <f t="shared" si="0"/>
        <v>64752.7700000001</v>
      </c>
      <c r="J34" s="4" t="s">
        <v>1038</v>
      </c>
      <c r="K34" s="3">
        <v>46010</v>
      </c>
      <c r="L34" s="6">
        <v>241028</v>
      </c>
    </row>
    <row r="35" spans="1:12">
      <c r="A35" s="3">
        <v>46010</v>
      </c>
      <c r="B35" s="4" t="s">
        <v>50</v>
      </c>
      <c r="C35" s="4" t="s">
        <v>1079</v>
      </c>
      <c r="D35" s="4" t="s">
        <v>5</v>
      </c>
      <c r="E35" s="4" t="s">
        <v>1080</v>
      </c>
      <c r="F35" s="4" t="s">
        <v>56</v>
      </c>
      <c r="G35" s="4" t="s">
        <v>1041</v>
      </c>
      <c r="H35" s="5">
        <v>-124991.77</v>
      </c>
      <c r="I35" s="5">
        <f t="shared" si="0"/>
        <v>-60238.9999999999</v>
      </c>
      <c r="J35" s="4" t="s">
        <v>1038</v>
      </c>
      <c r="K35" s="3">
        <v>46010</v>
      </c>
      <c r="L35" s="6">
        <v>241024</v>
      </c>
    </row>
    <row r="36" spans="1:12">
      <c r="A36" s="3">
        <v>46010</v>
      </c>
      <c r="B36" s="4" t="s">
        <v>50</v>
      </c>
      <c r="C36" s="4" t="s">
        <v>1077</v>
      </c>
      <c r="D36" s="4" t="s">
        <v>5</v>
      </c>
      <c r="E36" s="4" t="s">
        <v>1081</v>
      </c>
      <c r="F36" s="4" t="s">
        <v>56</v>
      </c>
      <c r="G36" s="4" t="s">
        <v>1041</v>
      </c>
      <c r="H36" s="5">
        <v>0.01</v>
      </c>
      <c r="I36" s="5">
        <f t="shared" ref="I36:I67" si="1">H36+I35</f>
        <v>-60238.9899999999</v>
      </c>
      <c r="J36" s="4" t="s">
        <v>1038</v>
      </c>
      <c r="K36" s="3">
        <v>46010</v>
      </c>
      <c r="L36" s="6">
        <v>244111</v>
      </c>
    </row>
    <row r="37" spans="1:12">
      <c r="A37" s="3">
        <v>46010</v>
      </c>
      <c r="B37" s="4" t="s">
        <v>50</v>
      </c>
      <c r="C37" s="4" t="s">
        <v>1077</v>
      </c>
      <c r="D37" s="4" t="s">
        <v>5</v>
      </c>
      <c r="E37" s="4" t="s">
        <v>1082</v>
      </c>
      <c r="F37" s="4" t="s">
        <v>56</v>
      </c>
      <c r="G37" s="4" t="s">
        <v>1041</v>
      </c>
      <c r="H37" s="5">
        <v>691939.72</v>
      </c>
      <c r="I37" s="5">
        <f t="shared" si="1"/>
        <v>631700.73</v>
      </c>
      <c r="J37" s="4" t="s">
        <v>1038</v>
      </c>
      <c r="K37" s="3">
        <v>46010</v>
      </c>
      <c r="L37" s="6">
        <v>240673</v>
      </c>
    </row>
    <row r="38" spans="1:12">
      <c r="A38" s="3">
        <v>46012</v>
      </c>
      <c r="B38" s="4" t="s">
        <v>50</v>
      </c>
      <c r="C38" s="4" t="s">
        <v>1083</v>
      </c>
      <c r="D38" s="4" t="s">
        <v>5</v>
      </c>
      <c r="E38" s="4" t="s">
        <v>1084</v>
      </c>
      <c r="F38" s="4" t="s">
        <v>56</v>
      </c>
      <c r="G38" s="4" t="s">
        <v>1041</v>
      </c>
      <c r="H38" s="5">
        <v>-2043627.37</v>
      </c>
      <c r="I38" s="5">
        <f t="shared" si="1"/>
        <v>-1411926.64</v>
      </c>
      <c r="J38" s="4" t="s">
        <v>1038</v>
      </c>
      <c r="K38" s="3">
        <v>46012</v>
      </c>
      <c r="L38" s="6">
        <v>243409</v>
      </c>
    </row>
    <row r="39" spans="1:12">
      <c r="A39" s="3">
        <v>46012</v>
      </c>
      <c r="B39" s="4" t="s">
        <v>50</v>
      </c>
      <c r="C39" s="4" t="s">
        <v>1085</v>
      </c>
      <c r="D39" s="4" t="s">
        <v>5</v>
      </c>
      <c r="E39" s="4" t="s">
        <v>1084</v>
      </c>
      <c r="F39" s="4" t="s">
        <v>56</v>
      </c>
      <c r="G39" s="4" t="s">
        <v>1041</v>
      </c>
      <c r="H39" s="5">
        <v>6041540.79</v>
      </c>
      <c r="I39" s="5">
        <f t="shared" si="1"/>
        <v>4629614.15</v>
      </c>
      <c r="J39" s="4" t="s">
        <v>1038</v>
      </c>
      <c r="K39" s="3">
        <v>46012</v>
      </c>
      <c r="L39" s="6">
        <v>242492</v>
      </c>
    </row>
    <row r="40" spans="1:12">
      <c r="A40" s="3">
        <v>46012</v>
      </c>
      <c r="B40" s="4" t="s">
        <v>50</v>
      </c>
      <c r="C40" s="4" t="s">
        <v>1086</v>
      </c>
      <c r="D40" s="4" t="s">
        <v>5</v>
      </c>
      <c r="E40" s="4" t="s">
        <v>1087</v>
      </c>
      <c r="F40" s="4" t="s">
        <v>56</v>
      </c>
      <c r="G40" s="4" t="s">
        <v>57</v>
      </c>
      <c r="H40" s="5">
        <v>3936.6</v>
      </c>
      <c r="I40" s="5">
        <f t="shared" si="1"/>
        <v>4633550.75</v>
      </c>
      <c r="J40" s="4" t="s">
        <v>1038</v>
      </c>
      <c r="K40" s="3">
        <v>46012</v>
      </c>
      <c r="L40" s="6">
        <v>243957</v>
      </c>
    </row>
    <row r="41" spans="1:12">
      <c r="A41" s="3">
        <v>46012</v>
      </c>
      <c r="B41" s="4" t="s">
        <v>50</v>
      </c>
      <c r="C41" s="4" t="s">
        <v>1086</v>
      </c>
      <c r="D41" s="4" t="s">
        <v>5</v>
      </c>
      <c r="E41" s="4" t="s">
        <v>1087</v>
      </c>
      <c r="F41" s="4" t="s">
        <v>56</v>
      </c>
      <c r="G41" s="4" t="s">
        <v>57</v>
      </c>
      <c r="H41" s="5">
        <v>3757.67</v>
      </c>
      <c r="I41" s="5">
        <f t="shared" si="1"/>
        <v>4637308.42</v>
      </c>
      <c r="J41" s="4" t="s">
        <v>1038</v>
      </c>
      <c r="K41" s="3">
        <v>46012</v>
      </c>
      <c r="L41" s="6">
        <v>243953</v>
      </c>
    </row>
    <row r="42" spans="1:12">
      <c r="A42" s="3">
        <v>46012</v>
      </c>
      <c r="B42" s="4" t="s">
        <v>50</v>
      </c>
      <c r="C42" s="4" t="s">
        <v>1086</v>
      </c>
      <c r="D42" s="4" t="s">
        <v>5</v>
      </c>
      <c r="E42" s="4" t="s">
        <v>1087</v>
      </c>
      <c r="F42" s="4" t="s">
        <v>56</v>
      </c>
      <c r="G42" s="4" t="s">
        <v>57</v>
      </c>
      <c r="H42" s="5">
        <v>806.52</v>
      </c>
      <c r="I42" s="5">
        <f t="shared" si="1"/>
        <v>4638114.94</v>
      </c>
      <c r="J42" s="4" t="s">
        <v>1038</v>
      </c>
      <c r="K42" s="3">
        <v>46012</v>
      </c>
      <c r="L42" s="6">
        <v>243949</v>
      </c>
    </row>
    <row r="43" spans="1:12">
      <c r="A43" s="3">
        <v>46012</v>
      </c>
      <c r="B43" s="4" t="s">
        <v>50</v>
      </c>
      <c r="C43" s="4" t="s">
        <v>1085</v>
      </c>
      <c r="D43" s="4" t="s">
        <v>5</v>
      </c>
      <c r="E43" s="4" t="s">
        <v>1088</v>
      </c>
      <c r="F43" s="4" t="s">
        <v>56</v>
      </c>
      <c r="G43" s="4" t="s">
        <v>1041</v>
      </c>
      <c r="H43" s="5">
        <v>952111.25</v>
      </c>
      <c r="I43" s="5">
        <f t="shared" si="1"/>
        <v>5590226.19</v>
      </c>
      <c r="J43" s="4" t="s">
        <v>1038</v>
      </c>
      <c r="K43" s="3">
        <v>46012</v>
      </c>
      <c r="L43" s="6">
        <v>242494</v>
      </c>
    </row>
    <row r="44" spans="1:12">
      <c r="A44" s="3">
        <v>46012</v>
      </c>
      <c r="B44" s="4" t="s">
        <v>50</v>
      </c>
      <c r="C44" s="4" t="s">
        <v>1086</v>
      </c>
      <c r="D44" s="4" t="s">
        <v>5</v>
      </c>
      <c r="E44" s="4" t="s">
        <v>1089</v>
      </c>
      <c r="F44" s="4" t="s">
        <v>56</v>
      </c>
      <c r="G44" s="4" t="s">
        <v>57</v>
      </c>
      <c r="H44" s="5">
        <v>1013.4</v>
      </c>
      <c r="I44" s="5">
        <f t="shared" si="1"/>
        <v>5591239.59</v>
      </c>
      <c r="J44" s="4" t="s">
        <v>1038</v>
      </c>
      <c r="K44" s="3">
        <v>46012</v>
      </c>
      <c r="L44" s="6">
        <v>243959</v>
      </c>
    </row>
    <row r="45" spans="1:12">
      <c r="A45" s="3">
        <v>46012</v>
      </c>
      <c r="B45" s="4" t="s">
        <v>50</v>
      </c>
      <c r="C45" s="4" t="s">
        <v>1086</v>
      </c>
      <c r="D45" s="4" t="s">
        <v>5</v>
      </c>
      <c r="E45" s="4" t="s">
        <v>1089</v>
      </c>
      <c r="F45" s="4" t="s">
        <v>56</v>
      </c>
      <c r="G45" s="4" t="s">
        <v>57</v>
      </c>
      <c r="H45" s="5">
        <v>967.33</v>
      </c>
      <c r="I45" s="5">
        <f t="shared" si="1"/>
        <v>5592206.92</v>
      </c>
      <c r="J45" s="4" t="s">
        <v>1038</v>
      </c>
      <c r="K45" s="3">
        <v>46012</v>
      </c>
      <c r="L45" s="6">
        <v>243955</v>
      </c>
    </row>
    <row r="46" spans="1:12">
      <c r="A46" s="3">
        <v>46012</v>
      </c>
      <c r="B46" s="4" t="s">
        <v>50</v>
      </c>
      <c r="C46" s="4" t="s">
        <v>1086</v>
      </c>
      <c r="D46" s="4" t="s">
        <v>5</v>
      </c>
      <c r="E46" s="4" t="s">
        <v>1089</v>
      </c>
      <c r="F46" s="4" t="s">
        <v>56</v>
      </c>
      <c r="G46" s="4" t="s">
        <v>57</v>
      </c>
      <c r="H46" s="5">
        <v>768.48</v>
      </c>
      <c r="I46" s="5">
        <f t="shared" si="1"/>
        <v>5592975.4</v>
      </c>
      <c r="J46" s="4" t="s">
        <v>1038</v>
      </c>
      <c r="K46" s="3">
        <v>46012</v>
      </c>
      <c r="L46" s="6">
        <v>243951</v>
      </c>
    </row>
    <row r="47" spans="1:12">
      <c r="A47" s="3">
        <v>46013</v>
      </c>
      <c r="B47" s="4" t="s">
        <v>50</v>
      </c>
      <c r="C47" s="4" t="s">
        <v>1090</v>
      </c>
      <c r="D47" s="4" t="s">
        <v>5</v>
      </c>
      <c r="E47" s="4" t="s">
        <v>1091</v>
      </c>
      <c r="F47" s="4" t="s">
        <v>56</v>
      </c>
      <c r="G47" s="4" t="s">
        <v>1041</v>
      </c>
      <c r="H47" s="5">
        <v>4.14</v>
      </c>
      <c r="I47" s="5">
        <f t="shared" si="1"/>
        <v>5592979.54</v>
      </c>
      <c r="J47" s="4" t="s">
        <v>1038</v>
      </c>
      <c r="K47" s="3">
        <v>46013</v>
      </c>
      <c r="L47" s="6">
        <v>241241</v>
      </c>
    </row>
    <row r="48" spans="1:12">
      <c r="A48" s="3">
        <v>46013</v>
      </c>
      <c r="B48" s="4" t="s">
        <v>50</v>
      </c>
      <c r="C48" s="4" t="s">
        <v>1090</v>
      </c>
      <c r="D48" s="4" t="s">
        <v>5</v>
      </c>
      <c r="E48" s="4" t="s">
        <v>1091</v>
      </c>
      <c r="F48" s="4" t="s">
        <v>56</v>
      </c>
      <c r="G48" s="4" t="s">
        <v>1041</v>
      </c>
      <c r="H48" s="5">
        <v>-451135.62</v>
      </c>
      <c r="I48" s="5">
        <f t="shared" si="1"/>
        <v>5141843.92</v>
      </c>
      <c r="J48" s="4" t="s">
        <v>1038</v>
      </c>
      <c r="K48" s="3">
        <v>46013</v>
      </c>
      <c r="L48" s="6">
        <v>241237</v>
      </c>
    </row>
    <row r="49" spans="1:12">
      <c r="A49" s="3">
        <v>46014</v>
      </c>
      <c r="B49" s="4" t="s">
        <v>50</v>
      </c>
      <c r="C49" s="4" t="s">
        <v>1092</v>
      </c>
      <c r="D49" s="4" t="s">
        <v>5</v>
      </c>
      <c r="E49" s="4" t="s">
        <v>1093</v>
      </c>
      <c r="F49" s="4" t="s">
        <v>56</v>
      </c>
      <c r="G49" s="4" t="s">
        <v>1041</v>
      </c>
      <c r="H49" s="5">
        <v>2597.39</v>
      </c>
      <c r="I49" s="5">
        <f t="shared" si="1"/>
        <v>5144441.31</v>
      </c>
      <c r="J49" s="4" t="s">
        <v>1038</v>
      </c>
      <c r="K49" s="3">
        <v>46014</v>
      </c>
      <c r="L49" s="6">
        <v>244915</v>
      </c>
    </row>
    <row r="50" spans="1:12">
      <c r="A50" s="3">
        <v>46014</v>
      </c>
      <c r="B50" s="4" t="s">
        <v>50</v>
      </c>
      <c r="C50" s="4" t="s">
        <v>1094</v>
      </c>
      <c r="D50" s="4" t="s">
        <v>5</v>
      </c>
      <c r="E50" s="4" t="s">
        <v>1095</v>
      </c>
      <c r="F50" s="4" t="s">
        <v>56</v>
      </c>
      <c r="G50" s="4" t="s">
        <v>1041</v>
      </c>
      <c r="H50" s="5">
        <v>7.64</v>
      </c>
      <c r="I50" s="5">
        <f t="shared" si="1"/>
        <v>5144448.95</v>
      </c>
      <c r="J50" s="4" t="s">
        <v>1038</v>
      </c>
      <c r="K50" s="3">
        <v>46014</v>
      </c>
      <c r="L50" s="6">
        <v>240800</v>
      </c>
    </row>
    <row r="51" spans="1:12">
      <c r="A51" s="3">
        <v>46014</v>
      </c>
      <c r="B51" s="4" t="s">
        <v>50</v>
      </c>
      <c r="C51" s="4" t="s">
        <v>1094</v>
      </c>
      <c r="D51" s="4" t="s">
        <v>5</v>
      </c>
      <c r="E51" s="4" t="s">
        <v>1095</v>
      </c>
      <c r="F51" s="4" t="s">
        <v>56</v>
      </c>
      <c r="G51" s="4" t="s">
        <v>1041</v>
      </c>
      <c r="H51" s="5">
        <v>-834075.1</v>
      </c>
      <c r="I51" s="5">
        <f t="shared" si="1"/>
        <v>4310373.85</v>
      </c>
      <c r="J51" s="4" t="s">
        <v>1038</v>
      </c>
      <c r="K51" s="3">
        <v>46014</v>
      </c>
      <c r="L51" s="6">
        <v>240798</v>
      </c>
    </row>
    <row r="52" spans="1:12">
      <c r="A52" s="3">
        <v>46014</v>
      </c>
      <c r="B52" s="4" t="s">
        <v>50</v>
      </c>
      <c r="C52" s="4" t="s">
        <v>1096</v>
      </c>
      <c r="D52" s="4" t="s">
        <v>5</v>
      </c>
      <c r="E52" s="4" t="s">
        <v>1097</v>
      </c>
      <c r="F52" s="4" t="s">
        <v>56</v>
      </c>
      <c r="G52" s="4" t="s">
        <v>1041</v>
      </c>
      <c r="H52" s="5">
        <v>-127398.78</v>
      </c>
      <c r="I52" s="5">
        <f t="shared" si="1"/>
        <v>4182975.07</v>
      </c>
      <c r="J52" s="4" t="s">
        <v>1038</v>
      </c>
      <c r="K52" s="3">
        <v>46014</v>
      </c>
      <c r="L52" s="6">
        <v>240784</v>
      </c>
    </row>
    <row r="53" spans="1:12">
      <c r="A53" s="3">
        <v>46014</v>
      </c>
      <c r="B53" s="4" t="s">
        <v>50</v>
      </c>
      <c r="C53" s="4" t="s">
        <v>1092</v>
      </c>
      <c r="D53" s="4" t="s">
        <v>5</v>
      </c>
      <c r="E53" s="4" t="s">
        <v>1098</v>
      </c>
      <c r="F53" s="4" t="s">
        <v>56</v>
      </c>
      <c r="G53" s="4" t="s">
        <v>1041</v>
      </c>
      <c r="H53" s="5">
        <v>-2597.39</v>
      </c>
      <c r="I53" s="5">
        <f t="shared" si="1"/>
        <v>4180377.68</v>
      </c>
      <c r="J53" s="4" t="s">
        <v>1038</v>
      </c>
      <c r="K53" s="3">
        <v>46014</v>
      </c>
      <c r="L53" s="6">
        <v>244917</v>
      </c>
    </row>
    <row r="54" spans="1:12">
      <c r="A54" s="3">
        <v>46015</v>
      </c>
      <c r="B54" s="4" t="s">
        <v>50</v>
      </c>
      <c r="C54" s="4" t="s">
        <v>1099</v>
      </c>
      <c r="D54" s="4" t="s">
        <v>5</v>
      </c>
      <c r="E54" s="4" t="s">
        <v>1100</v>
      </c>
      <c r="F54" s="4" t="s">
        <v>56</v>
      </c>
      <c r="G54" s="4" t="s">
        <v>1041</v>
      </c>
      <c r="H54" s="5">
        <v>-927833.72</v>
      </c>
      <c r="I54" s="5">
        <f t="shared" si="1"/>
        <v>3252543.96</v>
      </c>
      <c r="J54" s="4" t="s">
        <v>1038</v>
      </c>
      <c r="K54" s="3">
        <v>46015</v>
      </c>
      <c r="L54" s="6">
        <v>241420</v>
      </c>
    </row>
    <row r="55" spans="1:12">
      <c r="A55" s="3">
        <v>46015</v>
      </c>
      <c r="B55" s="4" t="s">
        <v>50</v>
      </c>
      <c r="C55" s="4" t="s">
        <v>1101</v>
      </c>
      <c r="D55" s="4" t="s">
        <v>5</v>
      </c>
      <c r="E55" s="4" t="s">
        <v>1102</v>
      </c>
      <c r="F55" s="4" t="s">
        <v>56</v>
      </c>
      <c r="G55" s="4" t="s">
        <v>1041</v>
      </c>
      <c r="H55" s="5">
        <v>0.72</v>
      </c>
      <c r="I55" s="5">
        <f t="shared" si="1"/>
        <v>3252544.68</v>
      </c>
      <c r="J55" s="4" t="s">
        <v>1038</v>
      </c>
      <c r="K55" s="3">
        <v>46015</v>
      </c>
      <c r="L55" s="6">
        <v>241331</v>
      </c>
    </row>
    <row r="56" spans="1:12">
      <c r="A56" s="3">
        <v>46015</v>
      </c>
      <c r="B56" s="4" t="s">
        <v>50</v>
      </c>
      <c r="C56" s="4" t="s">
        <v>1101</v>
      </c>
      <c r="D56" s="4" t="s">
        <v>5</v>
      </c>
      <c r="E56" s="4" t="s">
        <v>1102</v>
      </c>
      <c r="F56" s="4" t="s">
        <v>56</v>
      </c>
      <c r="G56" s="4" t="s">
        <v>1041</v>
      </c>
      <c r="H56" s="5">
        <v>-78726.94</v>
      </c>
      <c r="I56" s="5">
        <f t="shared" si="1"/>
        <v>3173817.74</v>
      </c>
      <c r="J56" s="4" t="s">
        <v>1038</v>
      </c>
      <c r="K56" s="3">
        <v>46015</v>
      </c>
      <c r="L56" s="6">
        <v>241329</v>
      </c>
    </row>
    <row r="57" spans="1:12">
      <c r="A57" s="3">
        <v>46015</v>
      </c>
      <c r="B57" s="4" t="s">
        <v>50</v>
      </c>
      <c r="C57" s="4" t="s">
        <v>1103</v>
      </c>
      <c r="D57" s="4" t="s">
        <v>5</v>
      </c>
      <c r="E57" s="4" t="s">
        <v>1104</v>
      </c>
      <c r="F57" s="4" t="s">
        <v>56</v>
      </c>
      <c r="G57" s="4" t="s">
        <v>1041</v>
      </c>
      <c r="H57" s="5">
        <v>-75276.05</v>
      </c>
      <c r="I57" s="5">
        <f t="shared" si="1"/>
        <v>3098541.69</v>
      </c>
      <c r="J57" s="4" t="s">
        <v>1038</v>
      </c>
      <c r="K57" s="3">
        <v>46015</v>
      </c>
      <c r="L57" s="6">
        <v>241516</v>
      </c>
    </row>
    <row r="58" spans="1:12">
      <c r="A58" s="3">
        <v>46015</v>
      </c>
      <c r="B58" s="4" t="s">
        <v>50</v>
      </c>
      <c r="C58" s="4" t="s">
        <v>1105</v>
      </c>
      <c r="D58" s="4" t="s">
        <v>5</v>
      </c>
      <c r="E58" s="4" t="s">
        <v>1106</v>
      </c>
      <c r="F58" s="4" t="s">
        <v>56</v>
      </c>
      <c r="G58" s="4" t="s">
        <v>1041</v>
      </c>
      <c r="H58" s="5">
        <v>2.19</v>
      </c>
      <c r="I58" s="5">
        <f t="shared" si="1"/>
        <v>3098543.88</v>
      </c>
      <c r="J58" s="4" t="s">
        <v>1038</v>
      </c>
      <c r="K58" s="3">
        <v>46015</v>
      </c>
      <c r="L58" s="6">
        <v>241124</v>
      </c>
    </row>
    <row r="59" spans="1:12">
      <c r="A59" s="3">
        <v>46015</v>
      </c>
      <c r="B59" s="4" t="s">
        <v>50</v>
      </c>
      <c r="C59" s="4" t="s">
        <v>1105</v>
      </c>
      <c r="D59" s="4" t="s">
        <v>5</v>
      </c>
      <c r="E59" s="4" t="s">
        <v>1106</v>
      </c>
      <c r="F59" s="4" t="s">
        <v>56</v>
      </c>
      <c r="G59" s="4" t="s">
        <v>1041</v>
      </c>
      <c r="H59" s="5">
        <v>-239398.72</v>
      </c>
      <c r="I59" s="5">
        <f t="shared" si="1"/>
        <v>2859145.16</v>
      </c>
      <c r="J59" s="4" t="s">
        <v>1038</v>
      </c>
      <c r="K59" s="3">
        <v>46015</v>
      </c>
      <c r="L59" s="6">
        <v>241122</v>
      </c>
    </row>
    <row r="60" spans="1:12">
      <c r="A60" s="3">
        <v>46015</v>
      </c>
      <c r="B60" s="4" t="s">
        <v>50</v>
      </c>
      <c r="C60" s="4" t="s">
        <v>1107</v>
      </c>
      <c r="D60" s="4" t="s">
        <v>5</v>
      </c>
      <c r="E60" s="4" t="s">
        <v>1108</v>
      </c>
      <c r="F60" s="4" t="s">
        <v>56</v>
      </c>
      <c r="G60" s="4" t="s">
        <v>1041</v>
      </c>
      <c r="H60" s="5">
        <v>4.37</v>
      </c>
      <c r="I60" s="5">
        <f t="shared" si="1"/>
        <v>2859149.53</v>
      </c>
      <c r="J60" s="4" t="s">
        <v>1038</v>
      </c>
      <c r="K60" s="3">
        <v>46015</v>
      </c>
      <c r="L60" s="6">
        <v>240923</v>
      </c>
    </row>
    <row r="61" spans="1:12">
      <c r="A61" s="3">
        <v>46015</v>
      </c>
      <c r="B61" s="4" t="s">
        <v>50</v>
      </c>
      <c r="C61" s="4" t="s">
        <v>1107</v>
      </c>
      <c r="D61" s="4" t="s">
        <v>5</v>
      </c>
      <c r="E61" s="4" t="s">
        <v>1108</v>
      </c>
      <c r="F61" s="4" t="s">
        <v>56</v>
      </c>
      <c r="G61" s="4" t="s">
        <v>1041</v>
      </c>
      <c r="H61" s="5">
        <v>-476886.58</v>
      </c>
      <c r="I61" s="5">
        <f t="shared" si="1"/>
        <v>2382262.95</v>
      </c>
      <c r="J61" s="4" t="s">
        <v>1038</v>
      </c>
      <c r="K61" s="3">
        <v>46015</v>
      </c>
      <c r="L61" s="6">
        <v>240921</v>
      </c>
    </row>
    <row r="62" spans="1:12">
      <c r="A62" s="3">
        <v>46020</v>
      </c>
      <c r="B62" s="4" t="s">
        <v>50</v>
      </c>
      <c r="C62" s="4" t="s">
        <v>1109</v>
      </c>
      <c r="D62" s="4" t="s">
        <v>5</v>
      </c>
      <c r="E62" s="4" t="s">
        <v>1110</v>
      </c>
      <c r="F62" s="4" t="s">
        <v>56</v>
      </c>
      <c r="G62" s="4" t="s">
        <v>57</v>
      </c>
      <c r="H62" s="5">
        <v>-15057.5</v>
      </c>
      <c r="I62" s="5">
        <f t="shared" si="1"/>
        <v>2367205.45</v>
      </c>
      <c r="J62" s="4" t="s">
        <v>1038</v>
      </c>
      <c r="K62" s="3">
        <v>46020</v>
      </c>
      <c r="L62" s="6">
        <v>241890</v>
      </c>
    </row>
    <row r="63" spans="1:12">
      <c r="A63" s="3">
        <v>46020</v>
      </c>
      <c r="B63" s="4" t="s">
        <v>50</v>
      </c>
      <c r="C63" s="4" t="s">
        <v>1109</v>
      </c>
      <c r="D63" s="4" t="s">
        <v>5</v>
      </c>
      <c r="E63" s="4" t="s">
        <v>1110</v>
      </c>
      <c r="F63" s="4" t="s">
        <v>56</v>
      </c>
      <c r="G63" s="4" t="s">
        <v>57</v>
      </c>
      <c r="H63" s="5">
        <v>-1695.75</v>
      </c>
      <c r="I63" s="5">
        <f t="shared" si="1"/>
        <v>2365509.7</v>
      </c>
      <c r="J63" s="4" t="s">
        <v>1038</v>
      </c>
      <c r="K63" s="3">
        <v>46020</v>
      </c>
      <c r="L63" s="6">
        <v>241868</v>
      </c>
    </row>
    <row r="64" spans="1:12">
      <c r="A64" s="3">
        <v>46020</v>
      </c>
      <c r="B64" s="4" t="s">
        <v>50</v>
      </c>
      <c r="C64" s="4" t="s">
        <v>1111</v>
      </c>
      <c r="D64" s="4" t="s">
        <v>5</v>
      </c>
      <c r="E64" s="4" t="s">
        <v>1112</v>
      </c>
      <c r="F64" s="4" t="s">
        <v>56</v>
      </c>
      <c r="G64" s="4" t="s">
        <v>57</v>
      </c>
      <c r="H64" s="5">
        <v>-1575</v>
      </c>
      <c r="I64" s="5">
        <f t="shared" si="1"/>
        <v>2363934.7</v>
      </c>
      <c r="J64" s="4" t="s">
        <v>1038</v>
      </c>
      <c r="K64" s="3">
        <v>46020</v>
      </c>
      <c r="L64" s="6">
        <v>241830</v>
      </c>
    </row>
    <row r="65" spans="1:12">
      <c r="A65" s="3">
        <v>46020</v>
      </c>
      <c r="B65" s="4" t="s">
        <v>50</v>
      </c>
      <c r="C65" s="4" t="s">
        <v>1111</v>
      </c>
      <c r="D65" s="4" t="s">
        <v>5</v>
      </c>
      <c r="E65" s="4" t="s">
        <v>1112</v>
      </c>
      <c r="F65" s="4" t="s">
        <v>56</v>
      </c>
      <c r="G65" s="4" t="s">
        <v>57</v>
      </c>
      <c r="H65" s="5">
        <v>-17900.25</v>
      </c>
      <c r="I65" s="5">
        <f t="shared" si="1"/>
        <v>2346034.45</v>
      </c>
      <c r="J65" s="4" t="s">
        <v>1038</v>
      </c>
      <c r="K65" s="3">
        <v>46020</v>
      </c>
      <c r="L65" s="6">
        <v>241828</v>
      </c>
    </row>
    <row r="66" spans="1:12">
      <c r="A66" s="3">
        <v>46020</v>
      </c>
      <c r="B66" s="4" t="s">
        <v>50</v>
      </c>
      <c r="C66" s="4" t="s">
        <v>1113</v>
      </c>
      <c r="D66" s="4" t="s">
        <v>5</v>
      </c>
      <c r="E66" s="4" t="s">
        <v>1114</v>
      </c>
      <c r="F66" s="4" t="s">
        <v>56</v>
      </c>
      <c r="G66" s="4" t="s">
        <v>1041</v>
      </c>
      <c r="H66" s="5">
        <v>-775792.08</v>
      </c>
      <c r="I66" s="5">
        <f t="shared" si="1"/>
        <v>1570242.37</v>
      </c>
      <c r="J66" s="4" t="s">
        <v>1038</v>
      </c>
      <c r="K66" s="3">
        <v>46020</v>
      </c>
      <c r="L66" s="6">
        <v>241774</v>
      </c>
    </row>
    <row r="67" spans="1:12">
      <c r="A67" s="3">
        <v>46021</v>
      </c>
      <c r="B67" s="4" t="s">
        <v>50</v>
      </c>
      <c r="C67" s="4" t="s">
        <v>1115</v>
      </c>
      <c r="D67" s="4" t="s">
        <v>5</v>
      </c>
      <c r="E67" s="4" t="s">
        <v>1116</v>
      </c>
      <c r="F67" s="4" t="s">
        <v>56</v>
      </c>
      <c r="G67" s="4" t="s">
        <v>57</v>
      </c>
      <c r="H67" s="5">
        <v>-12917.25</v>
      </c>
      <c r="I67" s="5">
        <f t="shared" si="1"/>
        <v>1557325.12</v>
      </c>
      <c r="J67" s="4" t="s">
        <v>1038</v>
      </c>
      <c r="K67" s="3">
        <v>46021</v>
      </c>
      <c r="L67" s="6">
        <v>242236</v>
      </c>
    </row>
    <row r="68" spans="1:12">
      <c r="A68" s="3">
        <v>46021</v>
      </c>
      <c r="B68" s="4" t="s">
        <v>50</v>
      </c>
      <c r="C68" s="4" t="s">
        <v>1117</v>
      </c>
      <c r="D68" s="4" t="s">
        <v>5</v>
      </c>
      <c r="E68" s="4" t="s">
        <v>1118</v>
      </c>
      <c r="F68" s="4" t="s">
        <v>56</v>
      </c>
      <c r="G68" s="4" t="s">
        <v>1041</v>
      </c>
      <c r="H68" s="5">
        <v>1.08</v>
      </c>
      <c r="I68" s="5">
        <f t="shared" ref="I68:I99" si="2">H68+I67</f>
        <v>1557326.2</v>
      </c>
      <c r="J68" s="4" t="s">
        <v>1038</v>
      </c>
      <c r="K68" s="3">
        <v>46021</v>
      </c>
      <c r="L68" s="6">
        <v>243573</v>
      </c>
    </row>
    <row r="69" spans="1:12">
      <c r="A69" s="3">
        <v>46021</v>
      </c>
      <c r="B69" s="4" t="s">
        <v>50</v>
      </c>
      <c r="C69" s="4" t="s">
        <v>1117</v>
      </c>
      <c r="D69" s="4" t="s">
        <v>5</v>
      </c>
      <c r="E69" s="4" t="s">
        <v>1118</v>
      </c>
      <c r="F69" s="4" t="s">
        <v>56</v>
      </c>
      <c r="G69" s="4" t="s">
        <v>1041</v>
      </c>
      <c r="H69" s="5">
        <v>-118717.4</v>
      </c>
      <c r="I69" s="5">
        <f t="shared" si="2"/>
        <v>1438608.8</v>
      </c>
      <c r="J69" s="4" t="s">
        <v>1038</v>
      </c>
      <c r="K69" s="3">
        <v>46021</v>
      </c>
      <c r="L69" s="6">
        <v>243571</v>
      </c>
    </row>
    <row r="70" spans="1:12">
      <c r="A70" s="3">
        <v>46021</v>
      </c>
      <c r="B70" s="4" t="s">
        <v>50</v>
      </c>
      <c r="C70" s="4" t="s">
        <v>1119</v>
      </c>
      <c r="D70" s="4" t="s">
        <v>5</v>
      </c>
      <c r="E70" s="4" t="s">
        <v>1120</v>
      </c>
      <c r="F70" s="4" t="s">
        <v>56</v>
      </c>
      <c r="G70" s="4" t="s">
        <v>57</v>
      </c>
      <c r="H70" s="5">
        <v>-2790.63</v>
      </c>
      <c r="I70" s="5">
        <f t="shared" si="2"/>
        <v>1435818.17</v>
      </c>
      <c r="J70" s="4" t="s">
        <v>1038</v>
      </c>
      <c r="K70" s="3">
        <v>46021</v>
      </c>
      <c r="L70" s="6">
        <v>242306</v>
      </c>
    </row>
    <row r="71" spans="1:12">
      <c r="A71" s="3">
        <v>46021</v>
      </c>
      <c r="B71" s="4" t="s">
        <v>50</v>
      </c>
      <c r="C71" s="4" t="s">
        <v>1119</v>
      </c>
      <c r="D71" s="4" t="s">
        <v>5</v>
      </c>
      <c r="E71" s="4" t="s">
        <v>1120</v>
      </c>
      <c r="F71" s="4" t="s">
        <v>56</v>
      </c>
      <c r="G71" s="4" t="s">
        <v>57</v>
      </c>
      <c r="H71" s="5">
        <v>-31160</v>
      </c>
      <c r="I71" s="5">
        <f t="shared" si="2"/>
        <v>1404658.17</v>
      </c>
      <c r="J71" s="4" t="s">
        <v>1038</v>
      </c>
      <c r="K71" s="3">
        <v>46021</v>
      </c>
      <c r="L71" s="6">
        <v>242304</v>
      </c>
    </row>
    <row r="72" spans="1:12">
      <c r="A72" s="3">
        <v>46021</v>
      </c>
      <c r="B72" s="4" t="s">
        <v>50</v>
      </c>
      <c r="C72" s="4" t="s">
        <v>1121</v>
      </c>
      <c r="D72" s="4" t="s">
        <v>5</v>
      </c>
      <c r="E72" s="4" t="s">
        <v>1122</v>
      </c>
      <c r="F72" s="4" t="s">
        <v>56</v>
      </c>
      <c r="G72" s="4" t="s">
        <v>57</v>
      </c>
      <c r="H72" s="5">
        <v>-673.08</v>
      </c>
      <c r="I72" s="5">
        <f t="shared" si="2"/>
        <v>1403985.09</v>
      </c>
      <c r="J72" s="4" t="s">
        <v>1038</v>
      </c>
      <c r="K72" s="3">
        <v>46021</v>
      </c>
      <c r="L72" s="6">
        <v>242366</v>
      </c>
    </row>
    <row r="73" spans="1:12">
      <c r="A73" s="3">
        <v>46021</v>
      </c>
      <c r="B73" s="4" t="s">
        <v>50</v>
      </c>
      <c r="C73" s="4" t="s">
        <v>1121</v>
      </c>
      <c r="D73" s="4" t="s">
        <v>5</v>
      </c>
      <c r="E73" s="4" t="s">
        <v>1122</v>
      </c>
      <c r="F73" s="4" t="s">
        <v>56</v>
      </c>
      <c r="G73" s="4" t="s">
        <v>57</v>
      </c>
      <c r="H73" s="5">
        <v>-12112.5</v>
      </c>
      <c r="I73" s="5">
        <f t="shared" si="2"/>
        <v>1391872.59</v>
      </c>
      <c r="J73" s="4" t="s">
        <v>1038</v>
      </c>
      <c r="K73" s="3">
        <v>46021</v>
      </c>
      <c r="L73" s="6">
        <v>242364</v>
      </c>
    </row>
    <row r="74" spans="1:12">
      <c r="A74" s="3">
        <v>46021</v>
      </c>
      <c r="B74" s="4" t="s">
        <v>50</v>
      </c>
      <c r="C74" s="4" t="s">
        <v>1123</v>
      </c>
      <c r="D74" s="4" t="s">
        <v>5</v>
      </c>
      <c r="E74" s="4" t="s">
        <v>1124</v>
      </c>
      <c r="F74" s="4" t="s">
        <v>56</v>
      </c>
      <c r="G74" s="4" t="s">
        <v>57</v>
      </c>
      <c r="H74" s="5">
        <v>-2545.9</v>
      </c>
      <c r="I74" s="5">
        <f t="shared" si="2"/>
        <v>1389326.69</v>
      </c>
      <c r="J74" s="4" t="s">
        <v>1038</v>
      </c>
      <c r="K74" s="3">
        <v>46021</v>
      </c>
      <c r="L74" s="6">
        <v>242444</v>
      </c>
    </row>
    <row r="75" spans="1:12">
      <c r="A75" s="3">
        <v>46021</v>
      </c>
      <c r="B75" s="4" t="s">
        <v>50</v>
      </c>
      <c r="C75" s="4" t="s">
        <v>1123</v>
      </c>
      <c r="D75" s="4" t="s">
        <v>5</v>
      </c>
      <c r="E75" s="4" t="s">
        <v>1124</v>
      </c>
      <c r="F75" s="4" t="s">
        <v>56</v>
      </c>
      <c r="G75" s="4" t="s">
        <v>57</v>
      </c>
      <c r="H75" s="5">
        <v>-26950</v>
      </c>
      <c r="I75" s="5">
        <f t="shared" si="2"/>
        <v>1362376.69</v>
      </c>
      <c r="J75" s="4" t="s">
        <v>1038</v>
      </c>
      <c r="K75" s="3">
        <v>46021</v>
      </c>
      <c r="L75" s="6">
        <v>242442</v>
      </c>
    </row>
    <row r="76" spans="1:12">
      <c r="A76" s="3">
        <v>46021</v>
      </c>
      <c r="B76" s="4" t="s">
        <v>50</v>
      </c>
      <c r="C76" s="4" t="s">
        <v>1125</v>
      </c>
      <c r="D76" s="4" t="s">
        <v>5</v>
      </c>
      <c r="E76" s="4" t="s">
        <v>1126</v>
      </c>
      <c r="F76" s="4" t="s">
        <v>56</v>
      </c>
      <c r="G76" s="4" t="s">
        <v>57</v>
      </c>
      <c r="H76" s="5">
        <v>-4270.5</v>
      </c>
      <c r="I76" s="5">
        <f t="shared" si="2"/>
        <v>1358106.19</v>
      </c>
      <c r="J76" s="4" t="s">
        <v>1038</v>
      </c>
      <c r="K76" s="3">
        <v>46021</v>
      </c>
      <c r="L76" s="6">
        <v>242259</v>
      </c>
    </row>
    <row r="77" spans="1:12">
      <c r="A77" s="3">
        <v>46021</v>
      </c>
      <c r="B77" s="4" t="s">
        <v>50</v>
      </c>
      <c r="C77" s="4" t="s">
        <v>1127</v>
      </c>
      <c r="D77" s="4" t="s">
        <v>5</v>
      </c>
      <c r="E77" s="4" t="s">
        <v>1128</v>
      </c>
      <c r="F77" s="4" t="s">
        <v>56</v>
      </c>
      <c r="G77" s="4" t="s">
        <v>1041</v>
      </c>
      <c r="H77" s="5">
        <v>-3641.8</v>
      </c>
      <c r="I77" s="5">
        <f t="shared" si="2"/>
        <v>1354464.39</v>
      </c>
      <c r="J77" s="4" t="s">
        <v>1038</v>
      </c>
      <c r="K77" s="3">
        <v>46021</v>
      </c>
      <c r="L77" s="6">
        <v>242188</v>
      </c>
    </row>
    <row r="78" spans="1:12">
      <c r="A78" s="3">
        <v>46021</v>
      </c>
      <c r="B78" s="4" t="s">
        <v>50</v>
      </c>
      <c r="C78" s="4" t="s">
        <v>1129</v>
      </c>
      <c r="D78" s="4" t="s">
        <v>5</v>
      </c>
      <c r="E78" s="4" t="s">
        <v>1130</v>
      </c>
      <c r="F78" s="4" t="s">
        <v>56</v>
      </c>
      <c r="G78" s="4" t="s">
        <v>1041</v>
      </c>
      <c r="H78" s="5">
        <v>-295406.27</v>
      </c>
      <c r="I78" s="5">
        <f t="shared" si="2"/>
        <v>1059058.12</v>
      </c>
      <c r="J78" s="4" t="s">
        <v>1038</v>
      </c>
      <c r="K78" s="3">
        <v>46021</v>
      </c>
      <c r="L78" s="6">
        <v>242037</v>
      </c>
    </row>
    <row r="79" spans="1:12">
      <c r="A79" s="3">
        <v>46021</v>
      </c>
      <c r="B79" s="4" t="s">
        <v>50</v>
      </c>
      <c r="C79" s="4" t="s">
        <v>1131</v>
      </c>
      <c r="D79" s="4" t="s">
        <v>5</v>
      </c>
      <c r="E79" s="4" t="s">
        <v>1132</v>
      </c>
      <c r="F79" s="4" t="s">
        <v>56</v>
      </c>
      <c r="G79" s="4" t="s">
        <v>1041</v>
      </c>
      <c r="H79" s="5">
        <v>1.08</v>
      </c>
      <c r="I79" s="5">
        <f t="shared" si="2"/>
        <v>1059059.2</v>
      </c>
      <c r="J79" s="4" t="s">
        <v>1038</v>
      </c>
      <c r="K79" s="3">
        <v>46021</v>
      </c>
      <c r="L79" s="6">
        <v>243407</v>
      </c>
    </row>
    <row r="80" spans="1:12">
      <c r="A80" s="3">
        <v>46021</v>
      </c>
      <c r="B80" s="4" t="s">
        <v>50</v>
      </c>
      <c r="C80" s="4" t="s">
        <v>1131</v>
      </c>
      <c r="D80" s="4" t="s">
        <v>5</v>
      </c>
      <c r="E80" s="4" t="s">
        <v>1132</v>
      </c>
      <c r="F80" s="4" t="s">
        <v>56</v>
      </c>
      <c r="G80" s="4" t="s">
        <v>1041</v>
      </c>
      <c r="H80" s="5">
        <v>-118825.75</v>
      </c>
      <c r="I80" s="5">
        <f t="shared" si="2"/>
        <v>940233.45</v>
      </c>
      <c r="J80" s="4" t="s">
        <v>1038</v>
      </c>
      <c r="K80" s="3">
        <v>46021</v>
      </c>
      <c r="L80" s="6">
        <v>243405</v>
      </c>
    </row>
    <row r="81" spans="1:12">
      <c r="A81" s="3">
        <v>46021</v>
      </c>
      <c r="B81" s="4" t="s">
        <v>50</v>
      </c>
      <c r="C81" s="4" t="s">
        <v>1133</v>
      </c>
      <c r="D81" s="4" t="s">
        <v>5</v>
      </c>
      <c r="E81" s="4" t="s">
        <v>1134</v>
      </c>
      <c r="F81" s="4" t="s">
        <v>56</v>
      </c>
      <c r="G81" s="4" t="s">
        <v>1041</v>
      </c>
      <c r="H81" s="5">
        <v>0.66</v>
      </c>
      <c r="I81" s="5">
        <f t="shared" si="2"/>
        <v>940234.11</v>
      </c>
      <c r="J81" s="4" t="s">
        <v>1038</v>
      </c>
      <c r="K81" s="3">
        <v>46021</v>
      </c>
      <c r="L81" s="6">
        <v>243535</v>
      </c>
    </row>
    <row r="82" spans="1:12">
      <c r="A82" s="3">
        <v>46021</v>
      </c>
      <c r="B82" s="4" t="s">
        <v>50</v>
      </c>
      <c r="C82" s="4" t="s">
        <v>1133</v>
      </c>
      <c r="D82" s="4" t="s">
        <v>5</v>
      </c>
      <c r="E82" s="4" t="s">
        <v>1134</v>
      </c>
      <c r="F82" s="4" t="s">
        <v>56</v>
      </c>
      <c r="G82" s="4" t="s">
        <v>1041</v>
      </c>
      <c r="H82" s="5">
        <v>-72560.94</v>
      </c>
      <c r="I82" s="5">
        <f t="shared" si="2"/>
        <v>867673.17</v>
      </c>
      <c r="J82" s="4" t="s">
        <v>1038</v>
      </c>
      <c r="K82" s="3">
        <v>46021</v>
      </c>
      <c r="L82" s="6">
        <v>243533</v>
      </c>
    </row>
    <row r="83" spans="1:12">
      <c r="A83" s="3">
        <v>46021</v>
      </c>
      <c r="B83" s="4" t="s">
        <v>50</v>
      </c>
      <c r="C83" s="4" t="s">
        <v>1135</v>
      </c>
      <c r="D83" s="4" t="s">
        <v>5</v>
      </c>
      <c r="E83" s="4" t="s">
        <v>1136</v>
      </c>
      <c r="F83" s="4" t="s">
        <v>56</v>
      </c>
      <c r="G83" s="4" t="s">
        <v>1041</v>
      </c>
      <c r="H83" s="5">
        <v>1.33</v>
      </c>
      <c r="I83" s="5">
        <f t="shared" si="2"/>
        <v>867674.5</v>
      </c>
      <c r="J83" s="4" t="s">
        <v>1038</v>
      </c>
      <c r="K83" s="3">
        <v>46021</v>
      </c>
      <c r="L83" s="6">
        <v>243271</v>
      </c>
    </row>
    <row r="84" spans="1:12">
      <c r="A84" s="3">
        <v>46021</v>
      </c>
      <c r="B84" s="4" t="s">
        <v>50</v>
      </c>
      <c r="C84" s="4" t="s">
        <v>1135</v>
      </c>
      <c r="D84" s="4" t="s">
        <v>5</v>
      </c>
      <c r="E84" s="4" t="s">
        <v>1136</v>
      </c>
      <c r="F84" s="4" t="s">
        <v>56</v>
      </c>
      <c r="G84" s="4" t="s">
        <v>1041</v>
      </c>
      <c r="H84" s="5">
        <v>-145232.49</v>
      </c>
      <c r="I84" s="5">
        <f t="shared" si="2"/>
        <v>722442.01</v>
      </c>
      <c r="J84" s="4" t="s">
        <v>1038</v>
      </c>
      <c r="K84" s="3">
        <v>46021</v>
      </c>
      <c r="L84" s="6">
        <v>243269</v>
      </c>
    </row>
    <row r="85" spans="1:12">
      <c r="A85" s="3">
        <v>46021</v>
      </c>
      <c r="B85" s="4" t="s">
        <v>50</v>
      </c>
      <c r="C85" s="4" t="s">
        <v>1137</v>
      </c>
      <c r="D85" s="4" t="s">
        <v>5</v>
      </c>
      <c r="E85" s="4" t="s">
        <v>1138</v>
      </c>
      <c r="F85" s="4" t="s">
        <v>56</v>
      </c>
      <c r="G85" s="4" t="s">
        <v>1041</v>
      </c>
      <c r="H85" s="5">
        <v>0.98</v>
      </c>
      <c r="I85" s="5">
        <f t="shared" si="2"/>
        <v>722442.99</v>
      </c>
      <c r="J85" s="4" t="s">
        <v>1038</v>
      </c>
      <c r="K85" s="3">
        <v>46021</v>
      </c>
      <c r="L85" s="6">
        <v>243365</v>
      </c>
    </row>
    <row r="86" spans="1:12">
      <c r="A86" s="3">
        <v>46021</v>
      </c>
      <c r="B86" s="4" t="s">
        <v>50</v>
      </c>
      <c r="C86" s="4" t="s">
        <v>1137</v>
      </c>
      <c r="D86" s="4" t="s">
        <v>5</v>
      </c>
      <c r="E86" s="4" t="s">
        <v>1138</v>
      </c>
      <c r="F86" s="4" t="s">
        <v>56</v>
      </c>
      <c r="G86" s="4" t="s">
        <v>1041</v>
      </c>
      <c r="H86" s="5">
        <v>-107096.46</v>
      </c>
      <c r="I86" s="5">
        <f t="shared" si="2"/>
        <v>615346.53</v>
      </c>
      <c r="J86" s="4" t="s">
        <v>1038</v>
      </c>
      <c r="K86" s="3">
        <v>46021</v>
      </c>
      <c r="L86" s="6">
        <v>243363</v>
      </c>
    </row>
    <row r="87" spans="1:12">
      <c r="A87" s="3">
        <v>46021</v>
      </c>
      <c r="B87" s="4" t="s">
        <v>50</v>
      </c>
      <c r="C87" s="4" t="s">
        <v>1139</v>
      </c>
      <c r="D87" s="4" t="s">
        <v>5</v>
      </c>
      <c r="E87" s="4" t="s">
        <v>1140</v>
      </c>
      <c r="F87" s="4" t="s">
        <v>56</v>
      </c>
      <c r="G87" s="4" t="s">
        <v>1041</v>
      </c>
      <c r="H87" s="5">
        <v>1.29</v>
      </c>
      <c r="I87" s="5">
        <f t="shared" si="2"/>
        <v>615347.82</v>
      </c>
      <c r="J87" s="4" t="s">
        <v>1038</v>
      </c>
      <c r="K87" s="3">
        <v>46021</v>
      </c>
      <c r="L87" s="6">
        <v>243603</v>
      </c>
    </row>
    <row r="88" spans="1:12">
      <c r="A88" s="3">
        <v>46021</v>
      </c>
      <c r="B88" s="4" t="s">
        <v>50</v>
      </c>
      <c r="C88" s="4" t="s">
        <v>1139</v>
      </c>
      <c r="D88" s="4" t="s">
        <v>5</v>
      </c>
      <c r="E88" s="4" t="s">
        <v>1140</v>
      </c>
      <c r="F88" s="4" t="s">
        <v>56</v>
      </c>
      <c r="G88" s="4" t="s">
        <v>1041</v>
      </c>
      <c r="H88" s="5">
        <v>-140867.86</v>
      </c>
      <c r="I88" s="5">
        <f t="shared" si="2"/>
        <v>474479.96</v>
      </c>
      <c r="J88" s="4" t="s">
        <v>1038</v>
      </c>
      <c r="K88" s="3">
        <v>46021</v>
      </c>
      <c r="L88" s="6">
        <v>243601</v>
      </c>
    </row>
    <row r="89" spans="1:12">
      <c r="A89" s="3">
        <v>46022</v>
      </c>
      <c r="B89" s="4" t="s">
        <v>50</v>
      </c>
      <c r="C89" s="4" t="s">
        <v>1141</v>
      </c>
      <c r="D89" s="4" t="s">
        <v>5</v>
      </c>
      <c r="E89" s="4" t="s">
        <v>1142</v>
      </c>
      <c r="F89" s="4" t="s">
        <v>56</v>
      </c>
      <c r="G89" s="4" t="s">
        <v>57</v>
      </c>
      <c r="H89" s="5">
        <v>3396</v>
      </c>
      <c r="I89" s="5">
        <f t="shared" si="2"/>
        <v>477875.96</v>
      </c>
      <c r="J89" s="4" t="s">
        <v>1038</v>
      </c>
      <c r="K89" s="3">
        <v>46022</v>
      </c>
      <c r="L89" s="6">
        <v>243866</v>
      </c>
    </row>
    <row r="90" spans="1:12">
      <c r="A90" s="3">
        <v>46022</v>
      </c>
      <c r="B90" s="4" t="s">
        <v>50</v>
      </c>
      <c r="C90" s="4" t="s">
        <v>1141</v>
      </c>
      <c r="D90" s="4" t="s">
        <v>5</v>
      </c>
      <c r="E90" s="4" t="s">
        <v>1142</v>
      </c>
      <c r="F90" s="4" t="s">
        <v>56</v>
      </c>
      <c r="G90" s="4" t="s">
        <v>1041</v>
      </c>
      <c r="H90" s="5">
        <v>26352.04</v>
      </c>
      <c r="I90" s="5">
        <f t="shared" si="2"/>
        <v>504228</v>
      </c>
      <c r="J90" s="4" t="s">
        <v>1038</v>
      </c>
      <c r="K90" s="3">
        <v>46022</v>
      </c>
      <c r="L90" s="6">
        <v>243830</v>
      </c>
    </row>
    <row r="91" spans="1:12">
      <c r="A91" s="3">
        <v>46022</v>
      </c>
      <c r="B91" s="4" t="s">
        <v>50</v>
      </c>
      <c r="C91" s="4" t="s">
        <v>1141</v>
      </c>
      <c r="D91" s="4" t="s">
        <v>5</v>
      </c>
      <c r="E91" s="4" t="s">
        <v>1142</v>
      </c>
      <c r="F91" s="4" t="s">
        <v>56</v>
      </c>
      <c r="G91" s="4" t="s">
        <v>57</v>
      </c>
      <c r="H91" s="5">
        <v>-1433.25</v>
      </c>
      <c r="I91" s="5">
        <f t="shared" si="2"/>
        <v>502794.75</v>
      </c>
      <c r="J91" s="4" t="s">
        <v>1038</v>
      </c>
      <c r="K91" s="3">
        <v>46022</v>
      </c>
      <c r="L91" s="6">
        <v>243820</v>
      </c>
    </row>
    <row r="92" spans="1:12">
      <c r="A92" s="3">
        <v>46022</v>
      </c>
      <c r="B92" s="4" t="s">
        <v>50</v>
      </c>
      <c r="C92" s="4" t="s">
        <v>1141</v>
      </c>
      <c r="D92" s="4" t="s">
        <v>5</v>
      </c>
      <c r="E92" s="4" t="s">
        <v>1142</v>
      </c>
      <c r="F92" s="4" t="s">
        <v>56</v>
      </c>
      <c r="G92" s="4" t="s">
        <v>57</v>
      </c>
      <c r="H92" s="5">
        <v>2473.33</v>
      </c>
      <c r="I92" s="5">
        <f t="shared" si="2"/>
        <v>505268.08</v>
      </c>
      <c r="J92" s="4" t="s">
        <v>1038</v>
      </c>
      <c r="K92" s="3">
        <v>46022</v>
      </c>
      <c r="L92" s="6">
        <v>243818</v>
      </c>
    </row>
    <row r="93" spans="1:12">
      <c r="A93" s="3">
        <v>46022</v>
      </c>
      <c r="B93" s="4" t="s">
        <v>50</v>
      </c>
      <c r="C93" s="4" t="s">
        <v>1141</v>
      </c>
      <c r="D93" s="4" t="s">
        <v>5</v>
      </c>
      <c r="E93" s="4" t="s">
        <v>1142</v>
      </c>
      <c r="F93" s="4" t="s">
        <v>56</v>
      </c>
      <c r="G93" s="4" t="s">
        <v>57</v>
      </c>
      <c r="H93" s="5">
        <v>1596</v>
      </c>
      <c r="I93" s="5">
        <f t="shared" si="2"/>
        <v>506864.08</v>
      </c>
      <c r="J93" s="4" t="s">
        <v>1038</v>
      </c>
      <c r="K93" s="3">
        <v>46022</v>
      </c>
      <c r="L93" s="6">
        <v>243758</v>
      </c>
    </row>
    <row r="94" spans="1:12">
      <c r="A94" s="3">
        <v>46022</v>
      </c>
      <c r="B94" s="4" t="s">
        <v>50</v>
      </c>
      <c r="C94" s="4" t="s">
        <v>1141</v>
      </c>
      <c r="D94" s="4" t="s">
        <v>5</v>
      </c>
      <c r="E94" s="4" t="s">
        <v>1142</v>
      </c>
      <c r="F94" s="4" t="s">
        <v>56</v>
      </c>
      <c r="G94" s="4" t="s">
        <v>57</v>
      </c>
      <c r="H94" s="5">
        <v>98.8</v>
      </c>
      <c r="I94" s="5">
        <f t="shared" si="2"/>
        <v>506962.88</v>
      </c>
      <c r="J94" s="4" t="s">
        <v>1038</v>
      </c>
      <c r="K94" s="3">
        <v>46022</v>
      </c>
      <c r="L94" s="6">
        <v>243756</v>
      </c>
    </row>
    <row r="95" spans="1:12">
      <c r="A95" s="3">
        <v>46022</v>
      </c>
      <c r="B95" s="4" t="s">
        <v>50</v>
      </c>
      <c r="C95" s="4" t="s">
        <v>1141</v>
      </c>
      <c r="D95" s="4" t="s">
        <v>5</v>
      </c>
      <c r="E95" s="4" t="s">
        <v>1142</v>
      </c>
      <c r="F95" s="4" t="s">
        <v>56</v>
      </c>
      <c r="G95" s="4" t="s">
        <v>57</v>
      </c>
      <c r="H95" s="5">
        <v>1275.85</v>
      </c>
      <c r="I95" s="5">
        <f t="shared" si="2"/>
        <v>508238.73</v>
      </c>
      <c r="J95" s="4" t="s">
        <v>1038</v>
      </c>
      <c r="K95" s="3">
        <v>46022</v>
      </c>
      <c r="L95" s="6">
        <v>243754</v>
      </c>
    </row>
    <row r="96" spans="1:12">
      <c r="A96" s="3">
        <v>46022</v>
      </c>
      <c r="B96" s="4" t="s">
        <v>50</v>
      </c>
      <c r="C96" s="4" t="s">
        <v>1141</v>
      </c>
      <c r="D96" s="4" t="s">
        <v>5</v>
      </c>
      <c r="E96" s="4" t="s">
        <v>1142</v>
      </c>
      <c r="F96" s="4" t="s">
        <v>56</v>
      </c>
      <c r="G96" s="4" t="s">
        <v>57</v>
      </c>
      <c r="H96" s="5">
        <v>-742.43</v>
      </c>
      <c r="I96" s="5">
        <f t="shared" si="2"/>
        <v>507496.3</v>
      </c>
      <c r="J96" s="4" t="s">
        <v>1038</v>
      </c>
      <c r="K96" s="3">
        <v>46022</v>
      </c>
      <c r="L96" s="6">
        <v>243752</v>
      </c>
    </row>
    <row r="97" spans="1:12">
      <c r="A97" s="3">
        <v>46022</v>
      </c>
      <c r="B97" s="4" t="s">
        <v>50</v>
      </c>
      <c r="C97" s="4" t="s">
        <v>1141</v>
      </c>
      <c r="D97" s="4" t="s">
        <v>5</v>
      </c>
      <c r="E97" s="4" t="s">
        <v>1142</v>
      </c>
      <c r="F97" s="4" t="s">
        <v>56</v>
      </c>
      <c r="G97" s="4" t="s">
        <v>57</v>
      </c>
      <c r="H97" s="5">
        <v>303.53</v>
      </c>
      <c r="I97" s="5">
        <f t="shared" si="2"/>
        <v>507799.83</v>
      </c>
      <c r="J97" s="4" t="s">
        <v>1038</v>
      </c>
      <c r="K97" s="3">
        <v>46022</v>
      </c>
      <c r="L97" s="6">
        <v>243750</v>
      </c>
    </row>
    <row r="98" spans="1:12">
      <c r="A98" s="3">
        <v>46022</v>
      </c>
      <c r="B98" s="4" t="s">
        <v>50</v>
      </c>
      <c r="C98" s="4" t="s">
        <v>1141</v>
      </c>
      <c r="D98" s="4" t="s">
        <v>5</v>
      </c>
      <c r="E98" s="4" t="s">
        <v>1142</v>
      </c>
      <c r="F98" s="4" t="s">
        <v>56</v>
      </c>
      <c r="G98" s="4" t="s">
        <v>57</v>
      </c>
      <c r="H98" s="5">
        <v>940.5</v>
      </c>
      <c r="I98" s="5">
        <f t="shared" si="2"/>
        <v>508740.33</v>
      </c>
      <c r="J98" s="4" t="s">
        <v>1038</v>
      </c>
      <c r="K98" s="3">
        <v>46022</v>
      </c>
      <c r="L98" s="6">
        <v>243748</v>
      </c>
    </row>
    <row r="99" spans="1:12">
      <c r="A99" s="3">
        <v>46022</v>
      </c>
      <c r="B99" s="4" t="s">
        <v>50</v>
      </c>
      <c r="C99" s="4" t="s">
        <v>1141</v>
      </c>
      <c r="D99" s="4" t="s">
        <v>5</v>
      </c>
      <c r="E99" s="4" t="s">
        <v>1142</v>
      </c>
      <c r="F99" s="4" t="s">
        <v>56</v>
      </c>
      <c r="G99" s="4" t="s">
        <v>57</v>
      </c>
      <c r="H99" s="5">
        <v>3476.25</v>
      </c>
      <c r="I99" s="5">
        <f t="shared" si="2"/>
        <v>512216.58</v>
      </c>
      <c r="J99" s="4" t="s">
        <v>1038</v>
      </c>
      <c r="K99" s="3">
        <v>46022</v>
      </c>
      <c r="L99" s="6">
        <v>243746</v>
      </c>
    </row>
    <row r="100" spans="1:12">
      <c r="A100" s="3">
        <v>46022</v>
      </c>
      <c r="B100" s="4" t="s">
        <v>50</v>
      </c>
      <c r="C100" s="4" t="s">
        <v>1141</v>
      </c>
      <c r="D100" s="4" t="s">
        <v>5</v>
      </c>
      <c r="E100" s="4" t="s">
        <v>1142</v>
      </c>
      <c r="F100" s="4" t="s">
        <v>56</v>
      </c>
      <c r="G100" s="4" t="s">
        <v>1041</v>
      </c>
      <c r="H100" s="5">
        <v>51889.33</v>
      </c>
      <c r="I100" s="5">
        <f>H100+I99</f>
        <v>564105.91</v>
      </c>
      <c r="J100" s="4" t="s">
        <v>1038</v>
      </c>
      <c r="K100" s="3">
        <v>46022</v>
      </c>
      <c r="L100" s="6">
        <v>243744</v>
      </c>
    </row>
    <row r="102" spans="8:9">
      <c r="H102" s="5">
        <f>SUM(H2:H101)</f>
        <v>564105.91</v>
      </c>
      <c r="I102" s="5"/>
    </row>
    <row r="103" spans="8:9">
      <c r="H103" s="7">
        <v>6161728.12</v>
      </c>
      <c r="I103" s="9">
        <f>H103-I100</f>
        <v>5597622.21</v>
      </c>
    </row>
    <row r="104" spans="8:9">
      <c r="H104" s="5">
        <f>H102-H103</f>
        <v>-5597622.21</v>
      </c>
      <c r="I104" s="5"/>
    </row>
    <row r="105" spans="8:8">
      <c r="H105" s="1">
        <v>5418.33</v>
      </c>
    </row>
    <row r="106" spans="8:9">
      <c r="H106" s="5">
        <f>H104-H105</f>
        <v>-5603040.54</v>
      </c>
      <c r="I106" s="5"/>
    </row>
    <row r="108" spans="1:12">
      <c r="A108" s="3">
        <v>45991</v>
      </c>
      <c r="B108" s="4" t="s">
        <v>50</v>
      </c>
      <c r="C108" s="4" t="s">
        <v>1143</v>
      </c>
      <c r="D108" s="4" t="s">
        <v>5</v>
      </c>
      <c r="E108" s="4" t="s">
        <v>1144</v>
      </c>
      <c r="F108" s="4" t="s">
        <v>56</v>
      </c>
      <c r="G108" s="4" t="s">
        <v>1041</v>
      </c>
      <c r="H108" s="8">
        <v>924.37</v>
      </c>
      <c r="I108" s="8">
        <v>5603040.54</v>
      </c>
      <c r="J108" s="4" t="s">
        <v>1038</v>
      </c>
      <c r="K108" s="3">
        <v>45991</v>
      </c>
      <c r="L108" s="6">
        <v>238770</v>
      </c>
    </row>
    <row r="109" spans="9:9">
      <c r="I109" s="10">
        <f>I103-I108</f>
        <v>-5418.33000000007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Chart of Accounts</vt:lpstr>
      <vt:lpstr>Value Entries</vt:lpstr>
      <vt:lpstr>Report</vt:lpstr>
      <vt:lpstr>Substrates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2026-01-10T06:22:00Z</dcterms:created>
  <dcterms:modified xsi:type="dcterms:W3CDTF">2026-01-21T09:38:11Z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C040BF94B39E43F38A656E0D9E7243B7_13</vt:lpwstr>
  </property>
  <property fmtid="{D5CDD505-2E9C-101B-9397-08002B2CF9AE}" pid="3" name="KSOProductBuildVer">
    <vt:lpwstr>1033-12.2.0.21546</vt:lpwstr>
  </property>
</Properties>
</file>