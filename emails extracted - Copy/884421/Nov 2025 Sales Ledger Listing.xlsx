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rive E\Revenues\2025\"/>
    </mc:Choice>
  </mc:AlternateContent>
  <xr:revisionPtr revIDLastSave="0" documentId="8_{7B2269AD-E6E5-4122-AC81-8AC2E245728A}" xr6:coauthVersionLast="47" xr6:coauthVersionMax="47" xr10:uidLastSave="{00000000-0000-0000-0000-000000000000}"/>
  <bookViews>
    <workbookView xWindow="-120" yWindow="-120" windowWidth="24240" windowHeight="13140" xr2:uid="{AF7A0878-D1EF-40C1-8F53-722153EA4F2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3" i="1"/>
  <c r="H4" i="1"/>
  <c r="H2" i="1"/>
  <c r="H7" i="1"/>
  <c r="H6" i="1"/>
  <c r="H10" i="1"/>
  <c r="H8" i="1"/>
  <c r="H9" i="1"/>
  <c r="H12" i="1"/>
  <c r="H11" i="1"/>
  <c r="H15" i="1"/>
  <c r="H14" i="1"/>
  <c r="H13" i="1"/>
  <c r="H18" i="1"/>
  <c r="H19" i="1"/>
  <c r="H20" i="1"/>
  <c r="H16" i="1"/>
  <c r="H17" i="1"/>
  <c r="H27" i="1"/>
  <c r="H28" i="1"/>
  <c r="H23" i="1"/>
  <c r="H24" i="1"/>
  <c r="H25" i="1"/>
  <c r="H26" i="1"/>
  <c r="H22" i="1"/>
  <c r="H21" i="1"/>
  <c r="H30" i="1"/>
  <c r="H29" i="1"/>
  <c r="H35" i="1"/>
  <c r="H34" i="1"/>
  <c r="H33" i="1"/>
  <c r="H32" i="1"/>
  <c r="H31" i="1"/>
  <c r="H39" i="1"/>
  <c r="H37" i="1"/>
  <c r="H38" i="1"/>
  <c r="H36" i="1"/>
  <c r="H41" i="1"/>
  <c r="H42" i="1"/>
  <c r="H40" i="1"/>
  <c r="H46" i="1"/>
  <c r="H47" i="1"/>
  <c r="H45" i="1"/>
  <c r="H44" i="1"/>
  <c r="H43" i="1"/>
  <c r="H49" i="1"/>
  <c r="H48" i="1"/>
</calcChain>
</file>

<file path=xl/sharedStrings.xml><?xml version="1.0" encoding="utf-8"?>
<sst xmlns="http://schemas.openxmlformats.org/spreadsheetml/2006/main" count="592" uniqueCount="131">
  <si>
    <t>Cust_No</t>
  </si>
  <si>
    <t>Customer_Name</t>
  </si>
  <si>
    <t>Date</t>
  </si>
  <si>
    <t>Doc_No</t>
  </si>
  <si>
    <t>Order_No</t>
  </si>
  <si>
    <t>Net_Amount</t>
  </si>
  <si>
    <t>VAT_Amount</t>
  </si>
  <si>
    <t>Total_Amount</t>
  </si>
  <si>
    <t>St</t>
  </si>
  <si>
    <t>Sales_Person</t>
  </si>
  <si>
    <t>Cust_Type</t>
  </si>
  <si>
    <t>Team</t>
  </si>
  <si>
    <t>Item_No</t>
  </si>
  <si>
    <t>Description</t>
  </si>
  <si>
    <t>Advertiser_Name</t>
  </si>
  <si>
    <t/>
  </si>
  <si>
    <t>DIRECT</t>
  </si>
  <si>
    <t>D00147</t>
  </si>
  <si>
    <t>DENTSU KENYA LIMITED</t>
  </si>
  <si>
    <t>AGENCY</t>
  </si>
  <si>
    <t>13/11/2025</t>
  </si>
  <si>
    <t>18/11/2025</t>
  </si>
  <si>
    <t>19/11/2025</t>
  </si>
  <si>
    <t>20/11/2025</t>
  </si>
  <si>
    <t>M00601</t>
  </si>
  <si>
    <t>MAJID AL FUTTAIM HYPERMARKET LIMITED</t>
  </si>
  <si>
    <t>14/11/2025</t>
  </si>
  <si>
    <t>16/11/2025</t>
  </si>
  <si>
    <t>S00565</t>
  </si>
  <si>
    <t>SBC KENYA LIMITED</t>
  </si>
  <si>
    <t>25/11/2025</t>
  </si>
  <si>
    <t>08</t>
  </si>
  <si>
    <t>02</t>
  </si>
  <si>
    <t>19</t>
  </si>
  <si>
    <t>11</t>
  </si>
  <si>
    <t>10</t>
  </si>
  <si>
    <t>05</t>
  </si>
  <si>
    <t>04</t>
  </si>
  <si>
    <t>01</t>
  </si>
  <si>
    <t>03</t>
  </si>
  <si>
    <t>HEZBORNE NDEGWA</t>
  </si>
  <si>
    <t>AGENCY-T1A</t>
  </si>
  <si>
    <t>Weekly Activation - Breakfast Show</t>
  </si>
  <si>
    <t>NCBA BANK KENYA LIMITED</t>
  </si>
  <si>
    <t>30/11/2025</t>
  </si>
  <si>
    <t>Weekly Activation - Drive Show</t>
  </si>
  <si>
    <t>Bundled up Activation Package A</t>
  </si>
  <si>
    <t>Talkshow - Prime Time</t>
  </si>
  <si>
    <t>Sponsorship of Station Properties</t>
  </si>
  <si>
    <t>Spots Package A - 30 Seconds</t>
  </si>
  <si>
    <t>Spots Package E - 20 Seconds</t>
  </si>
  <si>
    <t>21/11/2025</t>
  </si>
  <si>
    <t>Spots Package C - 30 Seconds</t>
  </si>
  <si>
    <t>515369</t>
  </si>
  <si>
    <t>MPO016171</t>
  </si>
  <si>
    <t>09</t>
  </si>
  <si>
    <t>12</t>
  </si>
  <si>
    <t>Mini Classifieds Off Prime - 20 Secs</t>
  </si>
  <si>
    <t>14</t>
  </si>
  <si>
    <t>18</t>
  </si>
  <si>
    <t>Twitter Space Sponsorship</t>
  </si>
  <si>
    <t>STRAT-A</t>
  </si>
  <si>
    <t>515277</t>
  </si>
  <si>
    <t>226701</t>
  </si>
  <si>
    <t>JOYCE MWANGI</t>
  </si>
  <si>
    <t>STRAT-B</t>
  </si>
  <si>
    <t>Bundled up Activation Package B-5 Days</t>
  </si>
  <si>
    <t>STRAT-C</t>
  </si>
  <si>
    <t>Spots Package</t>
  </si>
  <si>
    <t>Mini-Hybrid Weekly Sponsorship</t>
  </si>
  <si>
    <t>S00448</t>
  </si>
  <si>
    <t xml:space="preserve">STIHL EAST AFRICA LIMITED </t>
  </si>
  <si>
    <t>515086</t>
  </si>
  <si>
    <t>226063</t>
  </si>
  <si>
    <t>PAULINE KUNGU</t>
  </si>
  <si>
    <t>EMERG-D</t>
  </si>
  <si>
    <t>EMERG-E</t>
  </si>
  <si>
    <t>A00491</t>
  </si>
  <si>
    <t>ASI SEEDS ENTERPRISES KENYA LIMITED</t>
  </si>
  <si>
    <t>515076</t>
  </si>
  <si>
    <t>227060</t>
  </si>
  <si>
    <t>JACINTA NJOGU</t>
  </si>
  <si>
    <t>REGIONAL-C</t>
  </si>
  <si>
    <t>R00136</t>
  </si>
  <si>
    <t xml:space="preserve">RED YELLOW &amp; BLUE LTD </t>
  </si>
  <si>
    <t>515006</t>
  </si>
  <si>
    <t>226836</t>
  </si>
  <si>
    <t>BEATRICE TOO CHEPNGETICH</t>
  </si>
  <si>
    <t>514979</t>
  </si>
  <si>
    <t>227058</t>
  </si>
  <si>
    <t>R00131</t>
  </si>
  <si>
    <t>ROYAL MABATI FACTORY LTD</t>
  </si>
  <si>
    <t>LILIAN KAMAU</t>
  </si>
  <si>
    <t>FRIDAH GIKUNDI</t>
  </si>
  <si>
    <t>R00211</t>
  </si>
  <si>
    <t>REWAM CONSULTANCY FIRM LIMITED</t>
  </si>
  <si>
    <t>514771</t>
  </si>
  <si>
    <t>227050</t>
  </si>
  <si>
    <t>NAOMI KIHIGI</t>
  </si>
  <si>
    <t>Spots Package E - 30 Seconds</t>
  </si>
  <si>
    <t>K00509</t>
  </si>
  <si>
    <t>KIDANI STEEL MILLS LTD</t>
  </si>
  <si>
    <t>515213</t>
  </si>
  <si>
    <t>227232</t>
  </si>
  <si>
    <t>G00082</t>
  </si>
  <si>
    <t>GREENLIFE CROP PROTECTION AFRICA LTD</t>
  </si>
  <si>
    <t>515270</t>
  </si>
  <si>
    <t>226784</t>
  </si>
  <si>
    <t>Bundled up Activation Package B</t>
  </si>
  <si>
    <t>O00010</t>
  </si>
  <si>
    <t xml:space="preserve">OURU SUPER STORES LTD </t>
  </si>
  <si>
    <t>515238</t>
  </si>
  <si>
    <t>227128</t>
  </si>
  <si>
    <t>IMMACULATE SILA</t>
  </si>
  <si>
    <t>M00603</t>
  </si>
  <si>
    <t xml:space="preserve">MOGO AUTO LIMITED </t>
  </si>
  <si>
    <t>514704</t>
  </si>
  <si>
    <t>226325</t>
  </si>
  <si>
    <t>Bundled up Activation Package C-7 Days</t>
  </si>
  <si>
    <t>06</t>
  </si>
  <si>
    <t>514944</t>
  </si>
  <si>
    <t>226734</t>
  </si>
  <si>
    <t>T00266</t>
  </si>
  <si>
    <t>TIM-SKY MEDIA SERVICES LIMITED</t>
  </si>
  <si>
    <t>515152</t>
  </si>
  <si>
    <t>227073</t>
  </si>
  <si>
    <t>Outside Broadcasting</t>
  </si>
  <si>
    <t>13</t>
  </si>
  <si>
    <t xml:space="preserve">Weekly Twitter Posts Citizen TV </t>
  </si>
  <si>
    <t>Spots Package B</t>
  </si>
  <si>
    <t>Correct VAT_Amount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</si>
</sst>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39" fontId="1" fillId="0" borderId="0" xfId="0" applyNumberFormat="1" applyFont="1" applyAlignment="1">
      <alignment horizontal="right"/>
    </xf>
    <xf numFmtId="39" fontId="0" fillId="0" borderId="0" xfId="0" applyNumberFormat="1"/>
    <xf numFmtId="39" fontId="1" fillId="2" borderId="0" xfId="0" applyNumberFormat="1" applyFont="1" applyFill="1" applyAlignment="1">
      <alignment horizontal="right"/>
    </xf>
    <xf numFmtId="39" fontId="0" fillId="2" borderId="0" xfId="0" applyNumberFormat="1" applyFill="1"/>
    <xf numFmtId="39" fontId="1" fillId="3" borderId="0" xfId="0" applyNumberFormat="1" applyFont="1" applyFill="1" applyAlignment="1">
      <alignment horizontal="right"/>
    </xf>
    <xf numFmtId="39" fontId="0" fillId="3" borderId="0" xfId="0" applyNumberFormat="1" applyFill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7" formatCode="#,##0.00_);\(#,##0.00\)"/>
      <fill>
        <patternFill patternType="solid">
          <fgColor indexed="64"/>
          <bgColor rgb="FFFFC000"/>
        </patternFill>
      </fill>
    </dxf>
    <dxf>
      <numFmt numFmtId="7" formatCode="#,##0.00_);\(#,##0.00\)"/>
      <fill>
        <patternFill patternType="solid">
          <fgColor indexed="64"/>
          <bgColor rgb="FF92D050"/>
        </patternFill>
      </fill>
    </dxf>
    <dxf>
      <numFmt numFmtId="7" formatCode="#,##0.00_);\(#,##0.00\)"/>
      <fill>
        <patternFill patternType="solid">
          <fgColor indexed="64"/>
          <bgColor rgb="FFFFC000"/>
        </patternFill>
      </fill>
    </dxf>
    <dxf>
      <numFmt numFmtId="7" formatCode="#,##0.00_);\(#,##0.00\)"/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D580B8-5A40-4F02-AA67-DFE5DFDD94D8}" name="Table1" displayName="Table1" ref="A1:P49" totalsRowShown="0" headerRowDxfId="0">
  <autoFilter ref="A1:P49" xr:uid="{75D580B8-5A40-4F02-AA67-DFE5DFDD94D8}"/>
  <tableColumns count="16">
    <tableColumn id="1" xr3:uid="{C1FE63D4-7CDB-44C2-B947-9938A2312370}" name="Cust_No"/>
    <tableColumn id="2" xr3:uid="{93B9BC90-396C-4D37-9F8A-FA1E5ACFE0EE}" name="Customer_Name"/>
    <tableColumn id="3" xr3:uid="{3995ABC6-7DEE-4AD7-8ECF-0D2D6B94B5BD}" name="Date"/>
    <tableColumn id="4" xr3:uid="{5968122A-DD21-4316-B0B9-EE75DEF23ADA}" name="Doc_No"/>
    <tableColumn id="5" xr3:uid="{7C63C20C-09DB-49CE-9CA0-F3F46138BC29}" name="Order_No"/>
    <tableColumn id="6" xr3:uid="{C36233FD-530F-42F7-A351-1C6BF1E85384}" name="Net_Amount" dataDxfId="4"/>
    <tableColumn id="7" xr3:uid="{13A945A5-BEAA-427A-B8DE-8506CF9D87C6}" name="VAT_Amount" dataDxfId="3"/>
    <tableColumn id="8" xr3:uid="{C33752D9-CFC4-4848-A029-8DFA879CA2ED}" name="Correct VAT_Amount" dataDxfId="2">
      <calculatedColumnFormula>F2*0.16</calculatedColumnFormula>
    </tableColumn>
    <tableColumn id="9" xr3:uid="{6B5757B9-9DA6-4984-B963-E2081FE96D46}" name="Total_Amount" dataDxfId="1"/>
    <tableColumn id="10" xr3:uid="{32827BD1-743A-4ED3-89CF-FEFBE92B5945}" name="St"/>
    <tableColumn id="11" xr3:uid="{AD0BC1CA-F51E-44AC-A2D5-F1762C1B38BD}" name="Sales_Person"/>
    <tableColumn id="12" xr3:uid="{626FAB36-C2D0-4370-8A16-B13BBF574AD2}" name="Cust_Type"/>
    <tableColumn id="13" xr3:uid="{1D53DEA1-9AA0-42B7-A6ED-59CE0BF80C5B}" name="Team"/>
    <tableColumn id="14" xr3:uid="{B1169BB0-C3D8-4155-8A17-DA7BF6D9AD4B}" name="Item_No"/>
    <tableColumn id="15" xr3:uid="{AA6CB3C5-A5CA-4FD7-9BB5-C81A9C1CA667}" name="Description"/>
    <tableColumn id="16" xr3:uid="{705CD125-DEC8-4041-8F27-F7FF08A8EC95}" name="Advertise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ECDE-3268-470A-A6DA-E1D0F33156BE}">
  <dimension ref="A1:P49"/>
  <sheetViews>
    <sheetView tabSelected="1" workbookViewId="0">
      <selection activeCell="A2" sqref="A2"/>
    </sheetView>
  </sheetViews>
  <sheetFormatPr defaultRowHeight="15" x14ac:dyDescent="0.25"/>
  <cols>
    <col min="1" max="1" width="10.5703125" customWidth="1"/>
    <col min="2" max="2" width="37.140625" customWidth="1"/>
    <col min="3" max="3" width="10.7109375" bestFit="1" customWidth="1"/>
    <col min="4" max="4" width="15.5703125" bestFit="1" customWidth="1"/>
    <col min="5" max="5" width="11.85546875" customWidth="1"/>
    <col min="6" max="7" width="15.28515625" style="4" bestFit="1" customWidth="1"/>
    <col min="8" max="8" width="21.7109375" style="4" customWidth="1"/>
    <col min="9" max="9" width="15.7109375" style="4" bestFit="1" customWidth="1"/>
    <col min="10" max="10" width="4.85546875" customWidth="1"/>
    <col min="11" max="11" width="19" customWidth="1"/>
    <col min="12" max="12" width="12.28515625" customWidth="1"/>
    <col min="13" max="13" width="12.140625" bestFit="1" customWidth="1"/>
    <col min="14" max="14" width="42.42578125" customWidth="1"/>
    <col min="15" max="15" width="22.42578125" customWidth="1"/>
    <col min="16" max="16" width="29.85546875" customWidth="1"/>
  </cols>
  <sheetData>
    <row r="1" spans="1:16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5" t="s">
        <v>6</v>
      </c>
      <c r="H1" s="7" t="s">
        <v>130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114</v>
      </c>
      <c r="B2" t="s">
        <v>115</v>
      </c>
      <c r="C2" t="s">
        <v>27</v>
      </c>
      <c r="D2" t="s">
        <v>116</v>
      </c>
      <c r="E2" t="s">
        <v>117</v>
      </c>
      <c r="F2" s="4">
        <v>980000</v>
      </c>
      <c r="G2" s="6">
        <v>15680000</v>
      </c>
      <c r="H2" s="8">
        <f>F2*0.16</f>
        <v>156800</v>
      </c>
      <c r="I2" s="6">
        <v>16660000</v>
      </c>
      <c r="J2" t="s">
        <v>37</v>
      </c>
      <c r="K2" t="s">
        <v>92</v>
      </c>
      <c r="L2" t="s">
        <v>16</v>
      </c>
      <c r="M2" t="s">
        <v>65</v>
      </c>
      <c r="N2" t="s">
        <v>118</v>
      </c>
      <c r="O2" t="s">
        <v>15</v>
      </c>
      <c r="P2" t="s">
        <v>15</v>
      </c>
    </row>
    <row r="3" spans="1:16" x14ac:dyDescent="0.25">
      <c r="A3" t="s">
        <v>114</v>
      </c>
      <c r="B3" t="s">
        <v>115</v>
      </c>
      <c r="C3" t="s">
        <v>27</v>
      </c>
      <c r="D3" t="s">
        <v>116</v>
      </c>
      <c r="E3" t="s">
        <v>117</v>
      </c>
      <c r="F3" s="4">
        <v>665000</v>
      </c>
      <c r="G3" s="6">
        <v>10640000</v>
      </c>
      <c r="H3" s="8">
        <f>F3*0.16</f>
        <v>106400</v>
      </c>
      <c r="I3" s="6">
        <v>11305000</v>
      </c>
      <c r="J3" t="s">
        <v>35</v>
      </c>
      <c r="K3" t="s">
        <v>92</v>
      </c>
      <c r="L3" t="s">
        <v>16</v>
      </c>
      <c r="M3" t="s">
        <v>65</v>
      </c>
      <c r="N3" t="s">
        <v>118</v>
      </c>
      <c r="O3" t="s">
        <v>15</v>
      </c>
      <c r="P3" t="s">
        <v>15</v>
      </c>
    </row>
    <row r="4" spans="1:16" x14ac:dyDescent="0.25">
      <c r="A4" t="s">
        <v>114</v>
      </c>
      <c r="B4" t="s">
        <v>115</v>
      </c>
      <c r="C4" t="s">
        <v>27</v>
      </c>
      <c r="D4" t="s">
        <v>116</v>
      </c>
      <c r="E4" t="s">
        <v>117</v>
      </c>
      <c r="F4" s="4">
        <v>665000</v>
      </c>
      <c r="G4" s="6">
        <v>10640000</v>
      </c>
      <c r="H4" s="8">
        <f>F4*0.16</f>
        <v>106400</v>
      </c>
      <c r="I4" s="6">
        <v>11305000</v>
      </c>
      <c r="J4" t="s">
        <v>34</v>
      </c>
      <c r="K4" t="s">
        <v>92</v>
      </c>
      <c r="L4" t="s">
        <v>16</v>
      </c>
      <c r="M4" t="s">
        <v>65</v>
      </c>
      <c r="N4" t="s">
        <v>118</v>
      </c>
      <c r="O4" t="s">
        <v>15</v>
      </c>
      <c r="P4" t="s">
        <v>15</v>
      </c>
    </row>
    <row r="5" spans="1:16" x14ac:dyDescent="0.25">
      <c r="A5" t="s">
        <v>114</v>
      </c>
      <c r="B5" t="s">
        <v>115</v>
      </c>
      <c r="C5" t="s">
        <v>27</v>
      </c>
      <c r="D5" t="s">
        <v>116</v>
      </c>
      <c r="E5" t="s">
        <v>117</v>
      </c>
      <c r="F5" s="4">
        <v>588000</v>
      </c>
      <c r="G5" s="6">
        <v>9408000</v>
      </c>
      <c r="H5" s="8">
        <f>F5*0.16</f>
        <v>94080</v>
      </c>
      <c r="I5" s="6">
        <v>9996000</v>
      </c>
      <c r="J5" t="s">
        <v>119</v>
      </c>
      <c r="K5" t="s">
        <v>92</v>
      </c>
      <c r="L5" t="s">
        <v>16</v>
      </c>
      <c r="M5" t="s">
        <v>65</v>
      </c>
      <c r="N5" t="s">
        <v>118</v>
      </c>
      <c r="O5" t="s">
        <v>15</v>
      </c>
      <c r="P5" t="s">
        <v>15</v>
      </c>
    </row>
    <row r="6" spans="1:16" x14ac:dyDescent="0.25">
      <c r="A6" t="s">
        <v>94</v>
      </c>
      <c r="B6" t="s">
        <v>95</v>
      </c>
      <c r="C6" t="s">
        <v>26</v>
      </c>
      <c r="D6" t="s">
        <v>96</v>
      </c>
      <c r="E6" t="s">
        <v>97</v>
      </c>
      <c r="F6" s="4">
        <v>575000</v>
      </c>
      <c r="G6" s="6">
        <v>9200000</v>
      </c>
      <c r="H6" s="8">
        <f>F6*0.16</f>
        <v>92000</v>
      </c>
      <c r="I6" s="6">
        <v>9775000</v>
      </c>
      <c r="J6" t="s">
        <v>32</v>
      </c>
      <c r="K6" t="s">
        <v>98</v>
      </c>
      <c r="L6" t="s">
        <v>16</v>
      </c>
      <c r="M6" t="s">
        <v>67</v>
      </c>
      <c r="N6" t="s">
        <v>99</v>
      </c>
      <c r="O6" t="s">
        <v>15</v>
      </c>
      <c r="P6" t="s">
        <v>15</v>
      </c>
    </row>
    <row r="7" spans="1:16" x14ac:dyDescent="0.25">
      <c r="A7" t="s">
        <v>94</v>
      </c>
      <c r="B7" t="s">
        <v>95</v>
      </c>
      <c r="C7" t="s">
        <v>26</v>
      </c>
      <c r="D7" t="s">
        <v>96</v>
      </c>
      <c r="E7" t="s">
        <v>97</v>
      </c>
      <c r="F7" s="4">
        <v>150000</v>
      </c>
      <c r="G7" s="6">
        <v>2400000</v>
      </c>
      <c r="H7" s="8">
        <f>F7*0.16</f>
        <v>24000</v>
      </c>
      <c r="I7" s="6">
        <v>2550000</v>
      </c>
      <c r="J7" t="s">
        <v>59</v>
      </c>
      <c r="K7" t="s">
        <v>98</v>
      </c>
      <c r="L7" t="s">
        <v>16</v>
      </c>
      <c r="M7" t="s">
        <v>67</v>
      </c>
      <c r="N7" t="s">
        <v>128</v>
      </c>
      <c r="O7" t="s">
        <v>15</v>
      </c>
      <c r="P7" t="s">
        <v>15</v>
      </c>
    </row>
    <row r="8" spans="1:16" x14ac:dyDescent="0.25">
      <c r="A8" t="s">
        <v>90</v>
      </c>
      <c r="B8" t="s">
        <v>91</v>
      </c>
      <c r="C8" t="s">
        <v>22</v>
      </c>
      <c r="D8" t="s">
        <v>120</v>
      </c>
      <c r="E8" t="s">
        <v>121</v>
      </c>
      <c r="F8" s="4">
        <v>720000</v>
      </c>
      <c r="G8" s="6">
        <v>11520000</v>
      </c>
      <c r="H8" s="8">
        <f>F8*0.16</f>
        <v>115200</v>
      </c>
      <c r="I8" s="6">
        <v>12240000</v>
      </c>
      <c r="J8" t="s">
        <v>35</v>
      </c>
      <c r="K8" t="s">
        <v>92</v>
      </c>
      <c r="L8" t="s">
        <v>16</v>
      </c>
      <c r="M8" t="s">
        <v>65</v>
      </c>
      <c r="N8" t="s">
        <v>46</v>
      </c>
      <c r="O8" t="s">
        <v>15</v>
      </c>
      <c r="P8" t="s">
        <v>15</v>
      </c>
    </row>
    <row r="9" spans="1:16" x14ac:dyDescent="0.25">
      <c r="A9" t="s">
        <v>90</v>
      </c>
      <c r="B9" t="s">
        <v>91</v>
      </c>
      <c r="C9" t="s">
        <v>22</v>
      </c>
      <c r="D9" t="s">
        <v>120</v>
      </c>
      <c r="E9" t="s">
        <v>121</v>
      </c>
      <c r="F9" s="4">
        <v>720000</v>
      </c>
      <c r="G9" s="6">
        <v>11520000</v>
      </c>
      <c r="H9" s="8">
        <f>F9*0.16</f>
        <v>115200</v>
      </c>
      <c r="I9" s="6">
        <v>12240000</v>
      </c>
      <c r="J9" t="s">
        <v>34</v>
      </c>
      <c r="K9" t="s">
        <v>92</v>
      </c>
      <c r="L9" t="s">
        <v>16</v>
      </c>
      <c r="M9" t="s">
        <v>65</v>
      </c>
      <c r="N9" t="s">
        <v>46</v>
      </c>
      <c r="O9" t="s">
        <v>15</v>
      </c>
      <c r="P9" t="s">
        <v>15</v>
      </c>
    </row>
    <row r="10" spans="1:16" x14ac:dyDescent="0.25">
      <c r="A10" t="s">
        <v>90</v>
      </c>
      <c r="B10" t="s">
        <v>91</v>
      </c>
      <c r="C10" t="s">
        <v>22</v>
      </c>
      <c r="D10" t="s">
        <v>120</v>
      </c>
      <c r="E10" t="s">
        <v>121</v>
      </c>
      <c r="F10" s="4">
        <v>540000</v>
      </c>
      <c r="G10" s="6">
        <v>8640000</v>
      </c>
      <c r="H10" s="8">
        <f>F10*0.16</f>
        <v>86400</v>
      </c>
      <c r="I10" s="6">
        <v>9180000</v>
      </c>
      <c r="J10" t="s">
        <v>119</v>
      </c>
      <c r="K10" t="s">
        <v>92</v>
      </c>
      <c r="L10" t="s">
        <v>16</v>
      </c>
      <c r="M10" t="s">
        <v>65</v>
      </c>
      <c r="N10" t="s">
        <v>46</v>
      </c>
      <c r="O10" t="s">
        <v>15</v>
      </c>
      <c r="P10" t="s">
        <v>15</v>
      </c>
    </row>
    <row r="11" spans="1:16" x14ac:dyDescent="0.25">
      <c r="A11" t="s">
        <v>24</v>
      </c>
      <c r="B11" t="s">
        <v>25</v>
      </c>
      <c r="C11" t="s">
        <v>30</v>
      </c>
      <c r="D11" t="s">
        <v>88</v>
      </c>
      <c r="E11" t="s">
        <v>89</v>
      </c>
      <c r="F11" s="4">
        <v>2500000</v>
      </c>
      <c r="G11" s="6">
        <v>40000000</v>
      </c>
      <c r="H11" s="8">
        <f>F11*0.16</f>
        <v>400000</v>
      </c>
      <c r="I11" s="6">
        <v>42500000</v>
      </c>
      <c r="J11" t="s">
        <v>32</v>
      </c>
      <c r="K11" t="s">
        <v>64</v>
      </c>
      <c r="L11" t="s">
        <v>16</v>
      </c>
      <c r="M11" t="s">
        <v>65</v>
      </c>
      <c r="N11" t="s">
        <v>50</v>
      </c>
      <c r="O11" t="s">
        <v>15</v>
      </c>
      <c r="P11" t="s">
        <v>15</v>
      </c>
    </row>
    <row r="12" spans="1:16" x14ac:dyDescent="0.25">
      <c r="A12" t="s">
        <v>24</v>
      </c>
      <c r="B12" t="s">
        <v>25</v>
      </c>
      <c r="C12" t="s">
        <v>30</v>
      </c>
      <c r="D12" t="s">
        <v>88</v>
      </c>
      <c r="E12" t="s">
        <v>89</v>
      </c>
      <c r="F12" s="4">
        <v>2000000</v>
      </c>
      <c r="G12" s="6">
        <v>32000000</v>
      </c>
      <c r="H12" s="8">
        <f>F12*0.16</f>
        <v>320000</v>
      </c>
      <c r="I12" s="6">
        <v>34000000</v>
      </c>
      <c r="J12" t="s">
        <v>32</v>
      </c>
      <c r="K12" t="s">
        <v>64</v>
      </c>
      <c r="L12" t="s">
        <v>16</v>
      </c>
      <c r="M12" t="s">
        <v>65</v>
      </c>
      <c r="N12" t="s">
        <v>50</v>
      </c>
      <c r="O12" t="s">
        <v>15</v>
      </c>
      <c r="P12" t="s">
        <v>15</v>
      </c>
    </row>
    <row r="13" spans="1:16" x14ac:dyDescent="0.25">
      <c r="A13" t="s">
        <v>83</v>
      </c>
      <c r="B13" t="s">
        <v>84</v>
      </c>
      <c r="C13" t="s">
        <v>27</v>
      </c>
      <c r="D13" t="s">
        <v>85</v>
      </c>
      <c r="E13" t="s">
        <v>86</v>
      </c>
      <c r="F13" s="4">
        <v>2500000</v>
      </c>
      <c r="G13" s="6">
        <v>40000000</v>
      </c>
      <c r="H13" s="8">
        <f>F13*0.16</f>
        <v>400000</v>
      </c>
      <c r="I13" s="6">
        <v>42500000</v>
      </c>
      <c r="J13" t="s">
        <v>32</v>
      </c>
      <c r="K13" t="s">
        <v>87</v>
      </c>
      <c r="L13" t="s">
        <v>16</v>
      </c>
      <c r="M13" t="s">
        <v>82</v>
      </c>
      <c r="N13" t="s">
        <v>49</v>
      </c>
      <c r="O13" t="s">
        <v>15</v>
      </c>
      <c r="P13" t="s">
        <v>15</v>
      </c>
    </row>
    <row r="14" spans="1:16" x14ac:dyDescent="0.25">
      <c r="A14" t="s">
        <v>83</v>
      </c>
      <c r="B14" t="s">
        <v>84</v>
      </c>
      <c r="C14" t="s">
        <v>27</v>
      </c>
      <c r="D14" t="s">
        <v>85</v>
      </c>
      <c r="E14" t="s">
        <v>86</v>
      </c>
      <c r="F14" s="4">
        <v>588000</v>
      </c>
      <c r="G14" s="6">
        <v>9408000</v>
      </c>
      <c r="H14" s="8">
        <f>F14*0.16</f>
        <v>94080</v>
      </c>
      <c r="I14" s="6">
        <v>9996000</v>
      </c>
      <c r="J14" t="s">
        <v>38</v>
      </c>
      <c r="K14" t="s">
        <v>87</v>
      </c>
      <c r="L14" t="s">
        <v>16</v>
      </c>
      <c r="M14" t="s">
        <v>82</v>
      </c>
      <c r="N14" t="s">
        <v>68</v>
      </c>
      <c r="O14" t="s">
        <v>15</v>
      </c>
      <c r="P14" t="s">
        <v>15</v>
      </c>
    </row>
    <row r="15" spans="1:16" x14ac:dyDescent="0.25">
      <c r="A15" t="s">
        <v>83</v>
      </c>
      <c r="B15" t="s">
        <v>84</v>
      </c>
      <c r="C15" t="s">
        <v>27</v>
      </c>
      <c r="D15" t="s">
        <v>85</v>
      </c>
      <c r="E15" t="s">
        <v>86</v>
      </c>
      <c r="F15" s="4">
        <v>378000</v>
      </c>
      <c r="G15" s="6">
        <v>6048000</v>
      </c>
      <c r="H15" s="8">
        <f>F15*0.16</f>
        <v>60480</v>
      </c>
      <c r="I15" s="6">
        <v>6426000</v>
      </c>
      <c r="J15" t="s">
        <v>35</v>
      </c>
      <c r="K15" t="s">
        <v>87</v>
      </c>
      <c r="L15" t="s">
        <v>16</v>
      </c>
      <c r="M15" t="s">
        <v>82</v>
      </c>
      <c r="N15" t="s">
        <v>68</v>
      </c>
      <c r="O15" t="s">
        <v>15</v>
      </c>
      <c r="P15" t="s">
        <v>15</v>
      </c>
    </row>
    <row r="16" spans="1:16" x14ac:dyDescent="0.25">
      <c r="A16" t="s">
        <v>77</v>
      </c>
      <c r="B16" t="s">
        <v>78</v>
      </c>
      <c r="C16" t="s">
        <v>23</v>
      </c>
      <c r="D16" t="s">
        <v>79</v>
      </c>
      <c r="E16" t="s">
        <v>80</v>
      </c>
      <c r="F16" s="4">
        <v>42000</v>
      </c>
      <c r="G16" s="6">
        <v>672000</v>
      </c>
      <c r="H16" s="8">
        <f>F16*0.16</f>
        <v>6720</v>
      </c>
      <c r="I16" s="6">
        <v>714000</v>
      </c>
      <c r="J16" t="s">
        <v>38</v>
      </c>
      <c r="K16" t="s">
        <v>81</v>
      </c>
      <c r="L16" t="s">
        <v>16</v>
      </c>
      <c r="M16" t="s">
        <v>76</v>
      </c>
      <c r="N16" t="s">
        <v>57</v>
      </c>
      <c r="O16" t="s">
        <v>15</v>
      </c>
      <c r="P16" t="s">
        <v>15</v>
      </c>
    </row>
    <row r="17" spans="1:16" x14ac:dyDescent="0.25">
      <c r="A17" t="s">
        <v>77</v>
      </c>
      <c r="B17" t="s">
        <v>78</v>
      </c>
      <c r="C17" t="s">
        <v>23</v>
      </c>
      <c r="D17" t="s">
        <v>79</v>
      </c>
      <c r="E17" t="s">
        <v>80</v>
      </c>
      <c r="F17" s="4">
        <v>42000</v>
      </c>
      <c r="G17" s="6">
        <v>672000</v>
      </c>
      <c r="H17" s="8">
        <f>F17*0.16</f>
        <v>6720</v>
      </c>
      <c r="I17" s="6">
        <v>714000</v>
      </c>
      <c r="J17" t="s">
        <v>39</v>
      </c>
      <c r="K17" t="s">
        <v>81</v>
      </c>
      <c r="L17" t="s">
        <v>16</v>
      </c>
      <c r="M17" t="s">
        <v>76</v>
      </c>
      <c r="N17" t="s">
        <v>57</v>
      </c>
      <c r="O17" t="s">
        <v>15</v>
      </c>
      <c r="P17" t="s">
        <v>15</v>
      </c>
    </row>
    <row r="18" spans="1:16" x14ac:dyDescent="0.25">
      <c r="A18" t="s">
        <v>77</v>
      </c>
      <c r="B18" t="s">
        <v>78</v>
      </c>
      <c r="C18" t="s">
        <v>23</v>
      </c>
      <c r="D18" t="s">
        <v>79</v>
      </c>
      <c r="E18" t="s">
        <v>80</v>
      </c>
      <c r="F18" s="4">
        <v>24000</v>
      </c>
      <c r="G18" s="6">
        <v>384000</v>
      </c>
      <c r="H18" s="8">
        <f>F18*0.16</f>
        <v>3840</v>
      </c>
      <c r="I18" s="6">
        <v>408000</v>
      </c>
      <c r="J18" t="s">
        <v>31</v>
      </c>
      <c r="K18" t="s">
        <v>81</v>
      </c>
      <c r="L18" t="s">
        <v>16</v>
      </c>
      <c r="M18" t="s">
        <v>76</v>
      </c>
      <c r="N18" t="s">
        <v>57</v>
      </c>
      <c r="O18" t="s">
        <v>15</v>
      </c>
      <c r="P18" t="s">
        <v>15</v>
      </c>
    </row>
    <row r="19" spans="1:16" x14ac:dyDescent="0.25">
      <c r="A19" t="s">
        <v>77</v>
      </c>
      <c r="B19" t="s">
        <v>78</v>
      </c>
      <c r="C19" t="s">
        <v>23</v>
      </c>
      <c r="D19" t="s">
        <v>79</v>
      </c>
      <c r="E19" t="s">
        <v>80</v>
      </c>
      <c r="F19" s="4">
        <v>24000</v>
      </c>
      <c r="G19" s="6">
        <v>384000</v>
      </c>
      <c r="H19" s="8">
        <f>F19*0.16</f>
        <v>3840</v>
      </c>
      <c r="I19" s="6">
        <v>408000</v>
      </c>
      <c r="J19" t="s">
        <v>55</v>
      </c>
      <c r="K19" t="s">
        <v>81</v>
      </c>
      <c r="L19" t="s">
        <v>16</v>
      </c>
      <c r="M19" t="s">
        <v>76</v>
      </c>
      <c r="N19" t="s">
        <v>57</v>
      </c>
      <c r="O19" t="s">
        <v>15</v>
      </c>
      <c r="P19" t="s">
        <v>15</v>
      </c>
    </row>
    <row r="20" spans="1:16" x14ac:dyDescent="0.25">
      <c r="A20" t="s">
        <v>77</v>
      </c>
      <c r="B20" t="s">
        <v>78</v>
      </c>
      <c r="C20" t="s">
        <v>23</v>
      </c>
      <c r="D20" t="s">
        <v>79</v>
      </c>
      <c r="E20" t="s">
        <v>80</v>
      </c>
      <c r="F20" s="4">
        <v>24000</v>
      </c>
      <c r="G20" s="6">
        <v>384000</v>
      </c>
      <c r="H20" s="8">
        <f>F20*0.16</f>
        <v>3840</v>
      </c>
      <c r="I20" s="6">
        <v>408000</v>
      </c>
      <c r="J20" t="s">
        <v>58</v>
      </c>
      <c r="K20" t="s">
        <v>81</v>
      </c>
      <c r="L20" t="s">
        <v>16</v>
      </c>
      <c r="M20" t="s">
        <v>76</v>
      </c>
      <c r="N20" t="s">
        <v>57</v>
      </c>
      <c r="O20" t="s">
        <v>15</v>
      </c>
      <c r="P20" t="s">
        <v>15</v>
      </c>
    </row>
    <row r="21" spans="1:16" x14ac:dyDescent="0.25">
      <c r="A21" t="s">
        <v>70</v>
      </c>
      <c r="B21" t="s">
        <v>71</v>
      </c>
      <c r="C21" t="s">
        <v>20</v>
      </c>
      <c r="D21" t="s">
        <v>72</v>
      </c>
      <c r="E21" t="s">
        <v>73</v>
      </c>
      <c r="F21" s="4">
        <v>420000</v>
      </c>
      <c r="G21" s="6">
        <v>6720000</v>
      </c>
      <c r="H21" s="8">
        <f>F21*0.16</f>
        <v>67200</v>
      </c>
      <c r="I21" s="6">
        <v>7140000</v>
      </c>
      <c r="J21" t="s">
        <v>38</v>
      </c>
      <c r="K21" t="s">
        <v>74</v>
      </c>
      <c r="L21" t="s">
        <v>16</v>
      </c>
      <c r="M21" t="s">
        <v>75</v>
      </c>
      <c r="N21" t="s">
        <v>68</v>
      </c>
      <c r="O21" t="s">
        <v>15</v>
      </c>
      <c r="P21" t="s">
        <v>15</v>
      </c>
    </row>
    <row r="22" spans="1:16" x14ac:dyDescent="0.25">
      <c r="A22" t="s">
        <v>70</v>
      </c>
      <c r="B22" t="s">
        <v>71</v>
      </c>
      <c r="C22" t="s">
        <v>20</v>
      </c>
      <c r="D22" t="s">
        <v>72</v>
      </c>
      <c r="E22" t="s">
        <v>73</v>
      </c>
      <c r="F22" s="4">
        <v>330000</v>
      </c>
      <c r="G22" s="6">
        <v>5280000</v>
      </c>
      <c r="H22" s="8">
        <f>F22*0.16</f>
        <v>52800</v>
      </c>
      <c r="I22" s="6">
        <v>5610000</v>
      </c>
      <c r="J22" t="s">
        <v>39</v>
      </c>
      <c r="K22" t="s">
        <v>74</v>
      </c>
      <c r="L22" t="s">
        <v>16</v>
      </c>
      <c r="M22" t="s">
        <v>75</v>
      </c>
      <c r="N22" t="s">
        <v>68</v>
      </c>
      <c r="O22" t="s">
        <v>15</v>
      </c>
      <c r="P22" t="s">
        <v>15</v>
      </c>
    </row>
    <row r="23" spans="1:16" x14ac:dyDescent="0.25">
      <c r="A23" t="s">
        <v>70</v>
      </c>
      <c r="B23" t="s">
        <v>71</v>
      </c>
      <c r="C23" t="s">
        <v>20</v>
      </c>
      <c r="D23" t="s">
        <v>72</v>
      </c>
      <c r="E23" t="s">
        <v>73</v>
      </c>
      <c r="F23" s="4">
        <v>270000</v>
      </c>
      <c r="G23" s="6">
        <v>4320000</v>
      </c>
      <c r="H23" s="8">
        <f>F23*0.16</f>
        <v>43200</v>
      </c>
      <c r="I23" s="6">
        <v>4590000</v>
      </c>
      <c r="J23" t="s">
        <v>31</v>
      </c>
      <c r="K23" t="s">
        <v>74</v>
      </c>
      <c r="L23" t="s">
        <v>16</v>
      </c>
      <c r="M23" t="s">
        <v>75</v>
      </c>
      <c r="N23" t="s">
        <v>68</v>
      </c>
      <c r="O23" t="s">
        <v>15</v>
      </c>
      <c r="P23" t="s">
        <v>15</v>
      </c>
    </row>
    <row r="24" spans="1:16" x14ac:dyDescent="0.25">
      <c r="A24" t="s">
        <v>70</v>
      </c>
      <c r="B24" t="s">
        <v>71</v>
      </c>
      <c r="C24" t="s">
        <v>20</v>
      </c>
      <c r="D24" t="s">
        <v>72</v>
      </c>
      <c r="E24" t="s">
        <v>73</v>
      </c>
      <c r="F24" s="4">
        <v>270000</v>
      </c>
      <c r="G24" s="6">
        <v>4320000</v>
      </c>
      <c r="H24" s="8">
        <f>F24*0.16</f>
        <v>43200</v>
      </c>
      <c r="I24" s="6">
        <v>4590000</v>
      </c>
      <c r="J24" t="s">
        <v>55</v>
      </c>
      <c r="K24" t="s">
        <v>74</v>
      </c>
      <c r="L24" t="s">
        <v>16</v>
      </c>
      <c r="M24" t="s">
        <v>75</v>
      </c>
      <c r="N24" t="s">
        <v>68</v>
      </c>
      <c r="O24" t="s">
        <v>15</v>
      </c>
      <c r="P24" t="s">
        <v>15</v>
      </c>
    </row>
    <row r="25" spans="1:16" x14ac:dyDescent="0.25">
      <c r="A25" t="s">
        <v>70</v>
      </c>
      <c r="B25" t="s">
        <v>71</v>
      </c>
      <c r="C25" t="s">
        <v>20</v>
      </c>
      <c r="D25" t="s">
        <v>72</v>
      </c>
      <c r="E25" t="s">
        <v>73</v>
      </c>
      <c r="F25" s="4">
        <v>270000</v>
      </c>
      <c r="G25" s="6">
        <v>4320000</v>
      </c>
      <c r="H25" s="8">
        <f>F25*0.16</f>
        <v>43200</v>
      </c>
      <c r="I25" s="6">
        <v>4590000</v>
      </c>
      <c r="J25" t="s">
        <v>35</v>
      </c>
      <c r="K25" t="s">
        <v>74</v>
      </c>
      <c r="L25" t="s">
        <v>16</v>
      </c>
      <c r="M25" t="s">
        <v>75</v>
      </c>
      <c r="N25" t="s">
        <v>68</v>
      </c>
      <c r="O25" t="s">
        <v>15</v>
      </c>
      <c r="P25" t="s">
        <v>15</v>
      </c>
    </row>
    <row r="26" spans="1:16" x14ac:dyDescent="0.25">
      <c r="A26" t="s">
        <v>70</v>
      </c>
      <c r="B26" t="s">
        <v>71</v>
      </c>
      <c r="C26" t="s">
        <v>20</v>
      </c>
      <c r="D26" t="s">
        <v>72</v>
      </c>
      <c r="E26" t="s">
        <v>73</v>
      </c>
      <c r="F26" s="4">
        <v>270000</v>
      </c>
      <c r="G26" s="6">
        <v>4320000</v>
      </c>
      <c r="H26" s="8">
        <f>F26*0.16</f>
        <v>43200</v>
      </c>
      <c r="I26" s="6">
        <v>4590000</v>
      </c>
      <c r="J26" t="s">
        <v>34</v>
      </c>
      <c r="K26" t="s">
        <v>74</v>
      </c>
      <c r="L26" t="s">
        <v>16</v>
      </c>
      <c r="M26" t="s">
        <v>75</v>
      </c>
      <c r="N26" t="s">
        <v>68</v>
      </c>
      <c r="O26" t="s">
        <v>15</v>
      </c>
      <c r="P26" t="s">
        <v>15</v>
      </c>
    </row>
    <row r="27" spans="1:16" x14ac:dyDescent="0.25">
      <c r="A27" t="s">
        <v>70</v>
      </c>
      <c r="B27" t="s">
        <v>71</v>
      </c>
      <c r="C27" t="s">
        <v>20</v>
      </c>
      <c r="D27" t="s">
        <v>72</v>
      </c>
      <c r="E27" t="s">
        <v>73</v>
      </c>
      <c r="F27" s="4">
        <v>240000</v>
      </c>
      <c r="G27" s="6">
        <v>3840000</v>
      </c>
      <c r="H27" s="8">
        <f>F27*0.16</f>
        <v>38400</v>
      </c>
      <c r="I27" s="6">
        <v>4080000</v>
      </c>
      <c r="J27" t="s">
        <v>119</v>
      </c>
      <c r="K27" t="s">
        <v>74</v>
      </c>
      <c r="L27" t="s">
        <v>16</v>
      </c>
      <c r="M27" t="s">
        <v>75</v>
      </c>
      <c r="N27" t="s">
        <v>68</v>
      </c>
      <c r="O27" t="s">
        <v>15</v>
      </c>
      <c r="P27" t="s">
        <v>15</v>
      </c>
    </row>
    <row r="28" spans="1:16" x14ac:dyDescent="0.25">
      <c r="A28" t="s">
        <v>70</v>
      </c>
      <c r="B28" t="s">
        <v>71</v>
      </c>
      <c r="C28" t="s">
        <v>20</v>
      </c>
      <c r="D28" t="s">
        <v>72</v>
      </c>
      <c r="E28" t="s">
        <v>73</v>
      </c>
      <c r="F28" s="4">
        <v>240000</v>
      </c>
      <c r="G28" s="6">
        <v>3840000</v>
      </c>
      <c r="H28" s="8">
        <f>F28*0.16</f>
        <v>38400</v>
      </c>
      <c r="I28" s="6">
        <v>4080000</v>
      </c>
      <c r="J28" t="s">
        <v>56</v>
      </c>
      <c r="K28" t="s">
        <v>74</v>
      </c>
      <c r="L28" t="s">
        <v>16</v>
      </c>
      <c r="M28" t="s">
        <v>75</v>
      </c>
      <c r="N28" t="s">
        <v>68</v>
      </c>
      <c r="O28" t="s">
        <v>15</v>
      </c>
      <c r="P28" t="s">
        <v>15</v>
      </c>
    </row>
    <row r="29" spans="1:16" x14ac:dyDescent="0.25">
      <c r="A29" t="s">
        <v>122</v>
      </c>
      <c r="B29" t="s">
        <v>123</v>
      </c>
      <c r="C29" t="s">
        <v>51</v>
      </c>
      <c r="D29" t="s">
        <v>124</v>
      </c>
      <c r="E29" t="s">
        <v>125</v>
      </c>
      <c r="F29" s="4">
        <v>350000</v>
      </c>
      <c r="G29" s="6">
        <v>5600000</v>
      </c>
      <c r="H29" s="8">
        <f>F29*0.16</f>
        <v>56000</v>
      </c>
      <c r="I29" s="6">
        <v>5950000</v>
      </c>
      <c r="J29" t="s">
        <v>56</v>
      </c>
      <c r="K29" t="s">
        <v>93</v>
      </c>
      <c r="L29" t="s">
        <v>16</v>
      </c>
      <c r="M29" t="s">
        <v>67</v>
      </c>
      <c r="N29" t="s">
        <v>69</v>
      </c>
      <c r="O29" t="s">
        <v>15</v>
      </c>
      <c r="P29" t="s">
        <v>15</v>
      </c>
    </row>
    <row r="30" spans="1:16" x14ac:dyDescent="0.25">
      <c r="A30" t="s">
        <v>122</v>
      </c>
      <c r="B30" t="s">
        <v>123</v>
      </c>
      <c r="C30" t="s">
        <v>51</v>
      </c>
      <c r="D30" t="s">
        <v>124</v>
      </c>
      <c r="E30" t="s">
        <v>125</v>
      </c>
      <c r="F30" s="4">
        <v>200000</v>
      </c>
      <c r="G30" s="6">
        <v>3200000</v>
      </c>
      <c r="H30" s="8">
        <f>F30*0.16</f>
        <v>32000</v>
      </c>
      <c r="I30" s="6">
        <v>3400000</v>
      </c>
      <c r="J30" t="s">
        <v>55</v>
      </c>
      <c r="K30" t="s">
        <v>93</v>
      </c>
      <c r="L30" t="s">
        <v>16</v>
      </c>
      <c r="M30" t="s">
        <v>67</v>
      </c>
      <c r="N30" t="s">
        <v>69</v>
      </c>
      <c r="O30" t="s">
        <v>15</v>
      </c>
      <c r="P30" t="s">
        <v>15</v>
      </c>
    </row>
    <row r="31" spans="1:16" x14ac:dyDescent="0.25">
      <c r="A31" t="s">
        <v>100</v>
      </c>
      <c r="B31" t="s">
        <v>101</v>
      </c>
      <c r="C31" t="s">
        <v>44</v>
      </c>
      <c r="D31" t="s">
        <v>102</v>
      </c>
      <c r="E31" t="s">
        <v>103</v>
      </c>
      <c r="F31" s="4">
        <v>700000</v>
      </c>
      <c r="G31" s="6">
        <v>11200000</v>
      </c>
      <c r="H31" s="8">
        <f>F31*0.16</f>
        <v>112000</v>
      </c>
      <c r="I31" s="6">
        <v>11900000</v>
      </c>
      <c r="J31" t="s">
        <v>32</v>
      </c>
      <c r="K31" t="s">
        <v>93</v>
      </c>
      <c r="L31" t="s">
        <v>16</v>
      </c>
      <c r="M31" t="s">
        <v>67</v>
      </c>
      <c r="N31" t="s">
        <v>48</v>
      </c>
      <c r="O31" t="s">
        <v>15</v>
      </c>
      <c r="P31" t="s">
        <v>15</v>
      </c>
    </row>
    <row r="32" spans="1:16" x14ac:dyDescent="0.25">
      <c r="A32" t="s">
        <v>100</v>
      </c>
      <c r="B32" t="s">
        <v>101</v>
      </c>
      <c r="C32" t="s">
        <v>44</v>
      </c>
      <c r="D32" t="s">
        <v>102</v>
      </c>
      <c r="E32" t="s">
        <v>103</v>
      </c>
      <c r="F32" s="4">
        <v>500000</v>
      </c>
      <c r="G32" s="6">
        <v>8000000</v>
      </c>
      <c r="H32" s="8">
        <f>F32*0.16</f>
        <v>80000</v>
      </c>
      <c r="I32" s="6">
        <v>8500000</v>
      </c>
      <c r="J32" t="s">
        <v>32</v>
      </c>
      <c r="K32" t="s">
        <v>93</v>
      </c>
      <c r="L32" t="s">
        <v>16</v>
      </c>
      <c r="M32" t="s">
        <v>67</v>
      </c>
      <c r="N32" t="s">
        <v>52</v>
      </c>
      <c r="O32" t="s">
        <v>15</v>
      </c>
      <c r="P32" t="s">
        <v>15</v>
      </c>
    </row>
    <row r="33" spans="1:16" x14ac:dyDescent="0.25">
      <c r="A33" t="s">
        <v>100</v>
      </c>
      <c r="B33" t="s">
        <v>101</v>
      </c>
      <c r="C33" t="s">
        <v>44</v>
      </c>
      <c r="D33" t="s">
        <v>102</v>
      </c>
      <c r="E33" t="s">
        <v>103</v>
      </c>
      <c r="F33" s="4">
        <v>210000</v>
      </c>
      <c r="G33" s="6">
        <v>3360000</v>
      </c>
      <c r="H33" s="8">
        <f>F33*0.16</f>
        <v>33600</v>
      </c>
      <c r="I33" s="6">
        <v>3570000</v>
      </c>
      <c r="J33" t="s">
        <v>37</v>
      </c>
      <c r="K33" t="s">
        <v>93</v>
      </c>
      <c r="L33" t="s">
        <v>16</v>
      </c>
      <c r="M33" t="s">
        <v>67</v>
      </c>
      <c r="N33" t="s">
        <v>69</v>
      </c>
      <c r="O33" t="s">
        <v>15</v>
      </c>
      <c r="P33" t="s">
        <v>15</v>
      </c>
    </row>
    <row r="34" spans="1:16" x14ac:dyDescent="0.25">
      <c r="A34" t="s">
        <v>100</v>
      </c>
      <c r="B34" t="s">
        <v>101</v>
      </c>
      <c r="C34" t="s">
        <v>44</v>
      </c>
      <c r="D34" t="s">
        <v>102</v>
      </c>
      <c r="E34" t="s">
        <v>103</v>
      </c>
      <c r="F34" s="4">
        <v>160000</v>
      </c>
      <c r="G34" s="6">
        <v>2560000</v>
      </c>
      <c r="H34" s="8">
        <f>F34*0.16</f>
        <v>25600</v>
      </c>
      <c r="I34" s="6">
        <v>2720000</v>
      </c>
      <c r="J34" t="s">
        <v>31</v>
      </c>
      <c r="K34" t="s">
        <v>93</v>
      </c>
      <c r="L34" t="s">
        <v>16</v>
      </c>
      <c r="M34" t="s">
        <v>67</v>
      </c>
      <c r="N34" t="s">
        <v>69</v>
      </c>
      <c r="O34" t="s">
        <v>15</v>
      </c>
      <c r="P34" t="s">
        <v>15</v>
      </c>
    </row>
    <row r="35" spans="1:16" x14ac:dyDescent="0.25">
      <c r="A35" t="s">
        <v>100</v>
      </c>
      <c r="B35" t="s">
        <v>101</v>
      </c>
      <c r="C35" t="s">
        <v>44</v>
      </c>
      <c r="D35" t="s">
        <v>102</v>
      </c>
      <c r="E35" t="s">
        <v>103</v>
      </c>
      <c r="F35" s="4">
        <v>90000</v>
      </c>
      <c r="G35" s="6">
        <v>1440000</v>
      </c>
      <c r="H35" s="8">
        <f>F35*0.16</f>
        <v>14400</v>
      </c>
      <c r="I35" s="6">
        <v>1530000</v>
      </c>
      <c r="J35" t="s">
        <v>127</v>
      </c>
      <c r="K35" t="s">
        <v>93</v>
      </c>
      <c r="L35" t="s">
        <v>16</v>
      </c>
      <c r="M35" t="s">
        <v>67</v>
      </c>
      <c r="N35" t="s">
        <v>69</v>
      </c>
      <c r="O35" t="s">
        <v>15</v>
      </c>
      <c r="P35" t="s">
        <v>15</v>
      </c>
    </row>
    <row r="36" spans="1:16" x14ac:dyDescent="0.25">
      <c r="A36" t="s">
        <v>109</v>
      </c>
      <c r="B36" t="s">
        <v>110</v>
      </c>
      <c r="C36" t="s">
        <v>44</v>
      </c>
      <c r="D36" t="s">
        <v>111</v>
      </c>
      <c r="E36" t="s">
        <v>112</v>
      </c>
      <c r="F36" s="4">
        <v>780000</v>
      </c>
      <c r="G36" s="6">
        <v>12480000</v>
      </c>
      <c r="H36" s="8">
        <f>F36*0.16</f>
        <v>124800</v>
      </c>
      <c r="I36" s="6">
        <v>13260000</v>
      </c>
      <c r="J36" t="s">
        <v>34</v>
      </c>
      <c r="K36" t="s">
        <v>113</v>
      </c>
      <c r="L36" t="s">
        <v>16</v>
      </c>
      <c r="M36" t="s">
        <v>61</v>
      </c>
      <c r="N36" t="s">
        <v>46</v>
      </c>
      <c r="O36" t="s">
        <v>15</v>
      </c>
      <c r="P36" t="s">
        <v>15</v>
      </c>
    </row>
    <row r="37" spans="1:16" x14ac:dyDescent="0.25">
      <c r="A37" t="s">
        <v>109</v>
      </c>
      <c r="B37" t="s">
        <v>110</v>
      </c>
      <c r="C37" t="s">
        <v>44</v>
      </c>
      <c r="D37" t="s">
        <v>111</v>
      </c>
      <c r="E37" t="s">
        <v>112</v>
      </c>
      <c r="F37" s="4">
        <v>600000</v>
      </c>
      <c r="G37" s="6">
        <v>9600000</v>
      </c>
      <c r="H37" s="8">
        <f>F37*0.16</f>
        <v>96000</v>
      </c>
      <c r="I37" s="6">
        <v>10200000</v>
      </c>
      <c r="J37" t="s">
        <v>37</v>
      </c>
      <c r="K37" t="s">
        <v>113</v>
      </c>
      <c r="L37" t="s">
        <v>16</v>
      </c>
      <c r="M37" t="s">
        <v>61</v>
      </c>
      <c r="N37" t="s">
        <v>45</v>
      </c>
      <c r="O37" t="s">
        <v>15</v>
      </c>
      <c r="P37" t="s">
        <v>15</v>
      </c>
    </row>
    <row r="38" spans="1:16" x14ac:dyDescent="0.25">
      <c r="A38" t="s">
        <v>109</v>
      </c>
      <c r="B38" t="s">
        <v>110</v>
      </c>
      <c r="C38" t="s">
        <v>44</v>
      </c>
      <c r="D38" t="s">
        <v>111</v>
      </c>
      <c r="E38" t="s">
        <v>112</v>
      </c>
      <c r="F38" s="4">
        <v>600000</v>
      </c>
      <c r="G38" s="6">
        <v>9600000</v>
      </c>
      <c r="H38" s="8">
        <f>F38*0.16</f>
        <v>96000</v>
      </c>
      <c r="I38" s="6">
        <v>10200000</v>
      </c>
      <c r="J38" t="s">
        <v>34</v>
      </c>
      <c r="K38" t="s">
        <v>113</v>
      </c>
      <c r="L38" t="s">
        <v>16</v>
      </c>
      <c r="M38" t="s">
        <v>61</v>
      </c>
      <c r="N38" t="s">
        <v>126</v>
      </c>
      <c r="O38" t="s">
        <v>15</v>
      </c>
      <c r="P38" t="s">
        <v>15</v>
      </c>
    </row>
    <row r="39" spans="1:16" x14ac:dyDescent="0.25">
      <c r="A39" t="s">
        <v>109</v>
      </c>
      <c r="B39" t="s">
        <v>110</v>
      </c>
      <c r="C39" t="s">
        <v>44</v>
      </c>
      <c r="D39" t="s">
        <v>111</v>
      </c>
      <c r="E39" t="s">
        <v>112</v>
      </c>
      <c r="F39" s="4">
        <v>295500</v>
      </c>
      <c r="G39" s="6">
        <v>4728000</v>
      </c>
      <c r="H39" s="8">
        <f>F39*0.16</f>
        <v>47280</v>
      </c>
      <c r="I39" s="6">
        <v>5023500</v>
      </c>
      <c r="J39" t="s">
        <v>33</v>
      </c>
      <c r="K39" t="s">
        <v>113</v>
      </c>
      <c r="L39" t="s">
        <v>16</v>
      </c>
      <c r="M39" t="s">
        <v>61</v>
      </c>
      <c r="N39" t="s">
        <v>129</v>
      </c>
      <c r="O39" t="s">
        <v>15</v>
      </c>
      <c r="P39" t="s">
        <v>15</v>
      </c>
    </row>
    <row r="40" spans="1:16" x14ac:dyDescent="0.25">
      <c r="A40" t="s">
        <v>104</v>
      </c>
      <c r="B40" t="s">
        <v>105</v>
      </c>
      <c r="C40" t="s">
        <v>23</v>
      </c>
      <c r="D40" t="s">
        <v>106</v>
      </c>
      <c r="E40" t="s">
        <v>107</v>
      </c>
      <c r="F40" s="4">
        <v>227500</v>
      </c>
      <c r="G40" s="6">
        <v>3640000</v>
      </c>
      <c r="H40" s="8">
        <f>F40*0.16</f>
        <v>36400</v>
      </c>
      <c r="I40" s="6">
        <v>3867500</v>
      </c>
      <c r="J40" t="s">
        <v>39</v>
      </c>
      <c r="K40" t="s">
        <v>92</v>
      </c>
      <c r="L40" t="s">
        <v>16</v>
      </c>
      <c r="M40" t="s">
        <v>65</v>
      </c>
      <c r="N40" t="s">
        <v>47</v>
      </c>
      <c r="O40" t="s">
        <v>15</v>
      </c>
      <c r="P40" t="s">
        <v>15</v>
      </c>
    </row>
    <row r="41" spans="1:16" x14ac:dyDescent="0.25">
      <c r="A41" t="s">
        <v>104</v>
      </c>
      <c r="B41" t="s">
        <v>105</v>
      </c>
      <c r="C41" t="s">
        <v>23</v>
      </c>
      <c r="D41" t="s">
        <v>106</v>
      </c>
      <c r="E41" t="s">
        <v>107</v>
      </c>
      <c r="F41" s="4">
        <v>195000</v>
      </c>
      <c r="G41" s="6">
        <v>3120000</v>
      </c>
      <c r="H41" s="8">
        <f>F41*0.16</f>
        <v>31200</v>
      </c>
      <c r="I41" s="6">
        <v>3315000</v>
      </c>
      <c r="J41" t="s">
        <v>31</v>
      </c>
      <c r="K41" t="s">
        <v>92</v>
      </c>
      <c r="L41" t="s">
        <v>16</v>
      </c>
      <c r="M41" t="s">
        <v>65</v>
      </c>
      <c r="N41" t="s">
        <v>47</v>
      </c>
      <c r="O41" t="s">
        <v>15</v>
      </c>
      <c r="P41" t="s">
        <v>15</v>
      </c>
    </row>
    <row r="42" spans="1:16" x14ac:dyDescent="0.25">
      <c r="A42" t="s">
        <v>104</v>
      </c>
      <c r="B42" t="s">
        <v>105</v>
      </c>
      <c r="C42" t="s">
        <v>23</v>
      </c>
      <c r="D42" t="s">
        <v>106</v>
      </c>
      <c r="E42" t="s">
        <v>107</v>
      </c>
      <c r="F42" s="4">
        <v>195000</v>
      </c>
      <c r="G42" s="6">
        <v>3120000</v>
      </c>
      <c r="H42" s="8">
        <f>F42*0.16</f>
        <v>31200</v>
      </c>
      <c r="I42" s="6">
        <v>3315000</v>
      </c>
      <c r="J42" t="s">
        <v>55</v>
      </c>
      <c r="K42" t="s">
        <v>92</v>
      </c>
      <c r="L42" t="s">
        <v>16</v>
      </c>
      <c r="M42" t="s">
        <v>65</v>
      </c>
      <c r="N42" t="s">
        <v>47</v>
      </c>
      <c r="O42" t="s">
        <v>15</v>
      </c>
      <c r="P42" t="s">
        <v>15</v>
      </c>
    </row>
    <row r="43" spans="1:16" x14ac:dyDescent="0.25">
      <c r="A43" t="s">
        <v>28</v>
      </c>
      <c r="B43" t="s">
        <v>29</v>
      </c>
      <c r="C43" t="s">
        <v>44</v>
      </c>
      <c r="D43" t="s">
        <v>62</v>
      </c>
      <c r="E43" t="s">
        <v>63</v>
      </c>
      <c r="F43" s="4">
        <v>552500</v>
      </c>
      <c r="G43" s="6">
        <v>8840000</v>
      </c>
      <c r="H43" s="8">
        <f>F43*0.16</f>
        <v>88400</v>
      </c>
      <c r="I43" s="6">
        <v>9392500</v>
      </c>
      <c r="J43" t="s">
        <v>38</v>
      </c>
      <c r="K43" t="s">
        <v>64</v>
      </c>
      <c r="L43" t="s">
        <v>16</v>
      </c>
      <c r="M43" t="s">
        <v>65</v>
      </c>
      <c r="N43" t="s">
        <v>66</v>
      </c>
      <c r="O43" t="s">
        <v>15</v>
      </c>
      <c r="P43" t="s">
        <v>15</v>
      </c>
    </row>
    <row r="44" spans="1:16" x14ac:dyDescent="0.25">
      <c r="A44" t="s">
        <v>28</v>
      </c>
      <c r="B44" t="s">
        <v>29</v>
      </c>
      <c r="C44" t="s">
        <v>44</v>
      </c>
      <c r="D44" t="s">
        <v>62</v>
      </c>
      <c r="E44" t="s">
        <v>63</v>
      </c>
      <c r="F44" s="4">
        <v>422500</v>
      </c>
      <c r="G44" s="6">
        <v>6760000</v>
      </c>
      <c r="H44" s="8">
        <f>F44*0.16</f>
        <v>67600</v>
      </c>
      <c r="I44" s="6">
        <v>7182500</v>
      </c>
      <c r="J44" t="s">
        <v>37</v>
      </c>
      <c r="K44" t="s">
        <v>64</v>
      </c>
      <c r="L44" t="s">
        <v>16</v>
      </c>
      <c r="M44" t="s">
        <v>65</v>
      </c>
      <c r="N44" t="s">
        <v>108</v>
      </c>
      <c r="O44" t="s">
        <v>15</v>
      </c>
      <c r="P44" t="s">
        <v>15</v>
      </c>
    </row>
    <row r="45" spans="1:16" x14ac:dyDescent="0.25">
      <c r="A45" t="s">
        <v>28</v>
      </c>
      <c r="B45" t="s">
        <v>29</v>
      </c>
      <c r="C45" t="s">
        <v>44</v>
      </c>
      <c r="D45" t="s">
        <v>62</v>
      </c>
      <c r="E45" t="s">
        <v>63</v>
      </c>
      <c r="F45" s="4">
        <v>390000</v>
      </c>
      <c r="G45" s="6">
        <v>6240000</v>
      </c>
      <c r="H45" s="8">
        <f>F45*0.16</f>
        <v>62400</v>
      </c>
      <c r="I45" s="6">
        <v>6630000</v>
      </c>
      <c r="J45" t="s">
        <v>39</v>
      </c>
      <c r="K45" t="s">
        <v>64</v>
      </c>
      <c r="L45" t="s">
        <v>16</v>
      </c>
      <c r="M45" t="s">
        <v>65</v>
      </c>
      <c r="N45" t="s">
        <v>108</v>
      </c>
      <c r="O45" t="s">
        <v>15</v>
      </c>
      <c r="P45" t="s">
        <v>15</v>
      </c>
    </row>
    <row r="46" spans="1:16" x14ac:dyDescent="0.25">
      <c r="A46" t="s">
        <v>28</v>
      </c>
      <c r="B46" t="s">
        <v>29</v>
      </c>
      <c r="C46" t="s">
        <v>44</v>
      </c>
      <c r="D46" t="s">
        <v>62</v>
      </c>
      <c r="E46" t="s">
        <v>63</v>
      </c>
      <c r="F46" s="4">
        <v>292500</v>
      </c>
      <c r="G46" s="6">
        <v>4680000</v>
      </c>
      <c r="H46" s="8">
        <f>F46*0.16</f>
        <v>46800</v>
      </c>
      <c r="I46" s="6">
        <v>4972500</v>
      </c>
      <c r="J46" t="s">
        <v>31</v>
      </c>
      <c r="K46" t="s">
        <v>64</v>
      </c>
      <c r="L46" t="s">
        <v>16</v>
      </c>
      <c r="M46" t="s">
        <v>65</v>
      </c>
      <c r="N46" t="s">
        <v>108</v>
      </c>
      <c r="O46" t="s">
        <v>15</v>
      </c>
      <c r="P46" t="s">
        <v>15</v>
      </c>
    </row>
    <row r="47" spans="1:16" x14ac:dyDescent="0.25">
      <c r="A47" t="s">
        <v>28</v>
      </c>
      <c r="B47" t="s">
        <v>29</v>
      </c>
      <c r="C47" t="s">
        <v>44</v>
      </c>
      <c r="D47" t="s">
        <v>62</v>
      </c>
      <c r="E47" t="s">
        <v>63</v>
      </c>
      <c r="F47" s="4">
        <v>292500</v>
      </c>
      <c r="G47" s="6">
        <v>4680000</v>
      </c>
      <c r="H47" s="8">
        <f>F47*0.16</f>
        <v>46800</v>
      </c>
      <c r="I47" s="6">
        <v>4972500</v>
      </c>
      <c r="J47" t="s">
        <v>34</v>
      </c>
      <c r="K47" t="s">
        <v>64</v>
      </c>
      <c r="L47" t="s">
        <v>16</v>
      </c>
      <c r="M47" t="s">
        <v>65</v>
      </c>
      <c r="N47" t="s">
        <v>108</v>
      </c>
      <c r="O47" t="s">
        <v>15</v>
      </c>
      <c r="P47" t="s">
        <v>15</v>
      </c>
    </row>
    <row r="48" spans="1:16" x14ac:dyDescent="0.25">
      <c r="A48" t="s">
        <v>17</v>
      </c>
      <c r="B48" t="s">
        <v>18</v>
      </c>
      <c r="C48" t="s">
        <v>21</v>
      </c>
      <c r="D48" t="s">
        <v>53</v>
      </c>
      <c r="E48" t="s">
        <v>54</v>
      </c>
      <c r="F48" s="4">
        <v>900000</v>
      </c>
      <c r="G48" s="6">
        <v>11808000</v>
      </c>
      <c r="H48" s="8">
        <f>F48*0.16</f>
        <v>144000</v>
      </c>
      <c r="I48" s="6">
        <v>12708000</v>
      </c>
      <c r="J48" t="s">
        <v>36</v>
      </c>
      <c r="K48" t="s">
        <v>40</v>
      </c>
      <c r="L48" t="s">
        <v>19</v>
      </c>
      <c r="M48" t="s">
        <v>41</v>
      </c>
      <c r="N48" t="s">
        <v>42</v>
      </c>
      <c r="O48" t="s">
        <v>15</v>
      </c>
      <c r="P48" t="s">
        <v>43</v>
      </c>
    </row>
    <row r="49" spans="1:16" x14ac:dyDescent="0.25">
      <c r="A49" t="s">
        <v>17</v>
      </c>
      <c r="B49" t="s">
        <v>18</v>
      </c>
      <c r="C49" t="s">
        <v>21</v>
      </c>
      <c r="D49" t="s">
        <v>53</v>
      </c>
      <c r="E49" t="s">
        <v>54</v>
      </c>
      <c r="F49" s="4">
        <v>300000</v>
      </c>
      <c r="G49" s="6">
        <v>3936000</v>
      </c>
      <c r="H49" s="8">
        <f>F49*0.16</f>
        <v>48000</v>
      </c>
      <c r="I49" s="6">
        <v>4236000</v>
      </c>
      <c r="J49" t="s">
        <v>59</v>
      </c>
      <c r="K49" t="s">
        <v>40</v>
      </c>
      <c r="L49" t="s">
        <v>19</v>
      </c>
      <c r="M49" t="s">
        <v>41</v>
      </c>
      <c r="N49" t="s">
        <v>60</v>
      </c>
      <c r="O49" t="s">
        <v>15</v>
      </c>
      <c r="P49" t="s">
        <v>43</v>
      </c>
    </row>
  </sheetData>
  <sortState xmlns:xlrd2="http://schemas.microsoft.com/office/spreadsheetml/2017/richdata2" ref="A2:P49">
    <sortCondition ref="D6:D49"/>
  </sortState>
  <conditionalFormatting sqref="D1">
    <cfRule type="containsText" dxfId="5" priority="1" operator="containsText" text="506729">
      <formula>NOT(ISERROR(SEARCH("506729",D1)))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896A8-FB27-49A1-BE58-83BDA49545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E78B-C882-423D-BCE2-952CF6BC24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Wanyoike</dc:creator>
  <cp:lastModifiedBy>Francis Wanyoike</cp:lastModifiedBy>
  <dcterms:created xsi:type="dcterms:W3CDTF">2025-12-15T11:55:39Z</dcterms:created>
  <dcterms:modified xsi:type="dcterms:W3CDTF">2025-12-15T12:05:47Z</dcterms:modified>
</cp:coreProperties>
</file>