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1\Downloads\"/>
    </mc:Choice>
  </mc:AlternateContent>
  <bookViews>
    <workbookView xWindow="0" yWindow="0" windowWidth="23040" windowHeight="8535"/>
  </bookViews>
  <sheets>
    <sheet name="Budget 2025" sheetId="2" r:id="rId1"/>
  </sheets>
  <calcPr calcId="162913"/>
</workbook>
</file>

<file path=xl/calcChain.xml><?xml version="1.0" encoding="utf-8"?>
<calcChain xmlns="http://schemas.openxmlformats.org/spreadsheetml/2006/main">
  <c r="C43" i="2" l="1"/>
  <c r="D43" i="2"/>
  <c r="E43" i="2"/>
  <c r="F43" i="2"/>
  <c r="B35" i="2"/>
  <c r="G35" i="2" s="1"/>
  <c r="B31" i="2"/>
  <c r="G31" i="2" s="1"/>
  <c r="B29" i="2"/>
  <c r="G29" i="2" s="1"/>
  <c r="B27" i="2"/>
  <c r="G27" i="2" s="1"/>
  <c r="B7" i="2"/>
  <c r="G7" i="2" s="1"/>
  <c r="B28" i="2"/>
  <c r="G28" i="2" s="1"/>
  <c r="B23" i="2"/>
  <c r="G23" i="2" s="1"/>
  <c r="B17" i="2"/>
  <c r="G17" i="2" s="1"/>
  <c r="B18" i="2"/>
  <c r="G18" i="2" s="1"/>
  <c r="B16" i="2"/>
  <c r="G16" i="2" s="1"/>
  <c r="B6" i="2"/>
  <c r="G6" i="2" s="1"/>
  <c r="B8" i="2"/>
  <c r="G8" i="2" s="1"/>
  <c r="B26" i="2"/>
  <c r="G26" i="2" s="1"/>
  <c r="B3" i="2"/>
  <c r="G3" i="2" s="1"/>
  <c r="B4" i="2"/>
  <c r="G4" i="2" s="1"/>
  <c r="B5" i="2"/>
  <c r="G5" i="2" s="1"/>
  <c r="B9" i="2"/>
  <c r="G9" i="2" s="1"/>
  <c r="B10" i="2"/>
  <c r="G10" i="2" s="1"/>
  <c r="B11" i="2"/>
  <c r="G11" i="2" s="1"/>
  <c r="B12" i="2"/>
  <c r="G12" i="2" s="1"/>
  <c r="B13" i="2"/>
  <c r="G13" i="2" s="1"/>
  <c r="B14" i="2"/>
  <c r="G14" i="2" s="1"/>
  <c r="B15" i="2"/>
  <c r="G15" i="2" s="1"/>
  <c r="B19" i="2"/>
  <c r="G19" i="2" s="1"/>
  <c r="B20" i="2"/>
  <c r="G20" i="2" s="1"/>
  <c r="B21" i="2"/>
  <c r="G21" i="2" s="1"/>
  <c r="B22" i="2"/>
  <c r="G22" i="2" s="1"/>
  <c r="B24" i="2"/>
  <c r="G24" i="2" s="1"/>
  <c r="B25" i="2"/>
  <c r="G25" i="2" s="1"/>
  <c r="B30" i="2"/>
  <c r="G30" i="2" s="1"/>
  <c r="B32" i="2"/>
  <c r="G32" i="2" s="1"/>
  <c r="B33" i="2"/>
  <c r="G33" i="2" s="1"/>
  <c r="B34" i="2"/>
  <c r="G34" i="2" s="1"/>
  <c r="B36" i="2"/>
  <c r="G36" i="2" s="1"/>
  <c r="B37" i="2"/>
  <c r="G37" i="2" s="1"/>
  <c r="B38" i="2"/>
  <c r="G38" i="2" s="1"/>
  <c r="B39" i="2"/>
  <c r="G39" i="2" s="1"/>
  <c r="B40" i="2"/>
  <c r="G40" i="2" s="1"/>
  <c r="B41" i="2"/>
  <c r="G41" i="2" s="1"/>
  <c r="B42" i="2"/>
  <c r="G42" i="2" s="1"/>
  <c r="G44" i="2"/>
  <c r="G45" i="2"/>
  <c r="G46" i="2"/>
  <c r="G47" i="2"/>
  <c r="G48" i="2"/>
  <c r="G49" i="2"/>
  <c r="B2" i="2"/>
  <c r="G2" i="2" s="1"/>
  <c r="B43" i="2" l="1"/>
  <c r="G43" i="2" s="1"/>
</calcChain>
</file>

<file path=xl/sharedStrings.xml><?xml version="1.0" encoding="utf-8"?>
<sst xmlns="http://schemas.openxmlformats.org/spreadsheetml/2006/main" count="48" uniqueCount="48">
  <si>
    <t>Expense</t>
  </si>
  <si>
    <t>Total</t>
  </si>
  <si>
    <t>Mombasa</t>
  </si>
  <si>
    <t>Nanyuki</t>
  </si>
  <si>
    <t>Narok</t>
  </si>
  <si>
    <t>Nairobi</t>
  </si>
  <si>
    <t>Monthly Average</t>
  </si>
  <si>
    <t>Delivery expense</t>
  </si>
  <si>
    <t>Tyre centre Consumable</t>
  </si>
  <si>
    <t>General repair</t>
  </si>
  <si>
    <t>Equipment repair and maintenance</t>
  </si>
  <si>
    <t>Electricity</t>
  </si>
  <si>
    <t>Water expenses</t>
  </si>
  <si>
    <t>Printing and Sationery</t>
  </si>
  <si>
    <t>Insurance</t>
  </si>
  <si>
    <t>Lincese</t>
  </si>
  <si>
    <t>Rent</t>
  </si>
  <si>
    <t>Donations, Fines and penalties</t>
  </si>
  <si>
    <t>Staff Wellfare, training and recruitment</t>
  </si>
  <si>
    <t>Admin Travel expense</t>
  </si>
  <si>
    <t>Internet expense</t>
  </si>
  <si>
    <t>Claening expense</t>
  </si>
  <si>
    <t>Security expense</t>
  </si>
  <si>
    <t>General expense</t>
  </si>
  <si>
    <t>Generator fuel</t>
  </si>
  <si>
    <t>Legal fees</t>
  </si>
  <si>
    <t>Staff airtime</t>
  </si>
  <si>
    <t>Consultancy</t>
  </si>
  <si>
    <t>Sales Commission</t>
  </si>
  <si>
    <t>Marketing expense</t>
  </si>
  <si>
    <t>Fuel and motor oil</t>
  </si>
  <si>
    <t>Motor repair and maintenance</t>
  </si>
  <si>
    <t>Parking fee</t>
  </si>
  <si>
    <t>Miscellaneous expense</t>
  </si>
  <si>
    <t>Office consumable</t>
  </si>
  <si>
    <t>Salaries</t>
  </si>
  <si>
    <t>Casual wages</t>
  </si>
  <si>
    <t>Staff tea and lunch</t>
  </si>
  <si>
    <t>Building repair</t>
  </si>
  <si>
    <t>Staff Uniform</t>
  </si>
  <si>
    <t>Generator Repairs</t>
  </si>
  <si>
    <t>Computer repairs/ Accessories</t>
  </si>
  <si>
    <t>Telephone &amp; Postage</t>
  </si>
  <si>
    <t>Software expense</t>
  </si>
  <si>
    <t>Advertising</t>
  </si>
  <si>
    <t>Tenderfee</t>
  </si>
  <si>
    <t>Accounting services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</si>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</sst>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 val="doubleAccounting"/>
      <sz val="11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43" fontId="0" fillId="0" borderId="0" xfId="1" applyFont="1"/>
    <xf numFmtId="0" fontId="0" fillId="0" borderId="1" xfId="0" applyBorder="1"/>
    <xf numFmtId="0" fontId="0" fillId="0" borderId="0" xfId="0" applyBorder="1"/>
    <xf numFmtId="0" fontId="2" fillId="0" borderId="1" xfId="0" applyFont="1" applyBorder="1"/>
    <xf numFmtId="43" fontId="2" fillId="0" borderId="1" xfId="1" applyFont="1" applyBorder="1"/>
    <xf numFmtId="43" fontId="0" fillId="0" borderId="1" xfId="1" applyFont="1" applyBorder="1"/>
    <xf numFmtId="43" fontId="0" fillId="0" borderId="0" xfId="1" applyFont="1" applyBorder="1"/>
    <xf numFmtId="43" fontId="3" fillId="0" borderId="1" xfId="1" applyFont="1" applyBorder="1"/>
    <xf numFmtId="0" fontId="4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"/>
  <sheetViews>
    <sheetView tabSelected="1" workbookViewId="0">
      <selection activeCell="I40" sqref="I40"/>
    </sheetView>
  </sheetViews>
  <sheetFormatPr defaultRowHeight="15" x14ac:dyDescent="0.25"/>
  <cols>
    <col min="1" max="1" width="29.85546875" bestFit="1" customWidth="1"/>
    <col min="2" max="2" width="14.140625" style="1" bestFit="1" customWidth="1"/>
    <col min="3" max="3" width="13.7109375" style="1" bestFit="1" customWidth="1"/>
    <col min="4" max="6" width="13.140625" style="1" bestFit="1" customWidth="1"/>
    <col min="7" max="7" width="18.42578125" style="1" bestFit="1" customWidth="1"/>
  </cols>
  <sheetData>
    <row r="1" spans="1:7" ht="15.75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5">
      <c r="A2" s="2" t="s">
        <v>7</v>
      </c>
      <c r="B2" s="6">
        <f>C2+D2+E2+F2</f>
        <v>1333464</v>
      </c>
      <c r="C2" s="6">
        <v>614729</v>
      </c>
      <c r="D2" s="6">
        <v>131692</v>
      </c>
      <c r="E2" s="6">
        <v>42750</v>
      </c>
      <c r="F2" s="6">
        <v>544293</v>
      </c>
      <c r="G2" s="6">
        <f>B2/12</f>
        <v>111122</v>
      </c>
    </row>
    <row r="3" spans="1:7" x14ac:dyDescent="0.25">
      <c r="A3" s="2" t="s">
        <v>8</v>
      </c>
      <c r="B3" s="6">
        <f t="shared" ref="B3:B42" si="0">C3+D3+E3+F3</f>
        <v>167574.5</v>
      </c>
      <c r="C3" s="6">
        <v>17613.78</v>
      </c>
      <c r="D3" s="6">
        <v>93174.49</v>
      </c>
      <c r="E3" s="6">
        <v>53282.78</v>
      </c>
      <c r="F3" s="6">
        <v>3503.45</v>
      </c>
      <c r="G3" s="6">
        <f t="shared" ref="G3:G49" si="1">B3/12</f>
        <v>13964.541666666666</v>
      </c>
    </row>
    <row r="4" spans="1:7" x14ac:dyDescent="0.25">
      <c r="A4" s="2" t="s">
        <v>9</v>
      </c>
      <c r="B4" s="6">
        <f t="shared" si="0"/>
        <v>53710</v>
      </c>
      <c r="C4" s="6">
        <v>800</v>
      </c>
      <c r="D4" s="6">
        <v>35410</v>
      </c>
      <c r="E4" s="6">
        <v>17500</v>
      </c>
      <c r="F4" s="6"/>
      <c r="G4" s="6">
        <f t="shared" si="1"/>
        <v>4475.833333333333</v>
      </c>
    </row>
    <row r="5" spans="1:7" x14ac:dyDescent="0.25">
      <c r="A5" s="2" t="s">
        <v>10</v>
      </c>
      <c r="B5" s="6">
        <f t="shared" si="0"/>
        <v>62208</v>
      </c>
      <c r="C5" s="6">
        <v>19308</v>
      </c>
      <c r="D5" s="6">
        <v>24950</v>
      </c>
      <c r="E5" s="6">
        <v>12450</v>
      </c>
      <c r="F5" s="6">
        <v>5500</v>
      </c>
      <c r="G5" s="6">
        <f t="shared" si="1"/>
        <v>5184</v>
      </c>
    </row>
    <row r="6" spans="1:7" x14ac:dyDescent="0.25">
      <c r="A6" s="2" t="s">
        <v>38</v>
      </c>
      <c r="B6" s="6">
        <f t="shared" si="0"/>
        <v>32460</v>
      </c>
      <c r="C6" s="6">
        <v>0</v>
      </c>
      <c r="D6" s="6">
        <v>13010</v>
      </c>
      <c r="E6" s="6">
        <v>19450</v>
      </c>
      <c r="F6" s="6"/>
      <c r="G6" s="6">
        <f t="shared" si="1"/>
        <v>2705</v>
      </c>
    </row>
    <row r="7" spans="1:7" x14ac:dyDescent="0.25">
      <c r="A7" s="2" t="s">
        <v>42</v>
      </c>
      <c r="B7" s="6">
        <f t="shared" si="0"/>
        <v>1000</v>
      </c>
      <c r="C7" s="6"/>
      <c r="D7" s="6"/>
      <c r="E7" s="6"/>
      <c r="F7" s="6">
        <v>1000</v>
      </c>
      <c r="G7" s="6">
        <f t="shared" si="1"/>
        <v>83.333333333333329</v>
      </c>
    </row>
    <row r="8" spans="1:7" x14ac:dyDescent="0.25">
      <c r="A8" s="2" t="s">
        <v>11</v>
      </c>
      <c r="B8" s="6">
        <f t="shared" si="0"/>
        <v>138703</v>
      </c>
      <c r="C8" s="6">
        <v>75611</v>
      </c>
      <c r="D8" s="6">
        <v>46072</v>
      </c>
      <c r="E8" s="6">
        <v>17020</v>
      </c>
      <c r="F8" s="6"/>
      <c r="G8" s="6">
        <f t="shared" si="1"/>
        <v>11558.583333333334</v>
      </c>
    </row>
    <row r="9" spans="1:7" x14ac:dyDescent="0.25">
      <c r="A9" s="2" t="s">
        <v>12</v>
      </c>
      <c r="B9" s="6">
        <f t="shared" si="0"/>
        <v>8060</v>
      </c>
      <c r="C9" s="6">
        <v>3000</v>
      </c>
      <c r="D9" s="6">
        <v>5060</v>
      </c>
      <c r="E9" s="6"/>
      <c r="F9" s="6"/>
      <c r="G9" s="6">
        <f t="shared" si="1"/>
        <v>671.66666666666663</v>
      </c>
    </row>
    <row r="10" spans="1:7" x14ac:dyDescent="0.25">
      <c r="A10" s="2" t="s">
        <v>13</v>
      </c>
      <c r="B10" s="6">
        <f t="shared" si="0"/>
        <v>38236</v>
      </c>
      <c r="C10" s="6">
        <v>6977</v>
      </c>
      <c r="D10" s="6">
        <v>23105</v>
      </c>
      <c r="E10" s="6">
        <v>8154</v>
      </c>
      <c r="F10" s="6"/>
      <c r="G10" s="6">
        <f t="shared" si="1"/>
        <v>3186.3333333333335</v>
      </c>
    </row>
    <row r="11" spans="1:7" x14ac:dyDescent="0.25">
      <c r="A11" s="2" t="s">
        <v>14</v>
      </c>
      <c r="B11" s="6">
        <f t="shared" si="0"/>
        <v>123035</v>
      </c>
      <c r="C11" s="6">
        <v>12301</v>
      </c>
      <c r="D11" s="6"/>
      <c r="E11" s="6"/>
      <c r="F11" s="6">
        <v>110734</v>
      </c>
      <c r="G11" s="6">
        <f t="shared" si="1"/>
        <v>10252.916666666666</v>
      </c>
    </row>
    <row r="12" spans="1:7" x14ac:dyDescent="0.25">
      <c r="A12" s="2" t="s">
        <v>15</v>
      </c>
      <c r="B12" s="6">
        <f t="shared" si="0"/>
        <v>50800</v>
      </c>
      <c r="C12" s="6">
        <v>21500</v>
      </c>
      <c r="D12" s="6">
        <v>16600</v>
      </c>
      <c r="E12" s="6">
        <v>12700</v>
      </c>
      <c r="F12" s="6"/>
      <c r="G12" s="6">
        <f t="shared" si="1"/>
        <v>4233.333333333333</v>
      </c>
    </row>
    <row r="13" spans="1:7" x14ac:dyDescent="0.25">
      <c r="A13" s="2" t="s">
        <v>16</v>
      </c>
      <c r="B13" s="6">
        <f t="shared" si="0"/>
        <v>4543391</v>
      </c>
      <c r="C13" s="6">
        <v>1911450</v>
      </c>
      <c r="D13" s="6">
        <v>1579441</v>
      </c>
      <c r="E13" s="6">
        <v>1052500</v>
      </c>
      <c r="F13" s="6"/>
      <c r="G13" s="6">
        <f t="shared" si="1"/>
        <v>378615.91666666669</v>
      </c>
    </row>
    <row r="14" spans="1:7" x14ac:dyDescent="0.25">
      <c r="A14" s="2" t="s">
        <v>17</v>
      </c>
      <c r="B14" s="6">
        <f t="shared" si="0"/>
        <v>340895</v>
      </c>
      <c r="C14" s="6">
        <v>178595</v>
      </c>
      <c r="D14" s="6"/>
      <c r="E14" s="6"/>
      <c r="F14" s="6">
        <v>162300</v>
      </c>
      <c r="G14" s="6">
        <f t="shared" si="1"/>
        <v>28407.916666666668</v>
      </c>
    </row>
    <row r="15" spans="1:7" x14ac:dyDescent="0.25">
      <c r="A15" s="2" t="s">
        <v>18</v>
      </c>
      <c r="B15" s="6">
        <f t="shared" si="0"/>
        <v>119210</v>
      </c>
      <c r="C15" s="6">
        <v>11260</v>
      </c>
      <c r="D15" s="6">
        <v>73450</v>
      </c>
      <c r="E15" s="6">
        <v>34500</v>
      </c>
      <c r="F15" s="6"/>
      <c r="G15" s="6">
        <f t="shared" si="1"/>
        <v>9934.1666666666661</v>
      </c>
    </row>
    <row r="16" spans="1:7" x14ac:dyDescent="0.25">
      <c r="A16" s="2" t="s">
        <v>19</v>
      </c>
      <c r="B16" s="6">
        <f>C16+D16+E16+F16</f>
        <v>1096323</v>
      </c>
      <c r="C16" s="6">
        <v>51340</v>
      </c>
      <c r="D16" s="6">
        <v>138110</v>
      </c>
      <c r="E16" s="6">
        <v>56450</v>
      </c>
      <c r="F16" s="6">
        <v>850423</v>
      </c>
      <c r="G16" s="6">
        <f t="shared" si="1"/>
        <v>91360.25</v>
      </c>
    </row>
    <row r="17" spans="1:7" x14ac:dyDescent="0.25">
      <c r="A17" s="2" t="s">
        <v>39</v>
      </c>
      <c r="B17" s="6">
        <f t="shared" ref="B17:B18" si="2">C17+D17+E17+F17</f>
        <v>128920</v>
      </c>
      <c r="C17" s="6"/>
      <c r="D17" s="6">
        <v>4850</v>
      </c>
      <c r="E17" s="6">
        <v>8150</v>
      </c>
      <c r="F17" s="6">
        <v>115920</v>
      </c>
      <c r="G17" s="6">
        <f t="shared" si="1"/>
        <v>10743.333333333334</v>
      </c>
    </row>
    <row r="18" spans="1:7" x14ac:dyDescent="0.25">
      <c r="A18" s="2" t="s">
        <v>20</v>
      </c>
      <c r="B18" s="6">
        <f t="shared" si="2"/>
        <v>67500</v>
      </c>
      <c r="C18" s="6">
        <v>38500</v>
      </c>
      <c r="D18" s="6">
        <v>20000</v>
      </c>
      <c r="E18" s="6">
        <v>9000</v>
      </c>
      <c r="F18" s="6"/>
      <c r="G18" s="6">
        <f t="shared" si="1"/>
        <v>5625</v>
      </c>
    </row>
    <row r="19" spans="1:7" x14ac:dyDescent="0.25">
      <c r="A19" s="2" t="s">
        <v>21</v>
      </c>
      <c r="B19" s="6">
        <f t="shared" si="0"/>
        <v>25510</v>
      </c>
      <c r="C19" s="6">
        <v>23110</v>
      </c>
      <c r="D19" s="6">
        <v>2400</v>
      </c>
      <c r="E19" s="6"/>
      <c r="F19" s="6"/>
      <c r="G19" s="6">
        <f t="shared" si="1"/>
        <v>2125.8333333333335</v>
      </c>
    </row>
    <row r="20" spans="1:7" x14ac:dyDescent="0.25">
      <c r="A20" s="2" t="s">
        <v>22</v>
      </c>
      <c r="B20" s="6">
        <f t="shared" si="0"/>
        <v>45000</v>
      </c>
      <c r="C20" s="6">
        <v>45000</v>
      </c>
      <c r="D20" s="6"/>
      <c r="E20" s="6"/>
      <c r="F20" s="6"/>
      <c r="G20" s="6">
        <f t="shared" si="1"/>
        <v>3750</v>
      </c>
    </row>
    <row r="21" spans="1:7" x14ac:dyDescent="0.25">
      <c r="A21" s="2" t="s">
        <v>23</v>
      </c>
      <c r="B21" s="6">
        <f t="shared" si="0"/>
        <v>139129</v>
      </c>
      <c r="C21" s="6">
        <v>7000</v>
      </c>
      <c r="D21" s="6">
        <v>46160</v>
      </c>
      <c r="E21" s="6">
        <v>17872</v>
      </c>
      <c r="F21" s="6">
        <v>68097</v>
      </c>
      <c r="G21" s="6">
        <f t="shared" si="1"/>
        <v>11594.083333333334</v>
      </c>
    </row>
    <row r="22" spans="1:7" x14ac:dyDescent="0.25">
      <c r="A22" s="2" t="s">
        <v>24</v>
      </c>
      <c r="B22" s="6">
        <f t="shared" si="0"/>
        <v>69500</v>
      </c>
      <c r="C22" s="6">
        <v>5500</v>
      </c>
      <c r="D22" s="6"/>
      <c r="E22" s="6">
        <v>64000</v>
      </c>
      <c r="F22" s="6"/>
      <c r="G22" s="6">
        <f t="shared" si="1"/>
        <v>5791.666666666667</v>
      </c>
    </row>
    <row r="23" spans="1:7" x14ac:dyDescent="0.25">
      <c r="A23" s="2" t="s">
        <v>40</v>
      </c>
      <c r="B23" s="6">
        <f t="shared" si="0"/>
        <v>1000</v>
      </c>
      <c r="C23" s="6">
        <v>0</v>
      </c>
      <c r="D23" s="6">
        <v>1000</v>
      </c>
      <c r="E23" s="6"/>
      <c r="F23" s="6"/>
      <c r="G23" s="6">
        <f t="shared" si="1"/>
        <v>83.333333333333329</v>
      </c>
    </row>
    <row r="24" spans="1:7" x14ac:dyDescent="0.25">
      <c r="A24" s="2" t="s">
        <v>25</v>
      </c>
      <c r="B24" s="6">
        <f t="shared" si="0"/>
        <v>36900</v>
      </c>
      <c r="C24" s="6">
        <v>6500</v>
      </c>
      <c r="D24" s="6"/>
      <c r="E24" s="6"/>
      <c r="F24" s="6">
        <v>30400</v>
      </c>
      <c r="G24" s="6">
        <f t="shared" si="1"/>
        <v>3075</v>
      </c>
    </row>
    <row r="25" spans="1:7" x14ac:dyDescent="0.25">
      <c r="A25" s="2" t="s">
        <v>26</v>
      </c>
      <c r="B25" s="6">
        <f t="shared" si="0"/>
        <v>67079</v>
      </c>
      <c r="C25" s="6">
        <v>23860</v>
      </c>
      <c r="D25" s="6">
        <v>7200</v>
      </c>
      <c r="E25" s="6">
        <v>6050</v>
      </c>
      <c r="F25" s="6">
        <v>29969</v>
      </c>
      <c r="G25" s="6">
        <f t="shared" si="1"/>
        <v>5589.916666666667</v>
      </c>
    </row>
    <row r="26" spans="1:7" x14ac:dyDescent="0.25">
      <c r="A26" s="2" t="s">
        <v>27</v>
      </c>
      <c r="B26" s="6">
        <f>C26+D26+E26+F26</f>
        <v>48000</v>
      </c>
      <c r="C26" s="6">
        <v>17000</v>
      </c>
      <c r="D26" s="6"/>
      <c r="E26" s="6"/>
      <c r="F26" s="6">
        <v>31000</v>
      </c>
      <c r="G26" s="6">
        <f t="shared" si="1"/>
        <v>4000</v>
      </c>
    </row>
    <row r="27" spans="1:7" x14ac:dyDescent="0.25">
      <c r="A27" s="2" t="s">
        <v>43</v>
      </c>
      <c r="B27" s="6">
        <f>C27+D27+E27+F27</f>
        <v>168084</v>
      </c>
      <c r="C27" s="6"/>
      <c r="D27" s="6"/>
      <c r="E27" s="6"/>
      <c r="F27" s="6">
        <v>168084</v>
      </c>
      <c r="G27" s="6">
        <f t="shared" si="1"/>
        <v>14007</v>
      </c>
    </row>
    <row r="28" spans="1:7" x14ac:dyDescent="0.25">
      <c r="A28" s="2" t="s">
        <v>41</v>
      </c>
      <c r="B28" s="6">
        <f>C28+D28+E28+F28</f>
        <v>2000</v>
      </c>
      <c r="C28" s="6"/>
      <c r="D28" s="6"/>
      <c r="E28" s="6">
        <v>2000</v>
      </c>
      <c r="F28" s="6"/>
      <c r="G28" s="6">
        <f t="shared" si="1"/>
        <v>166.66666666666666</v>
      </c>
    </row>
    <row r="29" spans="1:7" x14ac:dyDescent="0.25">
      <c r="A29" s="2" t="s">
        <v>44</v>
      </c>
      <c r="B29" s="6">
        <f>C29+D29+E29+F29</f>
        <v>7250</v>
      </c>
      <c r="C29" s="6"/>
      <c r="D29" s="6"/>
      <c r="E29" s="6"/>
      <c r="F29" s="6">
        <v>7250</v>
      </c>
      <c r="G29" s="6">
        <f t="shared" si="1"/>
        <v>604.16666666666663</v>
      </c>
    </row>
    <row r="30" spans="1:7" x14ac:dyDescent="0.25">
      <c r="A30" s="2" t="s">
        <v>28</v>
      </c>
      <c r="B30" s="6">
        <f t="shared" si="0"/>
        <v>1464990</v>
      </c>
      <c r="C30" s="6">
        <v>353576</v>
      </c>
      <c r="D30" s="6">
        <v>144800</v>
      </c>
      <c r="E30" s="6">
        <v>5100</v>
      </c>
      <c r="F30" s="6">
        <v>961514</v>
      </c>
      <c r="G30" s="6">
        <f t="shared" si="1"/>
        <v>122082.5</v>
      </c>
    </row>
    <row r="31" spans="1:7" x14ac:dyDescent="0.25">
      <c r="A31" s="2" t="s">
        <v>45</v>
      </c>
      <c r="B31" s="6">
        <f t="shared" si="0"/>
        <v>2625</v>
      </c>
      <c r="C31" s="6"/>
      <c r="D31" s="6"/>
      <c r="E31" s="6"/>
      <c r="F31" s="6">
        <v>2625</v>
      </c>
      <c r="G31" s="6">
        <f t="shared" si="1"/>
        <v>218.75</v>
      </c>
    </row>
    <row r="32" spans="1:7" x14ac:dyDescent="0.25">
      <c r="A32" s="2" t="s">
        <v>29</v>
      </c>
      <c r="B32" s="6">
        <f t="shared" si="0"/>
        <v>203070</v>
      </c>
      <c r="C32" s="6">
        <v>38576</v>
      </c>
      <c r="D32" s="6">
        <v>31150</v>
      </c>
      <c r="E32" s="6">
        <v>54774</v>
      </c>
      <c r="F32" s="6">
        <v>78570</v>
      </c>
      <c r="G32" s="6">
        <f t="shared" si="1"/>
        <v>16922.5</v>
      </c>
    </row>
    <row r="33" spans="1:7" x14ac:dyDescent="0.25">
      <c r="A33" s="2" t="s">
        <v>30</v>
      </c>
      <c r="B33" s="6">
        <f t="shared" si="0"/>
        <v>695676</v>
      </c>
      <c r="C33" s="6">
        <v>302995</v>
      </c>
      <c r="D33" s="6">
        <v>92034</v>
      </c>
      <c r="E33" s="6"/>
      <c r="F33" s="6">
        <v>300647</v>
      </c>
      <c r="G33" s="6">
        <f t="shared" si="1"/>
        <v>57973</v>
      </c>
    </row>
    <row r="34" spans="1:7" x14ac:dyDescent="0.25">
      <c r="A34" s="2" t="s">
        <v>31</v>
      </c>
      <c r="B34" s="6">
        <f t="shared" si="0"/>
        <v>256896.55</v>
      </c>
      <c r="C34" s="6">
        <v>24906.89</v>
      </c>
      <c r="D34" s="6">
        <v>400</v>
      </c>
      <c r="E34" s="6"/>
      <c r="F34" s="6">
        <v>231589.66</v>
      </c>
      <c r="G34" s="6">
        <f t="shared" si="1"/>
        <v>21408.045833333334</v>
      </c>
    </row>
    <row r="35" spans="1:7" x14ac:dyDescent="0.25">
      <c r="A35" s="2" t="s">
        <v>46</v>
      </c>
      <c r="B35" s="6">
        <f t="shared" si="0"/>
        <v>77000</v>
      </c>
      <c r="C35" s="6"/>
      <c r="D35" s="6"/>
      <c r="E35" s="6"/>
      <c r="F35" s="6">
        <v>77000</v>
      </c>
      <c r="G35" s="6">
        <f t="shared" si="1"/>
        <v>6416.666666666667</v>
      </c>
    </row>
    <row r="36" spans="1:7" x14ac:dyDescent="0.25">
      <c r="A36" s="2" t="s">
        <v>32</v>
      </c>
      <c r="B36" s="6">
        <f t="shared" si="0"/>
        <v>4850</v>
      </c>
      <c r="C36" s="6">
        <v>150</v>
      </c>
      <c r="D36" s="6"/>
      <c r="E36" s="6"/>
      <c r="F36" s="6">
        <v>4700</v>
      </c>
      <c r="G36" s="6">
        <f t="shared" si="1"/>
        <v>404.16666666666669</v>
      </c>
    </row>
    <row r="37" spans="1:7" x14ac:dyDescent="0.25">
      <c r="A37" s="2" t="s">
        <v>33</v>
      </c>
      <c r="B37" s="6">
        <f t="shared" si="0"/>
        <v>60636</v>
      </c>
      <c r="C37" s="6">
        <v>300</v>
      </c>
      <c r="D37" s="6">
        <v>60336</v>
      </c>
      <c r="E37" s="6"/>
      <c r="F37" s="6"/>
      <c r="G37" s="6">
        <f t="shared" si="1"/>
        <v>5053</v>
      </c>
    </row>
    <row r="38" spans="1:7" x14ac:dyDescent="0.25">
      <c r="A38" s="2" t="s">
        <v>34</v>
      </c>
      <c r="B38" s="6">
        <f t="shared" si="0"/>
        <v>77750</v>
      </c>
      <c r="C38" s="6">
        <v>28792</v>
      </c>
      <c r="D38" s="6">
        <v>31115</v>
      </c>
      <c r="E38" s="6">
        <v>17343</v>
      </c>
      <c r="F38" s="6">
        <v>500</v>
      </c>
      <c r="G38" s="6">
        <f t="shared" si="1"/>
        <v>6479.166666666667</v>
      </c>
    </row>
    <row r="39" spans="1:7" x14ac:dyDescent="0.25">
      <c r="A39" s="2" t="s">
        <v>35</v>
      </c>
      <c r="B39" s="6">
        <f t="shared" si="0"/>
        <v>2228541</v>
      </c>
      <c r="C39" s="6">
        <v>526076</v>
      </c>
      <c r="D39" s="6">
        <v>579883</v>
      </c>
      <c r="E39" s="6">
        <v>824642</v>
      </c>
      <c r="F39" s="6">
        <v>297940</v>
      </c>
      <c r="G39" s="6">
        <f t="shared" si="1"/>
        <v>185711.75</v>
      </c>
    </row>
    <row r="40" spans="1:7" x14ac:dyDescent="0.25">
      <c r="A40" s="2" t="s">
        <v>36</v>
      </c>
      <c r="B40" s="6">
        <f t="shared" si="0"/>
        <v>336760</v>
      </c>
      <c r="C40" s="6">
        <v>27000</v>
      </c>
      <c r="D40" s="6">
        <v>109600</v>
      </c>
      <c r="E40" s="6">
        <v>8000</v>
      </c>
      <c r="F40" s="6">
        <v>192160</v>
      </c>
      <c r="G40" s="6">
        <f t="shared" si="1"/>
        <v>28063.333333333332</v>
      </c>
    </row>
    <row r="41" spans="1:7" x14ac:dyDescent="0.25">
      <c r="A41" s="2" t="s">
        <v>37</v>
      </c>
      <c r="B41" s="6">
        <f t="shared" si="0"/>
        <v>491980</v>
      </c>
      <c r="C41" s="6">
        <v>113250</v>
      </c>
      <c r="D41" s="6">
        <v>118720</v>
      </c>
      <c r="E41" s="6">
        <v>196290</v>
      </c>
      <c r="F41" s="6">
        <v>63720</v>
      </c>
      <c r="G41" s="6">
        <f t="shared" si="1"/>
        <v>40998.333333333336</v>
      </c>
    </row>
    <row r="42" spans="1:7" x14ac:dyDescent="0.25">
      <c r="A42" s="2"/>
      <c r="B42" s="6">
        <f t="shared" si="0"/>
        <v>0</v>
      </c>
      <c r="C42" s="6"/>
      <c r="D42" s="6"/>
      <c r="E42" s="6"/>
      <c r="F42" s="6"/>
      <c r="G42" s="6">
        <f t="shared" si="1"/>
        <v>0</v>
      </c>
    </row>
    <row r="43" spans="1:7" ht="17.25" x14ac:dyDescent="0.4">
      <c r="A43" s="9" t="s">
        <v>47</v>
      </c>
      <c r="B43" s="8">
        <f>SUM(B2:B41)</f>
        <v>14815716.050000001</v>
      </c>
      <c r="C43" s="8">
        <f t="shared" ref="C43:F43" si="3">SUM(C2:C41)</f>
        <v>4506576.67</v>
      </c>
      <c r="D43" s="8">
        <f t="shared" si="3"/>
        <v>3429722.49</v>
      </c>
      <c r="E43" s="8">
        <f t="shared" si="3"/>
        <v>2539977.7800000003</v>
      </c>
      <c r="F43" s="8">
        <f t="shared" si="3"/>
        <v>4339439.1100000003</v>
      </c>
      <c r="G43" s="8">
        <f>B43/12</f>
        <v>1234643.0041666667</v>
      </c>
    </row>
    <row r="44" spans="1:7" x14ac:dyDescent="0.25">
      <c r="A44" s="3"/>
      <c r="B44" s="7"/>
      <c r="C44" s="7"/>
      <c r="D44" s="7"/>
      <c r="E44" s="7"/>
      <c r="F44" s="7"/>
      <c r="G44" s="7">
        <f t="shared" si="1"/>
        <v>0</v>
      </c>
    </row>
    <row r="45" spans="1:7" x14ac:dyDescent="0.25">
      <c r="A45" s="3"/>
      <c r="B45" s="7"/>
      <c r="C45" s="7"/>
      <c r="D45" s="7"/>
      <c r="E45" s="7"/>
      <c r="F45" s="7"/>
      <c r="G45" s="7">
        <f t="shared" si="1"/>
        <v>0</v>
      </c>
    </row>
    <row r="46" spans="1:7" x14ac:dyDescent="0.25">
      <c r="A46" s="3"/>
      <c r="B46" s="7"/>
      <c r="C46" s="7"/>
      <c r="D46" s="7"/>
      <c r="E46" s="7"/>
      <c r="F46" s="7"/>
      <c r="G46" s="7">
        <f t="shared" si="1"/>
        <v>0</v>
      </c>
    </row>
    <row r="47" spans="1:7" x14ac:dyDescent="0.25">
      <c r="A47" s="3"/>
      <c r="B47" s="7"/>
      <c r="C47" s="7"/>
      <c r="D47" s="7"/>
      <c r="E47" s="7"/>
      <c r="F47" s="7"/>
      <c r="G47" s="7">
        <f t="shared" si="1"/>
        <v>0</v>
      </c>
    </row>
    <row r="48" spans="1:7" x14ac:dyDescent="0.25">
      <c r="A48" s="3"/>
      <c r="B48" s="7"/>
      <c r="C48" s="7"/>
      <c r="D48" s="7"/>
      <c r="E48" s="7"/>
      <c r="F48" s="7"/>
      <c r="G48" s="7">
        <f t="shared" si="1"/>
        <v>0</v>
      </c>
    </row>
    <row r="49" spans="1:7" x14ac:dyDescent="0.25">
      <c r="A49" s="3"/>
      <c r="B49" s="7"/>
      <c r="C49" s="7"/>
      <c r="D49" s="7"/>
      <c r="E49" s="7"/>
      <c r="F49" s="7"/>
      <c r="G49" s="7">
        <f t="shared" si="1"/>
        <v>0</v>
      </c>
    </row>
    <row r="50" spans="1:7" x14ac:dyDescent="0.25">
      <c r="A50" s="3"/>
      <c r="B50" s="7"/>
      <c r="C50" s="7"/>
      <c r="D50" s="7"/>
      <c r="E50" s="7"/>
      <c r="F50" s="7"/>
      <c r="G50" s="7"/>
    </row>
    <row r="51" spans="1:7" x14ac:dyDescent="0.25">
      <c r="A51" s="3"/>
      <c r="B51" s="7"/>
      <c r="C51" s="7"/>
      <c r="D51" s="7"/>
      <c r="E51" s="7"/>
      <c r="F51" s="7"/>
      <c r="G51" s="7"/>
    </row>
    <row r="52" spans="1:7" x14ac:dyDescent="0.25">
      <c r="A52" s="3"/>
      <c r="B52" s="7"/>
      <c r="C52" s="7"/>
      <c r="D52" s="7"/>
      <c r="E52" s="7"/>
      <c r="F52" s="7"/>
      <c r="G52" s="7"/>
    </row>
    <row r="53" spans="1:7" x14ac:dyDescent="0.25">
      <c r="A53" s="3"/>
      <c r="B53" s="7"/>
      <c r="C53" s="7"/>
      <c r="D53" s="7"/>
      <c r="E53" s="7"/>
      <c r="F53" s="7"/>
      <c r="G53" s="7"/>
    </row>
    <row r="54" spans="1:7" x14ac:dyDescent="0.25">
      <c r="A54" s="3"/>
      <c r="B54" s="7"/>
      <c r="C54" s="7"/>
      <c r="D54" s="7"/>
      <c r="E54" s="7"/>
      <c r="F54" s="7"/>
      <c r="G54" s="7"/>
    </row>
    <row r="55" spans="1:7" x14ac:dyDescent="0.25">
      <c r="A55" s="3"/>
      <c r="B55" s="7"/>
      <c r="C55" s="7"/>
      <c r="D55" s="7"/>
      <c r="E55" s="7"/>
      <c r="F55" s="7"/>
      <c r="G55" s="7"/>
    </row>
    <row r="56" spans="1:7" x14ac:dyDescent="0.25">
      <c r="A56" s="3"/>
      <c r="B56" s="7"/>
      <c r="C56" s="7"/>
      <c r="D56" s="7"/>
      <c r="E56" s="7"/>
      <c r="F56" s="7"/>
      <c r="G56" s="7"/>
    </row>
    <row r="57" spans="1:7" x14ac:dyDescent="0.25">
      <c r="A57" s="3"/>
      <c r="B57" s="7"/>
      <c r="C57" s="7"/>
      <c r="D57" s="7"/>
      <c r="E57" s="7"/>
      <c r="F57" s="7"/>
      <c r="G57" s="7"/>
    </row>
    <row r="58" spans="1:7" x14ac:dyDescent="0.25">
      <c r="A58" s="3"/>
      <c r="B58" s="7"/>
      <c r="C58" s="7"/>
      <c r="D58" s="7"/>
      <c r="E58" s="7"/>
      <c r="F58" s="7"/>
      <c r="G58" s="7"/>
    </row>
    <row r="59" spans="1:7" x14ac:dyDescent="0.25">
      <c r="A59" s="3"/>
      <c r="B59" s="7"/>
      <c r="C59" s="7"/>
      <c r="D59" s="7"/>
      <c r="E59" s="7"/>
      <c r="F59" s="7"/>
      <c r="G59" s="7"/>
    </row>
    <row r="60" spans="1:7" x14ac:dyDescent="0.25">
      <c r="A60" s="3"/>
      <c r="B60" s="7"/>
      <c r="C60" s="7"/>
      <c r="D60" s="7"/>
      <c r="E60" s="7"/>
      <c r="F60" s="7"/>
      <c r="G60" s="7"/>
    </row>
    <row r="61" spans="1:7" x14ac:dyDescent="0.25">
      <c r="A61" s="3"/>
      <c r="B61" s="7"/>
      <c r="C61" s="7"/>
      <c r="D61" s="7"/>
      <c r="E61" s="7"/>
      <c r="F61" s="7"/>
      <c r="G61" s="7"/>
    </row>
    <row r="62" spans="1:7" x14ac:dyDescent="0.25">
      <c r="A62" s="3"/>
      <c r="B62" s="7"/>
      <c r="C62" s="7"/>
      <c r="D62" s="7"/>
      <c r="E62" s="7"/>
      <c r="F62" s="7"/>
      <c r="G62" s="7"/>
    </row>
    <row r="63" spans="1:7" x14ac:dyDescent="0.25">
      <c r="A63" s="3"/>
      <c r="B63" s="7"/>
      <c r="C63" s="7"/>
      <c r="D63" s="7"/>
      <c r="E63" s="7"/>
      <c r="F63" s="7"/>
      <c r="G63" s="7"/>
    </row>
    <row r="64" spans="1:7" x14ac:dyDescent="0.25">
      <c r="A64" s="3"/>
      <c r="B64" s="7"/>
      <c r="C64" s="7"/>
      <c r="D64" s="7"/>
      <c r="E64" s="7"/>
      <c r="F64" s="7"/>
      <c r="G64" s="7"/>
    </row>
    <row r="65" spans="1:7" x14ac:dyDescent="0.25">
      <c r="A65" s="3"/>
      <c r="B65" s="7"/>
      <c r="C65" s="7"/>
      <c r="D65" s="7"/>
      <c r="E65" s="7"/>
      <c r="F65" s="7"/>
      <c r="G65" s="7"/>
    </row>
    <row r="66" spans="1:7" x14ac:dyDescent="0.25">
      <c r="A66" s="3"/>
      <c r="B66" s="7"/>
      <c r="C66" s="7"/>
      <c r="D66" s="7"/>
      <c r="E66" s="7"/>
      <c r="F66" s="7"/>
      <c r="G66" s="7"/>
    </row>
    <row r="67" spans="1:7" x14ac:dyDescent="0.25">
      <c r="A67" s="3"/>
      <c r="B67" s="7"/>
      <c r="C67" s="7"/>
      <c r="D67" s="7"/>
      <c r="E67" s="7"/>
      <c r="F67" s="7"/>
      <c r="G67" s="7"/>
    </row>
    <row r="68" spans="1:7" x14ac:dyDescent="0.25">
      <c r="A68" s="3"/>
      <c r="B68" s="7"/>
      <c r="C68" s="7"/>
      <c r="D68" s="7"/>
      <c r="E68" s="7"/>
      <c r="F68" s="7"/>
      <c r="G68" s="7"/>
    </row>
    <row r="69" spans="1:7" x14ac:dyDescent="0.25">
      <c r="A69" s="3"/>
      <c r="B69" s="7"/>
      <c r="C69" s="7"/>
      <c r="D69" s="7"/>
      <c r="E69" s="7"/>
      <c r="F69" s="7"/>
      <c r="G69" s="7"/>
    </row>
    <row r="70" spans="1:7" x14ac:dyDescent="0.25">
      <c r="A70" s="3"/>
      <c r="B70" s="7"/>
      <c r="C70" s="7"/>
      <c r="D70" s="7"/>
      <c r="E70" s="7"/>
      <c r="F70" s="7"/>
      <c r="G70" s="7"/>
    </row>
    <row r="71" spans="1:7" x14ac:dyDescent="0.25">
      <c r="A71" s="3"/>
      <c r="B71" s="7"/>
      <c r="C71" s="7"/>
      <c r="D71" s="7"/>
      <c r="E71" s="7"/>
      <c r="F71" s="7"/>
      <c r="G71" s="7"/>
    </row>
    <row r="72" spans="1:7" x14ac:dyDescent="0.25">
      <c r="A72" s="3"/>
      <c r="B72" s="7"/>
      <c r="C72" s="7"/>
      <c r="D72" s="7"/>
      <c r="E72" s="7"/>
      <c r="F72" s="7"/>
      <c r="G72" s="7"/>
    </row>
    <row r="73" spans="1:7" x14ac:dyDescent="0.25">
      <c r="A73" s="3"/>
      <c r="B73" s="7"/>
      <c r="C73" s="7"/>
      <c r="D73" s="7"/>
      <c r="E73" s="7"/>
      <c r="F73" s="7"/>
      <c r="G73" s="7"/>
    </row>
    <row r="74" spans="1:7" x14ac:dyDescent="0.25">
      <c r="A74" s="3"/>
      <c r="B74" s="7"/>
      <c r="C74" s="7"/>
      <c r="D74" s="7"/>
      <c r="E74" s="7"/>
      <c r="F74" s="7"/>
      <c r="G74" s="7"/>
    </row>
    <row r="75" spans="1:7" x14ac:dyDescent="0.25">
      <c r="A75" s="3"/>
      <c r="B75" s="7"/>
      <c r="C75" s="7"/>
      <c r="D75" s="7"/>
      <c r="E75" s="7"/>
      <c r="F75" s="7"/>
      <c r="G75" s="7"/>
    </row>
    <row r="76" spans="1:7" x14ac:dyDescent="0.25">
      <c r="A76" s="3"/>
      <c r="B76" s="7"/>
      <c r="C76" s="7"/>
      <c r="D76" s="7"/>
      <c r="E76" s="7"/>
      <c r="F76" s="7"/>
      <c r="G76" s="7"/>
    </row>
    <row r="77" spans="1:7" x14ac:dyDescent="0.25">
      <c r="A77" s="3"/>
      <c r="B77" s="7"/>
      <c r="C77" s="7"/>
      <c r="D77" s="7"/>
      <c r="E77" s="7"/>
      <c r="F77" s="7"/>
      <c r="G77" s="7"/>
    </row>
    <row r="78" spans="1:7" x14ac:dyDescent="0.25">
      <c r="A78" s="3"/>
      <c r="B78" s="7"/>
      <c r="C78" s="7"/>
      <c r="D78" s="7"/>
      <c r="E78" s="7"/>
      <c r="F78" s="7"/>
      <c r="G78" s="7"/>
    </row>
    <row r="79" spans="1:7" x14ac:dyDescent="0.25">
      <c r="A79" s="3"/>
      <c r="B79" s="7"/>
      <c r="C79" s="7"/>
      <c r="D79" s="7"/>
      <c r="E79" s="7"/>
      <c r="F79" s="7"/>
      <c r="G79" s="7"/>
    </row>
    <row r="80" spans="1:7" x14ac:dyDescent="0.25">
      <c r="A80" s="3"/>
      <c r="B80" s="7"/>
      <c r="C80" s="7"/>
      <c r="D80" s="7"/>
      <c r="E80" s="7"/>
      <c r="F80" s="7"/>
      <c r="G80" s="7"/>
    </row>
    <row r="81" spans="2:7" s="3" customFormat="1" x14ac:dyDescent="0.25">
      <c r="B81" s="7"/>
      <c r="C81" s="7"/>
      <c r="D81" s="7"/>
      <c r="E81" s="7"/>
      <c r="F81" s="7"/>
      <c r="G81" s="7"/>
    </row>
    <row r="82" spans="2:7" s="3" customFormat="1" x14ac:dyDescent="0.25">
      <c r="B82" s="7"/>
      <c r="C82" s="7"/>
      <c r="D82" s="7"/>
      <c r="E82" s="7"/>
      <c r="F82" s="7"/>
      <c r="G82" s="7"/>
    </row>
    <row r="83" spans="2:7" s="3" customFormat="1" x14ac:dyDescent="0.25">
      <c r="B83" s="7"/>
      <c r="C83" s="7"/>
      <c r="D83" s="7"/>
      <c r="E83" s="7"/>
      <c r="F83" s="7"/>
      <c r="G83" s="7"/>
    </row>
    <row r="84" spans="2:7" s="3" customFormat="1" x14ac:dyDescent="0.25">
      <c r="B84" s="7"/>
      <c r="C84" s="7"/>
      <c r="D84" s="7"/>
      <c r="E84" s="7"/>
      <c r="F84" s="7"/>
      <c r="G84" s="7"/>
    </row>
    <row r="85" spans="2:7" s="3" customFormat="1" x14ac:dyDescent="0.25">
      <c r="B85" s="7"/>
      <c r="C85" s="7"/>
      <c r="D85" s="7"/>
      <c r="E85" s="7"/>
      <c r="F85" s="7"/>
      <c r="G85" s="7"/>
    </row>
    <row r="86" spans="2:7" s="3" customFormat="1" x14ac:dyDescent="0.25">
      <c r="B86" s="7"/>
      <c r="C86" s="7"/>
      <c r="D86" s="7"/>
      <c r="E86" s="7"/>
      <c r="F86" s="7"/>
      <c r="G86" s="7"/>
    </row>
    <row r="87" spans="2:7" s="3" customFormat="1" x14ac:dyDescent="0.25">
      <c r="B87" s="7"/>
      <c r="C87" s="7"/>
      <c r="D87" s="7"/>
      <c r="E87" s="7"/>
      <c r="F87" s="7"/>
      <c r="G87" s="7"/>
    </row>
    <row r="88" spans="2:7" s="3" customFormat="1" x14ac:dyDescent="0.25">
      <c r="B88" s="7"/>
      <c r="C88" s="7"/>
      <c r="D88" s="7"/>
      <c r="E88" s="7"/>
      <c r="F88" s="7"/>
      <c r="G88" s="7"/>
    </row>
    <row r="89" spans="2:7" s="3" customFormat="1" x14ac:dyDescent="0.25">
      <c r="B89" s="7"/>
      <c r="C89" s="7"/>
      <c r="D89" s="7"/>
      <c r="E89" s="7"/>
      <c r="F89" s="7"/>
      <c r="G89" s="7"/>
    </row>
    <row r="90" spans="2:7" s="3" customFormat="1" x14ac:dyDescent="0.25">
      <c r="B90" s="7"/>
      <c r="C90" s="7"/>
      <c r="D90" s="7"/>
      <c r="E90" s="7"/>
      <c r="F90" s="7"/>
      <c r="G90" s="7"/>
    </row>
    <row r="91" spans="2:7" s="3" customFormat="1" x14ac:dyDescent="0.25">
      <c r="B91" s="7"/>
      <c r="C91" s="7"/>
      <c r="D91" s="7"/>
      <c r="E91" s="7"/>
      <c r="F91" s="7"/>
      <c r="G91" s="7"/>
    </row>
    <row r="92" spans="2:7" s="3" customFormat="1" x14ac:dyDescent="0.25">
      <c r="B92" s="7"/>
      <c r="C92" s="7"/>
      <c r="D92" s="7"/>
      <c r="E92" s="7"/>
      <c r="F92" s="7"/>
      <c r="G92" s="7"/>
    </row>
    <row r="93" spans="2:7" s="3" customFormat="1" x14ac:dyDescent="0.25">
      <c r="B93" s="7"/>
      <c r="C93" s="7"/>
      <c r="D93" s="7"/>
      <c r="E93" s="7"/>
      <c r="F93" s="7"/>
      <c r="G93" s="7"/>
    </row>
    <row r="94" spans="2:7" s="3" customFormat="1" x14ac:dyDescent="0.25">
      <c r="B94" s="7"/>
      <c r="C94" s="7"/>
      <c r="D94" s="7"/>
      <c r="E94" s="7"/>
      <c r="F94" s="7"/>
      <c r="G94" s="7"/>
    </row>
    <row r="95" spans="2:7" s="3" customFormat="1" x14ac:dyDescent="0.25">
      <c r="B95" s="7"/>
      <c r="C95" s="7"/>
      <c r="D95" s="7"/>
      <c r="E95" s="7"/>
      <c r="F95" s="7"/>
      <c r="G95" s="7"/>
    </row>
    <row r="96" spans="2:7" s="3" customFormat="1" x14ac:dyDescent="0.25">
      <c r="B96" s="7"/>
      <c r="C96" s="7"/>
      <c r="D96" s="7"/>
      <c r="E96" s="7"/>
      <c r="F96" s="7"/>
      <c r="G96" s="7"/>
    </row>
    <row r="97" spans="2:7" s="3" customFormat="1" x14ac:dyDescent="0.25">
      <c r="B97" s="7"/>
      <c r="C97" s="7"/>
      <c r="D97" s="7"/>
      <c r="E97" s="7"/>
      <c r="F97" s="7"/>
      <c r="G97" s="7"/>
    </row>
    <row r="98" spans="2:7" s="3" customFormat="1" x14ac:dyDescent="0.25">
      <c r="B98" s="7"/>
      <c r="C98" s="7"/>
      <c r="D98" s="7"/>
      <c r="E98" s="7"/>
      <c r="F98" s="7"/>
      <c r="G98" s="7"/>
    </row>
    <row r="99" spans="2:7" s="3" customFormat="1" x14ac:dyDescent="0.25">
      <c r="B99" s="7"/>
      <c r="C99" s="7"/>
      <c r="D99" s="7"/>
      <c r="E99" s="7"/>
      <c r="F99" s="7"/>
      <c r="G99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USER1</cp:lastModifiedBy>
  <dcterms:created xsi:type="dcterms:W3CDTF">2025-01-24T06:57:04Z</dcterms:created>
  <dcterms:modified xsi:type="dcterms:W3CDTF">2025-09-05T08:11:20Z</dcterms:modified>
</cp:coreProperties>
</file>