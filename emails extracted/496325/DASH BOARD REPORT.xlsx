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neamnesty-my.sharepoint.com/personal/francis_kibue_amnesty_or_ke/Documents/Documents/"/>
    </mc:Choice>
  </mc:AlternateContent>
  <xr:revisionPtr revIDLastSave="8" documentId="14_{1CFACFDB-1C31-4073-84C1-48B6A64BCDAF}" xr6:coauthVersionLast="47" xr6:coauthVersionMax="47" xr10:uidLastSave="{19F488FC-A401-4DC5-8C0C-FD0BCDB45DDE}"/>
  <bookViews>
    <workbookView xWindow="-110" yWindow="-110" windowWidth="19420" windowHeight="10420" xr2:uid="{093C19DB-7534-4E3D-8A59-E25598B72D57}"/>
  </bookViews>
  <sheets>
    <sheet name="Full Report  JULY 25 Report" sheetId="2" r:id="rId1"/>
    <sheet name="Trial Bal&amp;Budget 2025" sheetId="3" r:id="rId2"/>
    <sheet name="Trail Bal. JULY 2025" sheetId="1" state="hidden" r:id="rId3"/>
  </sheets>
  <externalReferences>
    <externalReference r:id="rId4"/>
  </externalReferences>
  <definedNames>
    <definedName name="_xlnm.Print_Titles" localSheetId="2">'Trail Bal. JULY 2025'!$1:$14</definedName>
    <definedName name="_xlnm.Print_Titles" localSheetId="1">'Trial Bal&amp;Budget 2025'!$1:$13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2" l="1"/>
  <c r="D140" i="2"/>
  <c r="D139" i="2"/>
  <c r="D138" i="2"/>
  <c r="D137" i="2"/>
  <c r="D136" i="2"/>
  <c r="D135" i="2"/>
  <c r="D134" i="2"/>
  <c r="D133" i="2"/>
  <c r="C141" i="2"/>
  <c r="C140" i="2"/>
  <c r="E140" i="2" s="1"/>
  <c r="C139" i="2"/>
  <c r="E139" i="2" s="1"/>
  <c r="C138" i="2"/>
  <c r="E138" i="2" s="1"/>
  <c r="C137" i="2"/>
  <c r="C136" i="2"/>
  <c r="C135" i="2"/>
  <c r="E135" i="2" s="1"/>
  <c r="C134" i="2"/>
  <c r="E134" i="2" s="1"/>
  <c r="C133" i="2"/>
  <c r="E133" i="2" s="1"/>
  <c r="B141" i="2"/>
  <c r="B140" i="2"/>
  <c r="B139" i="2"/>
  <c r="B138" i="2"/>
  <c r="B137" i="2"/>
  <c r="B136" i="2"/>
  <c r="B135" i="2"/>
  <c r="B134" i="2"/>
  <c r="B133" i="2"/>
  <c r="D127" i="2"/>
  <c r="D124" i="2"/>
  <c r="D122" i="2"/>
  <c r="C122" i="2"/>
  <c r="D121" i="2"/>
  <c r="C121" i="2"/>
  <c r="C120" i="2"/>
  <c r="E120" i="2" s="1"/>
  <c r="D119" i="2"/>
  <c r="C119" i="2"/>
  <c r="F119" i="2" s="1"/>
  <c r="C118" i="2"/>
  <c r="C117" i="2"/>
  <c r="E117" i="2" s="1"/>
  <c r="D116" i="2"/>
  <c r="C116" i="2"/>
  <c r="D112" i="2"/>
  <c r="C112" i="2"/>
  <c r="D111" i="2"/>
  <c r="C111" i="2"/>
  <c r="G111" i="2" s="1"/>
  <c r="H111" i="2" s="1"/>
  <c r="I111" i="2" s="1"/>
  <c r="J111" i="2" s="1"/>
  <c r="D110" i="2"/>
  <c r="C110" i="2"/>
  <c r="D109" i="2"/>
  <c r="C109" i="2"/>
  <c r="D108" i="2"/>
  <c r="C108" i="2"/>
  <c r="D107" i="2"/>
  <c r="C107" i="2"/>
  <c r="C106" i="2"/>
  <c r="D105" i="2"/>
  <c r="C105" i="2"/>
  <c r="D104" i="2"/>
  <c r="C104" i="2"/>
  <c r="D103" i="2"/>
  <c r="C103" i="2"/>
  <c r="G103" i="2" s="1"/>
  <c r="H103" i="2" s="1"/>
  <c r="I103" i="2" s="1"/>
  <c r="J103" i="2" s="1"/>
  <c r="D102" i="2"/>
  <c r="C102" i="2"/>
  <c r="D101" i="2"/>
  <c r="C101" i="2"/>
  <c r="J100" i="2"/>
  <c r="D100" i="2"/>
  <c r="C100" i="2"/>
  <c r="D99" i="2"/>
  <c r="C99" i="2"/>
  <c r="D98" i="2"/>
  <c r="C98" i="2"/>
  <c r="D97" i="2"/>
  <c r="F97" i="2" s="1"/>
  <c r="C97" i="2"/>
  <c r="D96" i="2"/>
  <c r="C96" i="2"/>
  <c r="C95" i="2"/>
  <c r="D94" i="2"/>
  <c r="C94" i="2"/>
  <c r="D93" i="2"/>
  <c r="C93" i="2"/>
  <c r="D92" i="2"/>
  <c r="D88" i="2"/>
  <c r="C88" i="2"/>
  <c r="F88" i="2" s="1"/>
  <c r="D87" i="2"/>
  <c r="C87" i="2"/>
  <c r="D86" i="2"/>
  <c r="C86" i="2"/>
  <c r="E86" i="2" s="1"/>
  <c r="D85" i="2"/>
  <c r="C85" i="2"/>
  <c r="D84" i="2"/>
  <c r="C84" i="2"/>
  <c r="D83" i="2"/>
  <c r="D79" i="2"/>
  <c r="C79" i="2"/>
  <c r="J79" i="2" s="1"/>
  <c r="D78" i="2"/>
  <c r="C78" i="2"/>
  <c r="G78" i="2" s="1"/>
  <c r="H78" i="2" s="1"/>
  <c r="I78" i="2" s="1"/>
  <c r="J78" i="2" s="1"/>
  <c r="D77" i="2"/>
  <c r="C77" i="2"/>
  <c r="E77" i="2" s="1"/>
  <c r="D76" i="2"/>
  <c r="C76" i="2"/>
  <c r="D75" i="2"/>
  <c r="C75" i="2"/>
  <c r="D74" i="2"/>
  <c r="C74" i="2"/>
  <c r="F74" i="2" s="1"/>
  <c r="D73" i="2"/>
  <c r="C73" i="2"/>
  <c r="D72" i="2"/>
  <c r="D71" i="2"/>
  <c r="C71" i="2"/>
  <c r="D67" i="2"/>
  <c r="C67" i="2"/>
  <c r="G67" i="2" s="1"/>
  <c r="H67" i="2" s="1"/>
  <c r="I67" i="2" s="1"/>
  <c r="J67" i="2" s="1"/>
  <c r="D66" i="2"/>
  <c r="C66" i="2"/>
  <c r="G66" i="2" s="1"/>
  <c r="H66" i="2" s="1"/>
  <c r="I66" i="2" s="1"/>
  <c r="J66" i="2" s="1"/>
  <c r="D65" i="2"/>
  <c r="C65" i="2"/>
  <c r="D64" i="2"/>
  <c r="C64" i="2"/>
  <c r="D62" i="2"/>
  <c r="C62" i="2"/>
  <c r="D61" i="2"/>
  <c r="C61" i="2"/>
  <c r="D60" i="2"/>
  <c r="C60" i="2"/>
  <c r="G57" i="2"/>
  <c r="D56" i="2"/>
  <c r="D57" i="2" s="1"/>
  <c r="C56" i="2"/>
  <c r="D51" i="2"/>
  <c r="C51" i="2"/>
  <c r="D50" i="2"/>
  <c r="C50" i="2"/>
  <c r="D49" i="2"/>
  <c r="C49" i="2"/>
  <c r="D48" i="2"/>
  <c r="C48" i="2"/>
  <c r="D47" i="2"/>
  <c r="C47" i="2"/>
  <c r="E47" i="2" s="1"/>
  <c r="D46" i="2"/>
  <c r="F46" i="2" s="1"/>
  <c r="C46" i="2"/>
  <c r="D45" i="2"/>
  <c r="D41" i="2"/>
  <c r="C41" i="2"/>
  <c r="D40" i="2"/>
  <c r="C40" i="2"/>
  <c r="D39" i="2"/>
  <c r="C39" i="2"/>
  <c r="D38" i="2"/>
  <c r="C38" i="2"/>
  <c r="D37" i="2"/>
  <c r="C37" i="2"/>
  <c r="F37" i="2" s="1"/>
  <c r="D36" i="2"/>
  <c r="C36" i="2"/>
  <c r="E36" i="2" s="1"/>
  <c r="F32" i="2"/>
  <c r="C31" i="2"/>
  <c r="D30" i="2"/>
  <c r="C30" i="2"/>
  <c r="D29" i="2"/>
  <c r="C29" i="2"/>
  <c r="G29" i="2" s="1"/>
  <c r="H29" i="2" s="1"/>
  <c r="I29" i="2" s="1"/>
  <c r="J29" i="2" s="1"/>
  <c r="D28" i="2"/>
  <c r="C28" i="2"/>
  <c r="C27" i="2"/>
  <c r="D26" i="2"/>
  <c r="C26" i="2"/>
  <c r="D25" i="2"/>
  <c r="C25" i="2"/>
  <c r="D24" i="2"/>
  <c r="C23" i="2"/>
  <c r="D22" i="2"/>
  <c r="C22" i="2"/>
  <c r="C21" i="2"/>
  <c r="F21" i="2" s="1"/>
  <c r="D20" i="2"/>
  <c r="C8" i="2"/>
  <c r="C4" i="2"/>
  <c r="E136" i="2" l="1"/>
  <c r="F64" i="2"/>
  <c r="D80" i="2"/>
  <c r="D89" i="2"/>
  <c r="E137" i="2"/>
  <c r="F93" i="2"/>
  <c r="E39" i="2"/>
  <c r="F107" i="2"/>
  <c r="F47" i="2"/>
  <c r="E61" i="2"/>
  <c r="F140" i="2"/>
  <c r="E93" i="2"/>
  <c r="D142" i="2"/>
  <c r="D52" i="2"/>
  <c r="E78" i="2"/>
  <c r="D123" i="2"/>
  <c r="F123" i="2" s="1"/>
  <c r="D42" i="2"/>
  <c r="F51" i="2"/>
  <c r="F65" i="2"/>
  <c r="F36" i="2"/>
  <c r="F61" i="2"/>
  <c r="C13" i="2"/>
  <c r="G26" i="2"/>
  <c r="H26" i="2" s="1"/>
  <c r="I26" i="2" s="1"/>
  <c r="J26" i="2" s="1"/>
  <c r="F71" i="2"/>
  <c r="F86" i="2"/>
  <c r="F101" i="2"/>
  <c r="E21" i="2"/>
  <c r="F121" i="2"/>
  <c r="D33" i="2"/>
  <c r="K33" i="2" s="1"/>
  <c r="F105" i="2"/>
  <c r="E66" i="2"/>
  <c r="E141" i="2"/>
  <c r="E142" i="2" s="1"/>
  <c r="F39" i="2"/>
  <c r="G87" i="2"/>
  <c r="E87" i="2"/>
  <c r="G96" i="2"/>
  <c r="H96" i="2" s="1"/>
  <c r="I96" i="2" s="1"/>
  <c r="J96" i="2" s="1"/>
  <c r="E96" i="2"/>
  <c r="F100" i="2"/>
  <c r="E100" i="2"/>
  <c r="E107" i="2"/>
  <c r="G109" i="2"/>
  <c r="H109" i="2" s="1"/>
  <c r="I109" i="2" s="1"/>
  <c r="J109" i="2" s="1"/>
  <c r="F109" i="2"/>
  <c r="E109" i="2"/>
  <c r="E23" i="2"/>
  <c r="E73" i="2"/>
  <c r="F73" i="2"/>
  <c r="F31" i="2"/>
  <c r="E31" i="2"/>
  <c r="F84" i="2"/>
  <c r="E84" i="2"/>
  <c r="F87" i="2"/>
  <c r="G94" i="2"/>
  <c r="H94" i="2" s="1"/>
  <c r="I94" i="2" s="1"/>
  <c r="J94" i="2" s="1"/>
  <c r="F94" i="2"/>
  <c r="E94" i="2"/>
  <c r="E28" i="2"/>
  <c r="J28" i="2"/>
  <c r="F28" i="2"/>
  <c r="G98" i="2"/>
  <c r="H98" i="2" s="1"/>
  <c r="I98" i="2" s="1"/>
  <c r="J98" i="2" s="1"/>
  <c r="E98" i="2"/>
  <c r="G108" i="2"/>
  <c r="H108" i="2" s="1"/>
  <c r="I108" i="2" s="1"/>
  <c r="J108" i="2" s="1"/>
  <c r="E108" i="2"/>
  <c r="C123" i="2"/>
  <c r="G41" i="2"/>
  <c r="H41" i="2" s="1"/>
  <c r="I41" i="2" s="1"/>
  <c r="J41" i="2" s="1"/>
  <c r="F41" i="2"/>
  <c r="E41" i="2"/>
  <c r="E46" i="2"/>
  <c r="E50" i="2"/>
  <c r="G50" i="2"/>
  <c r="H50" i="2" s="1"/>
  <c r="I50" i="2" s="1"/>
  <c r="J50" i="2" s="1"/>
  <c r="F50" i="2"/>
  <c r="E62" i="2"/>
  <c r="J62" i="2"/>
  <c r="E75" i="2"/>
  <c r="G75" i="2"/>
  <c r="F75" i="2"/>
  <c r="F85" i="2"/>
  <c r="E85" i="2"/>
  <c r="F96" i="2"/>
  <c r="G102" i="2"/>
  <c r="H102" i="2" s="1"/>
  <c r="I102" i="2" s="1"/>
  <c r="J102" i="2" s="1"/>
  <c r="F102" i="2"/>
  <c r="E102" i="2"/>
  <c r="E118" i="2"/>
  <c r="G122" i="2"/>
  <c r="H122" i="2" s="1"/>
  <c r="I122" i="2" s="1"/>
  <c r="J122" i="2" s="1"/>
  <c r="F122" i="2"/>
  <c r="E122" i="2"/>
  <c r="F30" i="2"/>
  <c r="E30" i="2"/>
  <c r="F48" i="2"/>
  <c r="E48" i="2"/>
  <c r="G76" i="2"/>
  <c r="H76" i="2" s="1"/>
  <c r="I76" i="2" s="1"/>
  <c r="J76" i="2" s="1"/>
  <c r="F76" i="2"/>
  <c r="E76" i="2"/>
  <c r="F134" i="2"/>
  <c r="G25" i="2"/>
  <c r="H25" i="2" s="1"/>
  <c r="I25" i="2" s="1"/>
  <c r="J25" i="2" s="1"/>
  <c r="F25" i="2"/>
  <c r="E25" i="2"/>
  <c r="E27" i="2"/>
  <c r="G27" i="2"/>
  <c r="H27" i="2" s="1"/>
  <c r="I27" i="2" s="1"/>
  <c r="J27" i="2" s="1"/>
  <c r="E40" i="2"/>
  <c r="G40" i="2"/>
  <c r="F40" i="2"/>
  <c r="G49" i="2"/>
  <c r="F49" i="2"/>
  <c r="E49" i="2"/>
  <c r="F22" i="2"/>
  <c r="E22" i="2"/>
  <c r="F60" i="2"/>
  <c r="E60" i="2"/>
  <c r="G95" i="2"/>
  <c r="H95" i="2" s="1"/>
  <c r="I95" i="2" s="1"/>
  <c r="J95" i="2" s="1"/>
  <c r="E95" i="2"/>
  <c r="E99" i="2"/>
  <c r="G99" i="2"/>
  <c r="H99" i="2" s="1"/>
  <c r="I99" i="2" s="1"/>
  <c r="J99" i="2" s="1"/>
  <c r="F99" i="2"/>
  <c r="G104" i="2"/>
  <c r="H104" i="2" s="1"/>
  <c r="I104" i="2" s="1"/>
  <c r="J104" i="2" s="1"/>
  <c r="F104" i="2"/>
  <c r="E104" i="2"/>
  <c r="G110" i="2"/>
  <c r="H110" i="2" s="1"/>
  <c r="I110" i="2" s="1"/>
  <c r="J110" i="2" s="1"/>
  <c r="F110" i="2"/>
  <c r="E110" i="2"/>
  <c r="F38" i="2"/>
  <c r="E38" i="2"/>
  <c r="G51" i="2"/>
  <c r="H51" i="2" s="1"/>
  <c r="I51" i="2" s="1"/>
  <c r="J51" i="2" s="1"/>
  <c r="E51" i="2"/>
  <c r="H56" i="2"/>
  <c r="F56" i="2"/>
  <c r="E56" i="2"/>
  <c r="F62" i="2"/>
  <c r="H65" i="2"/>
  <c r="I65" i="2" s="1"/>
  <c r="J65" i="2" s="1"/>
  <c r="G65" i="2"/>
  <c r="E65" i="2"/>
  <c r="E97" i="2"/>
  <c r="G97" i="2"/>
  <c r="H97" i="2" s="1"/>
  <c r="I97" i="2" s="1"/>
  <c r="J97" i="2" s="1"/>
  <c r="E101" i="2"/>
  <c r="G101" i="2"/>
  <c r="H101" i="2" s="1"/>
  <c r="I101" i="2" s="1"/>
  <c r="J101" i="2" s="1"/>
  <c r="G106" i="2"/>
  <c r="H106" i="2" s="1"/>
  <c r="I106" i="2" s="1"/>
  <c r="J106" i="2" s="1"/>
  <c r="F106" i="2"/>
  <c r="E106" i="2"/>
  <c r="F108" i="2"/>
  <c r="G112" i="2"/>
  <c r="H112" i="2" s="1"/>
  <c r="I112" i="2" s="1"/>
  <c r="J112" i="2" s="1"/>
  <c r="E112" i="2"/>
  <c r="G93" i="2"/>
  <c r="H93" i="2" s="1"/>
  <c r="I93" i="2" s="1"/>
  <c r="J93" i="2" s="1"/>
  <c r="E105" i="2"/>
  <c r="F116" i="2"/>
  <c r="E121" i="2"/>
  <c r="C24" i="2"/>
  <c r="F24" i="2" s="1"/>
  <c r="C55" i="2"/>
  <c r="C83" i="2"/>
  <c r="F83" i="2" s="1"/>
  <c r="C92" i="2"/>
  <c r="C20" i="2"/>
  <c r="E26" i="2"/>
  <c r="D68" i="2"/>
  <c r="G105" i="2"/>
  <c r="H105" i="2" s="1"/>
  <c r="I105" i="2" s="1"/>
  <c r="J105" i="2" s="1"/>
  <c r="G121" i="2"/>
  <c r="F26" i="2"/>
  <c r="C45" i="2"/>
  <c r="C63" i="2"/>
  <c r="E64" i="2"/>
  <c r="F66" i="2"/>
  <c r="F78" i="2"/>
  <c r="E29" i="2"/>
  <c r="E37" i="2"/>
  <c r="E42" i="2" s="1"/>
  <c r="E67" i="2"/>
  <c r="E71" i="2"/>
  <c r="E74" i="2"/>
  <c r="E79" i="2"/>
  <c r="C80" i="2"/>
  <c r="E111" i="2"/>
  <c r="E119" i="2"/>
  <c r="E124" i="2"/>
  <c r="F29" i="2"/>
  <c r="G64" i="2"/>
  <c r="F67" i="2"/>
  <c r="F79" i="2"/>
  <c r="E88" i="2"/>
  <c r="E103" i="2"/>
  <c r="D113" i="2"/>
  <c r="C42" i="2"/>
  <c r="F42" i="2" s="1"/>
  <c r="F103" i="2"/>
  <c r="C72" i="2"/>
  <c r="E116" i="2"/>
  <c r="D125" i="2" l="1"/>
  <c r="E123" i="2"/>
  <c r="C52" i="2"/>
  <c r="E45" i="2"/>
  <c r="E52" i="2" s="1"/>
  <c r="F72" i="2"/>
  <c r="E72" i="2"/>
  <c r="E80" i="2" s="1"/>
  <c r="E83" i="2"/>
  <c r="E89" i="2" s="1"/>
  <c r="C89" i="2"/>
  <c r="E92" i="2"/>
  <c r="E113" i="2" s="1"/>
  <c r="G92" i="2"/>
  <c r="C113" i="2"/>
  <c r="F113" i="2" s="1"/>
  <c r="F92" i="2"/>
  <c r="H64" i="2"/>
  <c r="G68" i="2"/>
  <c r="G80" i="2"/>
  <c r="H75" i="2"/>
  <c r="G123" i="2"/>
  <c r="H121" i="2"/>
  <c r="F55" i="2"/>
  <c r="E55" i="2"/>
  <c r="E57" i="2" s="1"/>
  <c r="C57" i="2"/>
  <c r="H49" i="2"/>
  <c r="G52" i="2"/>
  <c r="E24" i="2"/>
  <c r="G24" i="2"/>
  <c r="I56" i="2"/>
  <c r="H57" i="2"/>
  <c r="C68" i="2"/>
  <c r="F80" i="2"/>
  <c r="F141" i="2"/>
  <c r="F138" i="2"/>
  <c r="J63" i="2"/>
  <c r="F63" i="2"/>
  <c r="E63" i="2"/>
  <c r="E68" i="2" s="1"/>
  <c r="F20" i="2"/>
  <c r="E20" i="2"/>
  <c r="C33" i="2"/>
  <c r="G42" i="2"/>
  <c r="H40" i="2"/>
  <c r="D13" i="2"/>
  <c r="H87" i="2"/>
  <c r="G89" i="2"/>
  <c r="H80" i="2" l="1"/>
  <c r="I75" i="2"/>
  <c r="F137" i="2"/>
  <c r="F33" i="2"/>
  <c r="I64" i="2"/>
  <c r="H68" i="2"/>
  <c r="E33" i="2"/>
  <c r="I121" i="2"/>
  <c r="H123" i="2"/>
  <c r="F89" i="2"/>
  <c r="C125" i="2"/>
  <c r="H42" i="2"/>
  <c r="I40" i="2"/>
  <c r="F68" i="2"/>
  <c r="I87" i="2"/>
  <c r="H89" i="2"/>
  <c r="F52" i="2"/>
  <c r="J56" i="2"/>
  <c r="J57" i="2" s="1"/>
  <c r="I57" i="2"/>
  <c r="H24" i="2"/>
  <c r="G33" i="2"/>
  <c r="I49" i="2"/>
  <c r="H52" i="2"/>
  <c r="H92" i="2"/>
  <c r="G113" i="2"/>
  <c r="F13" i="2"/>
  <c r="E13" i="2"/>
  <c r="F57" i="2"/>
  <c r="G125" i="2" l="1"/>
  <c r="F139" i="2"/>
  <c r="F136" i="2"/>
  <c r="J121" i="2"/>
  <c r="J123" i="2" s="1"/>
  <c r="I123" i="2"/>
  <c r="I24" i="2"/>
  <c r="H33" i="2"/>
  <c r="J49" i="2"/>
  <c r="J52" i="2" s="1"/>
  <c r="I52" i="2"/>
  <c r="I80" i="2"/>
  <c r="J75" i="2"/>
  <c r="J80" i="2" s="1"/>
  <c r="F135" i="2"/>
  <c r="J40" i="2"/>
  <c r="J42" i="2" s="1"/>
  <c r="I42" i="2"/>
  <c r="I89" i="2"/>
  <c r="J87" i="2"/>
  <c r="J89" i="2" s="1"/>
  <c r="I68" i="2"/>
  <c r="J64" i="2"/>
  <c r="J68" i="2" s="1"/>
  <c r="I92" i="2"/>
  <c r="H113" i="2"/>
  <c r="F125" i="2"/>
  <c r="C142" i="2"/>
  <c r="F142" i="2" s="1"/>
  <c r="F133" i="2"/>
  <c r="E125" i="2"/>
  <c r="H125" i="2" l="1"/>
  <c r="J24" i="2"/>
  <c r="J33" i="2" s="1"/>
  <c r="I33" i="2"/>
  <c r="J92" i="2"/>
  <c r="J113" i="2" s="1"/>
  <c r="J125" i="2" s="1"/>
  <c r="I113" i="2"/>
  <c r="I125" i="2" s="1"/>
</calcChain>
</file>

<file path=xl/sharedStrings.xml><?xml version="1.0" encoding="utf-8"?>
<sst xmlns="http://schemas.openxmlformats.org/spreadsheetml/2006/main" count="5596" uniqueCount="494">
  <si>
    <t>Trial Balance</t>
  </si>
  <si>
    <t/>
  </si>
  <si>
    <t>Wednesday, August 6, 2025</t>
  </si>
  <si>
    <t>Page 1 / 1</t>
  </si>
  <si>
    <t>FKIBUE</t>
  </si>
  <si>
    <t>Period: 01/01/25..07/31/25</t>
  </si>
  <si>
    <t>AMNESTY INTERNATIONAL KENYA</t>
  </si>
  <si>
    <t>G/L Account: Date Filter: 01/01/25..07/31/25</t>
  </si>
  <si>
    <t>Net Change</t>
  </si>
  <si>
    <t>Balance</t>
  </si>
  <si>
    <t>No.</t>
  </si>
  <si>
    <t>Name</t>
  </si>
  <si>
    <t>Debit</t>
  </si>
  <si>
    <t>Credit</t>
  </si>
  <si>
    <t>1000/000</t>
  </si>
  <si>
    <t>Income Statement</t>
  </si>
  <si>
    <t>1000/020</t>
  </si>
  <si>
    <t>Total Revenue</t>
  </si>
  <si>
    <t>1000/050</t>
  </si>
  <si>
    <t>TOTAL FUNDING</t>
  </si>
  <si>
    <t>1000/100</t>
  </si>
  <si>
    <t>RAM FUNDS</t>
  </si>
  <si>
    <t>1000/200</t>
  </si>
  <si>
    <t>PORTICUS</t>
  </si>
  <si>
    <t>1000/300</t>
  </si>
  <si>
    <t>COMIC RELIEF</t>
  </si>
  <si>
    <t>1000/400</t>
  </si>
  <si>
    <t>MEMBERSHIP FEES</t>
  </si>
  <si>
    <t>1000/500</t>
  </si>
  <si>
    <t>MERCHANDISE AND RETAIL</t>
  </si>
  <si>
    <t>1000/600</t>
  </si>
  <si>
    <t>RELIEF FUNDS</t>
  </si>
  <si>
    <t>1000/700</t>
  </si>
  <si>
    <t>FOREST PEOPLE PROGRAMME</t>
  </si>
  <si>
    <t>1000/800</t>
  </si>
  <si>
    <t>UNDP KENYA</t>
  </si>
  <si>
    <t>1000/900</t>
  </si>
  <si>
    <t>HEWLETT FOUNDATION</t>
  </si>
  <si>
    <t>1100/000</t>
  </si>
  <si>
    <t>FORD FOUNDATION</t>
  </si>
  <si>
    <t>1100/100</t>
  </si>
  <si>
    <t>MUSIC AFRICA FOUNDATION</t>
  </si>
  <si>
    <t>1100/200</t>
  </si>
  <si>
    <t>BOTNAR FOUNDATION</t>
  </si>
  <si>
    <t>1100/300</t>
  </si>
  <si>
    <t xml:space="preserve">GIZ </t>
  </si>
  <si>
    <t>1100/400</t>
  </si>
  <si>
    <t>SWISS EMBASSY</t>
  </si>
  <si>
    <t>1100/500</t>
  </si>
  <si>
    <t>ROYAL EMBASSY OF NORWAY</t>
  </si>
  <si>
    <t>1100/600</t>
  </si>
  <si>
    <t>HEINRICH BOLL FOUNDATION</t>
  </si>
  <si>
    <t>1100/700</t>
  </si>
  <si>
    <t>AMNESTY INTERNATIONAL UK SECTION</t>
  </si>
  <si>
    <t>1100/800</t>
  </si>
  <si>
    <t>German Grant</t>
  </si>
  <si>
    <t>1200/000</t>
  </si>
  <si>
    <t>UN-OHCHR</t>
  </si>
  <si>
    <t>1500/000</t>
  </si>
  <si>
    <t>INCOME - OTHER SPECIAL PROGRAMS</t>
  </si>
  <si>
    <t>1600/000</t>
  </si>
  <si>
    <t>INVESTMENT &amp; BANK INTEREST</t>
  </si>
  <si>
    <t>1700/000</t>
  </si>
  <si>
    <t>FOREIGN CURRENCY EXCHANGE GAIN</t>
  </si>
  <si>
    <t>1700/100</t>
  </si>
  <si>
    <t>UNREALISED EXCHANGE GAIN</t>
  </si>
  <si>
    <t>1800/000</t>
  </si>
  <si>
    <t>DONATIONS</t>
  </si>
  <si>
    <t>2000/000</t>
  </si>
  <si>
    <t>Total Expenditure</t>
  </si>
  <si>
    <t>2100/000</t>
  </si>
  <si>
    <t>RESULT 1- HRE AND ACTIVISM</t>
  </si>
  <si>
    <t>2100/001</t>
  </si>
  <si>
    <t>Events and Workshops</t>
  </si>
  <si>
    <t>2100/002</t>
  </si>
  <si>
    <t>Research  Publications and Tools</t>
  </si>
  <si>
    <t>2100/003</t>
  </si>
  <si>
    <t>National Mission Travel</t>
  </si>
  <si>
    <t>2100/004</t>
  </si>
  <si>
    <t>Project rapid response and mini grants</t>
  </si>
  <si>
    <t>2100/005</t>
  </si>
  <si>
    <t>Campaign Manager</t>
  </si>
  <si>
    <t>2100/006</t>
  </si>
  <si>
    <t>Campaign Officer 1</t>
  </si>
  <si>
    <t>2100/007</t>
  </si>
  <si>
    <t>Campaign Officer 2</t>
  </si>
  <si>
    <t>2100/008</t>
  </si>
  <si>
    <t>Impact Reporting Officer</t>
  </si>
  <si>
    <t>2100/009</t>
  </si>
  <si>
    <t>Monitoring, Evaluation &amp; Learning</t>
  </si>
  <si>
    <t>2100/010</t>
  </si>
  <si>
    <t>Campaign Officer 3</t>
  </si>
  <si>
    <t>2100/011</t>
  </si>
  <si>
    <t>Movement Growth</t>
  </si>
  <si>
    <t>2200/000</t>
  </si>
  <si>
    <t>RESULT 2- RIGHT TO ASSOCIATION</t>
  </si>
  <si>
    <t>2200/001</t>
  </si>
  <si>
    <t>Events and workshops</t>
  </si>
  <si>
    <t>2200/002</t>
  </si>
  <si>
    <t>Research  publications and tools</t>
  </si>
  <si>
    <t>2200/003</t>
  </si>
  <si>
    <t>2200/004</t>
  </si>
  <si>
    <t>2300/000</t>
  </si>
  <si>
    <t>RESULT 3- RIGHT TO HEALTH</t>
  </si>
  <si>
    <t>2300/001</t>
  </si>
  <si>
    <t>2300/002</t>
  </si>
  <si>
    <t>2300/003</t>
  </si>
  <si>
    <t>National mission travel</t>
  </si>
  <si>
    <t>2300/004</t>
  </si>
  <si>
    <t>2300/005</t>
  </si>
  <si>
    <t>2300/006</t>
  </si>
  <si>
    <t>Campaign Officer</t>
  </si>
  <si>
    <t>2300/007</t>
  </si>
  <si>
    <t>Campaign Intern</t>
  </si>
  <si>
    <t>2400/000</t>
  </si>
  <si>
    <t>RESULT 4- INEQUALITIES AND DISCRIMINATION</t>
  </si>
  <si>
    <t>2400/001</t>
  </si>
  <si>
    <t>2400/002</t>
  </si>
  <si>
    <t>2400/003</t>
  </si>
  <si>
    <t>2400/004</t>
  </si>
  <si>
    <t>2400/005</t>
  </si>
  <si>
    <t>2400/006</t>
  </si>
  <si>
    <t>2400/007</t>
  </si>
  <si>
    <t>2400/008</t>
  </si>
  <si>
    <t>COMIC RELEF ACTIVITIES B/F</t>
  </si>
  <si>
    <t>2500/000</t>
  </si>
  <si>
    <t>RESULT 5- FREEDOMS AND CITIZENSHIP</t>
  </si>
  <si>
    <t>2500/001</t>
  </si>
  <si>
    <t>2500/002</t>
  </si>
  <si>
    <t>2500/003</t>
  </si>
  <si>
    <t>2500/004</t>
  </si>
  <si>
    <t>2500/005</t>
  </si>
  <si>
    <t>2500/006</t>
  </si>
  <si>
    <t>2500/007</t>
  </si>
  <si>
    <t>Events and Workshop- Protection</t>
  </si>
  <si>
    <t>2500/008</t>
  </si>
  <si>
    <t>Research publications and Tools - Protection</t>
  </si>
  <si>
    <t>2500/009</t>
  </si>
  <si>
    <t>National mission travel - Protection</t>
  </si>
  <si>
    <t>2500/010</t>
  </si>
  <si>
    <t>Project rapid response and mini grants - Protection</t>
  </si>
  <si>
    <t>2500/011</t>
  </si>
  <si>
    <t>Protection Officer - Protection</t>
  </si>
  <si>
    <t>2500/012</t>
  </si>
  <si>
    <t>Events and workshops - Digital Rights</t>
  </si>
  <si>
    <t>2500/013</t>
  </si>
  <si>
    <t>Research, publications and tools - Digital Rights</t>
  </si>
  <si>
    <t>2500/014</t>
  </si>
  <si>
    <t>National mission travel - Digital Rights</t>
  </si>
  <si>
    <t>2500/015</t>
  </si>
  <si>
    <t>Project rapid response and mini grants - Digital Rights</t>
  </si>
  <si>
    <t>2500/016</t>
  </si>
  <si>
    <t>Campaign Officer- Digital Rights</t>
  </si>
  <si>
    <t>2500/017</t>
  </si>
  <si>
    <t>Campaign Officer 2- Digital Rights</t>
  </si>
  <si>
    <t>2600/000</t>
  </si>
  <si>
    <t>RESULT 6- OFFICE OF EXECUTIVE DIRECTOR</t>
  </si>
  <si>
    <t>2600/001</t>
  </si>
  <si>
    <t>2600/002</t>
  </si>
  <si>
    <t>2600/003</t>
  </si>
  <si>
    <t>Annual Delegates Conference</t>
  </si>
  <si>
    <t>2600/004</t>
  </si>
  <si>
    <t>Staff International Mission Travel</t>
  </si>
  <si>
    <t>2600/007</t>
  </si>
  <si>
    <t>Opinion Polls</t>
  </si>
  <si>
    <t>2600/008</t>
  </si>
  <si>
    <t>Monitoring  Evaluation and Learning</t>
  </si>
  <si>
    <t>2600/009</t>
  </si>
  <si>
    <t>Quartely Advisory Board Meetings</t>
  </si>
  <si>
    <t>2600/010</t>
  </si>
  <si>
    <t>Executive Director</t>
  </si>
  <si>
    <t>2600/011</t>
  </si>
  <si>
    <t>Executive Officer</t>
  </si>
  <si>
    <t>2600/012</t>
  </si>
  <si>
    <t>Research Officer</t>
  </si>
  <si>
    <t>2600/013</t>
  </si>
  <si>
    <t>Interns</t>
  </si>
  <si>
    <t>2600/014</t>
  </si>
  <si>
    <t>2600/015</t>
  </si>
  <si>
    <t>Public Defenders Fund-Seed Capital</t>
  </si>
  <si>
    <t>2600/016</t>
  </si>
  <si>
    <t>Networking fund</t>
  </si>
  <si>
    <t>2600/017</t>
  </si>
  <si>
    <t>Amnesty @ 10 Events</t>
  </si>
  <si>
    <t>2600/018</t>
  </si>
  <si>
    <t>Human Resources Office</t>
  </si>
  <si>
    <t>2600/020</t>
  </si>
  <si>
    <t>Workers Compensation (WC)</t>
  </si>
  <si>
    <t>2600/021</t>
  </si>
  <si>
    <t>General Liability (GL)</t>
  </si>
  <si>
    <t>2600/022</t>
  </si>
  <si>
    <t>Employers Liability (EL)</t>
  </si>
  <si>
    <t>2600/023</t>
  </si>
  <si>
    <t>Annual Staff Capacity Building Events</t>
  </si>
  <si>
    <t>2600/024</t>
  </si>
  <si>
    <t>Annual Staff Capacity Building Fund</t>
  </si>
  <si>
    <t>2600/025</t>
  </si>
  <si>
    <t>Staff Welfare fund</t>
  </si>
  <si>
    <t>2600/026</t>
  </si>
  <si>
    <t>NSSF, NHIF, NITA</t>
  </si>
  <si>
    <t>2600/027</t>
  </si>
  <si>
    <t>People and Diversity Manager</t>
  </si>
  <si>
    <t>2600/028</t>
  </si>
  <si>
    <t>Annual Staff Medical Cover</t>
  </si>
  <si>
    <t>2600/029</t>
  </si>
  <si>
    <t>Fundraising Manager</t>
  </si>
  <si>
    <t>2600/030</t>
  </si>
  <si>
    <t>Fundraising Costs</t>
  </si>
  <si>
    <t>2700/000</t>
  </si>
  <si>
    <t>RESULT 7- FINANCE AND ADMINISTRATION</t>
  </si>
  <si>
    <t>2700/004</t>
  </si>
  <si>
    <t>Rent and Service Charge</t>
  </si>
  <si>
    <t>2700/005</t>
  </si>
  <si>
    <t>Telephone / Internet</t>
  </si>
  <si>
    <t>2700/006</t>
  </si>
  <si>
    <t>Stationery</t>
  </si>
  <si>
    <t>2700/007</t>
  </si>
  <si>
    <t>Subscriptions (Magazines  Newspapers)</t>
  </si>
  <si>
    <t>2700/008</t>
  </si>
  <si>
    <t>Printer Lease</t>
  </si>
  <si>
    <t>2700/009</t>
  </si>
  <si>
    <t>IT Support and Maintenance</t>
  </si>
  <si>
    <t>2700/010</t>
  </si>
  <si>
    <t>Program Sundries (Guest and Staff teas)</t>
  </si>
  <si>
    <t>2700/011</t>
  </si>
  <si>
    <t>Office Equipment Purchase/Repair/Maint.</t>
  </si>
  <si>
    <t>2700/012</t>
  </si>
  <si>
    <t>Audit Costs</t>
  </si>
  <si>
    <t>2700/013</t>
  </si>
  <si>
    <t>Bank Charges</t>
  </si>
  <si>
    <t>2700/014</t>
  </si>
  <si>
    <t>Utility Bills/Electricity</t>
  </si>
  <si>
    <t>2700/015</t>
  </si>
  <si>
    <t>Office Cleaning and garbage collection</t>
  </si>
  <si>
    <t>2700/016</t>
  </si>
  <si>
    <t>Mail and Courier</t>
  </si>
  <si>
    <t>2700/017</t>
  </si>
  <si>
    <t>Local Travel</t>
  </si>
  <si>
    <t>2700/018</t>
  </si>
  <si>
    <t>Out of Nairobi Travel</t>
  </si>
  <si>
    <t>2700/019</t>
  </si>
  <si>
    <t>Software Maintenance</t>
  </si>
  <si>
    <t>2700/020</t>
  </si>
  <si>
    <t>Finance &amp; Administration Manager</t>
  </si>
  <si>
    <t>2700/021</t>
  </si>
  <si>
    <t>Finance &amp; Administration Officer</t>
  </si>
  <si>
    <t>2700/022</t>
  </si>
  <si>
    <t>Administrative Assistant</t>
  </si>
  <si>
    <t>2700/023</t>
  </si>
  <si>
    <t>Systems Officer</t>
  </si>
  <si>
    <t>2800/000</t>
  </si>
  <si>
    <t>RESULT 8- MEMBERSHIP AND COMMUNICATIONS</t>
  </si>
  <si>
    <t>2800/001</t>
  </si>
  <si>
    <t>2800/002</t>
  </si>
  <si>
    <t>2800/003</t>
  </si>
  <si>
    <t>2800/004</t>
  </si>
  <si>
    <t>Website and Social Media</t>
  </si>
  <si>
    <t>2800/005</t>
  </si>
  <si>
    <t>Membership Management &amp; CRM</t>
  </si>
  <si>
    <t>2800/006</t>
  </si>
  <si>
    <t>Advertising  Paid publicity &amp; Materials</t>
  </si>
  <si>
    <t>2800/007</t>
  </si>
  <si>
    <t>2800/008</t>
  </si>
  <si>
    <t>2800/009</t>
  </si>
  <si>
    <t>2900/000</t>
  </si>
  <si>
    <t>Digital Rights </t>
  </si>
  <si>
    <t>2900/001</t>
  </si>
  <si>
    <t>2900/002</t>
  </si>
  <si>
    <t>Research, publications and tools</t>
  </si>
  <si>
    <t>2900/003</t>
  </si>
  <si>
    <t>2900/004</t>
  </si>
  <si>
    <t>2900/005</t>
  </si>
  <si>
    <t>2900/006</t>
  </si>
  <si>
    <t>2900/007</t>
  </si>
  <si>
    <t>2900/008</t>
  </si>
  <si>
    <t>3200/000</t>
  </si>
  <si>
    <t>Profit/Loss on sale of Assets</t>
  </si>
  <si>
    <t>3200/100</t>
  </si>
  <si>
    <t>Depreciation Motorvehicles</t>
  </si>
  <si>
    <t>3200/200</t>
  </si>
  <si>
    <t>Depreciation Computer Equipment</t>
  </si>
  <si>
    <t>3200/300</t>
  </si>
  <si>
    <t>Depreciation Office Equipment</t>
  </si>
  <si>
    <t>3200/400</t>
  </si>
  <si>
    <t>Depreciation Furniture and Fittings</t>
  </si>
  <si>
    <t>3200/500</t>
  </si>
  <si>
    <t>Loss on Impairment</t>
  </si>
  <si>
    <t>3200/600</t>
  </si>
  <si>
    <t>Foreign Exchange Loss</t>
  </si>
  <si>
    <t>3200/700</t>
  </si>
  <si>
    <t>Unrealised Exchange Loss</t>
  </si>
  <si>
    <t>3300/100</t>
  </si>
  <si>
    <t>Migration balances</t>
  </si>
  <si>
    <t>5000/000</t>
  </si>
  <si>
    <t>Balance sheet</t>
  </si>
  <si>
    <t>5100/000</t>
  </si>
  <si>
    <t>Total reserves</t>
  </si>
  <si>
    <t>5200/000</t>
  </si>
  <si>
    <t>Retained surplus/deficit for period</t>
  </si>
  <si>
    <t>5200/100</t>
  </si>
  <si>
    <t>Surplus/Deficit this year</t>
  </si>
  <si>
    <t>5200/990</t>
  </si>
  <si>
    <t>Surplus/Deficit for the year(not in use)</t>
  </si>
  <si>
    <t>5300/990</t>
  </si>
  <si>
    <t>Surplus/Deficit for the year</t>
  </si>
  <si>
    <t>5400/000</t>
  </si>
  <si>
    <t>Total liabilities</t>
  </si>
  <si>
    <t>5500/000</t>
  </si>
  <si>
    <t>Capital Grants Fund</t>
  </si>
  <si>
    <t>5550/000</t>
  </si>
  <si>
    <t>Deferred income</t>
  </si>
  <si>
    <t>5600/000</t>
  </si>
  <si>
    <t>Uncredited Income</t>
  </si>
  <si>
    <t>5700/000</t>
  </si>
  <si>
    <t>Total trade and other payables</t>
  </si>
  <si>
    <t>5800/000</t>
  </si>
  <si>
    <t>Accounts Payable</t>
  </si>
  <si>
    <t>5800/100</t>
  </si>
  <si>
    <t>Accruals</t>
  </si>
  <si>
    <t>5850/000</t>
  </si>
  <si>
    <t>VAT /Tax control account</t>
  </si>
  <si>
    <t>6000/000</t>
  </si>
  <si>
    <t>Assets</t>
  </si>
  <si>
    <t>6000/100</t>
  </si>
  <si>
    <t>Total Fixed Assets</t>
  </si>
  <si>
    <t>6100/000</t>
  </si>
  <si>
    <t>Land &amp; Buildings - Net Value</t>
  </si>
  <si>
    <t>6100/010</t>
  </si>
  <si>
    <t>Land &amp; Buildings - @ Cost</t>
  </si>
  <si>
    <t>6100/020</t>
  </si>
  <si>
    <t>Land &amp; Buildings - Accum Depre</t>
  </si>
  <si>
    <t>6200/000</t>
  </si>
  <si>
    <t>Motor Vehicles - Net Value</t>
  </si>
  <si>
    <t>6200/010</t>
  </si>
  <si>
    <t>Motor Vehicles - @ Cost</t>
  </si>
  <si>
    <t>6200/020</t>
  </si>
  <si>
    <t>Motor Vehicles - Accum Depre</t>
  </si>
  <si>
    <t>6250/000</t>
  </si>
  <si>
    <t>Computer Equipment - Net Value</t>
  </si>
  <si>
    <t>6250/010</t>
  </si>
  <si>
    <t>Computer Equipment - @ Cost</t>
  </si>
  <si>
    <t>6250/020</t>
  </si>
  <si>
    <t>Computer Equipment - Accum Depre</t>
  </si>
  <si>
    <t>6300/000</t>
  </si>
  <si>
    <t>Office Equipment - Net Value</t>
  </si>
  <si>
    <t>6300/010</t>
  </si>
  <si>
    <t>Office Equipment - @ Cost</t>
  </si>
  <si>
    <t>6300/020</t>
  </si>
  <si>
    <t>Office Equipment - Accum Depre</t>
  </si>
  <si>
    <t>6350/000</t>
  </si>
  <si>
    <t>Furniture &amp; Fittings - Net value</t>
  </si>
  <si>
    <t>6350/010</t>
  </si>
  <si>
    <t>Furniture &amp; Fittings - @ Cost</t>
  </si>
  <si>
    <t>6350/020</t>
  </si>
  <si>
    <t>Furniture &amp; Fittings - Accum Depre</t>
  </si>
  <si>
    <t>6600/000</t>
  </si>
  <si>
    <t>Other Fixed Assets - Net Value</t>
  </si>
  <si>
    <t>6600/010</t>
  </si>
  <si>
    <t>Other Fixed Assets - @ Cost</t>
  </si>
  <si>
    <t>6600/020</t>
  </si>
  <si>
    <t>Other Fixed Assets - Accum Depre</t>
  </si>
  <si>
    <t>6700/000</t>
  </si>
  <si>
    <t>Deposits</t>
  </si>
  <si>
    <t>6900/000</t>
  </si>
  <si>
    <t>Total Other Assets (Non Tangible)</t>
  </si>
  <si>
    <t>7000/000</t>
  </si>
  <si>
    <t>Goodwill / Intangible Assets</t>
  </si>
  <si>
    <t>7000/010</t>
  </si>
  <si>
    <t>Amortization of Intangible Assets</t>
  </si>
  <si>
    <t>7100/000</t>
  </si>
  <si>
    <t>Investments</t>
  </si>
  <si>
    <t>7200/000</t>
  </si>
  <si>
    <t>Inventories</t>
  </si>
  <si>
    <t>7900/000</t>
  </si>
  <si>
    <t>Trade and other receivables (current)</t>
  </si>
  <si>
    <t>8000/000</t>
  </si>
  <si>
    <t>Accounts Receivable</t>
  </si>
  <si>
    <t>8000/100</t>
  </si>
  <si>
    <t>Grants Receivable</t>
  </si>
  <si>
    <t>8100/000</t>
  </si>
  <si>
    <t>Cash in Transit</t>
  </si>
  <si>
    <t>8200/000</t>
  </si>
  <si>
    <t>Prepayments</t>
  </si>
  <si>
    <t>8300/000</t>
  </si>
  <si>
    <t>Total cash and cash equivalents</t>
  </si>
  <si>
    <t>8400/000</t>
  </si>
  <si>
    <t>NCBA Main Account 1222710032</t>
  </si>
  <si>
    <t>8410/000</t>
  </si>
  <si>
    <t>Petty Cash</t>
  </si>
  <si>
    <t>8420/000</t>
  </si>
  <si>
    <t>NCBA USD Account 1222710053</t>
  </si>
  <si>
    <t>8430/000</t>
  </si>
  <si>
    <t>NCBA Reserves Account 1222710074</t>
  </si>
  <si>
    <t>8440/000</t>
  </si>
  <si>
    <t>NCBA GBP Account 1222710069</t>
  </si>
  <si>
    <t>8450/000</t>
  </si>
  <si>
    <t xml:space="preserve">Stanbic main account0100013071092 </t>
  </si>
  <si>
    <t>8460/000</t>
  </si>
  <si>
    <t>Stanbic USD account0100013071114</t>
  </si>
  <si>
    <t>8470/000</t>
  </si>
  <si>
    <t>Stanbic Fixed Deposit Account</t>
  </si>
  <si>
    <t>9990/000</t>
  </si>
  <si>
    <t>Opening Balance/Suspense Account</t>
  </si>
  <si>
    <t>AMNESTY INTERNATIONAL KENYA 2025 REPORT</t>
  </si>
  <si>
    <t>TOTAL BUDGET</t>
  </si>
  <si>
    <t>Q1 BUDGET</t>
  </si>
  <si>
    <t>Q2 BUDGET</t>
  </si>
  <si>
    <t>Q3 BUDGET</t>
  </si>
  <si>
    <t>Q4 BUDGET</t>
  </si>
  <si>
    <t>ACTUAL COSTS JULY  25</t>
  </si>
  <si>
    <t>VARIANCE</t>
  </si>
  <si>
    <t>% SPENT</t>
  </si>
  <si>
    <t>REVENUE ANALYSIS 2025</t>
  </si>
  <si>
    <t>Balance b/f from 2024-estimates DEFICIT</t>
  </si>
  <si>
    <t>2025 RAM Allocation</t>
  </si>
  <si>
    <t>FIF Allocation</t>
  </si>
  <si>
    <t xml:space="preserve">BOTNAR </t>
  </si>
  <si>
    <t>MEMBERSHIP</t>
  </si>
  <si>
    <t>INTEREST</t>
  </si>
  <si>
    <t>TOTAL REVENUE 2025</t>
  </si>
  <si>
    <t>EXPENDITURE  ALLOCATION 2025</t>
  </si>
  <si>
    <t>Budget Codes</t>
  </si>
  <si>
    <t>Result Areas</t>
  </si>
  <si>
    <t>Movement Building</t>
  </si>
  <si>
    <t>Campaign Manager (Emily)</t>
  </si>
  <si>
    <t>Campaign Officer (James)</t>
  </si>
  <si>
    <t>Campaign Officer (Amy)</t>
  </si>
  <si>
    <t>Impact Reporting Officer (vacant) 50%</t>
  </si>
  <si>
    <t>Campaign Officer (Eunice)</t>
  </si>
  <si>
    <t>Membership</t>
  </si>
  <si>
    <t>2100/012</t>
  </si>
  <si>
    <t xml:space="preserve">Merchandise </t>
  </si>
  <si>
    <t>Staff Gratuaity -James Kimila</t>
  </si>
  <si>
    <t>Total Movement Building</t>
  </si>
  <si>
    <t>Equality and Anti-Discrimination</t>
  </si>
  <si>
    <t>Campaign Manager (Zaina)</t>
  </si>
  <si>
    <t>Campaign Officer (Gaudence)</t>
  </si>
  <si>
    <t>Total Equality and Anti-Discrimination</t>
  </si>
  <si>
    <t>Civil Liberties</t>
  </si>
  <si>
    <t>Campaign Manager (Edward)</t>
  </si>
  <si>
    <t>Campaign Officer (Rajab)</t>
  </si>
  <si>
    <t>Research Officer (Benta)</t>
  </si>
  <si>
    <t>Total Civil Liberties</t>
  </si>
  <si>
    <t>Protection</t>
  </si>
  <si>
    <t>Protection Officer (Wangui) 50%</t>
  </si>
  <si>
    <t>Total Protection</t>
  </si>
  <si>
    <t>Technology and Human Rights</t>
  </si>
  <si>
    <t>Campaign Manager (Victor)</t>
  </si>
  <si>
    <t>Campaign Officer (Sharlene)</t>
  </si>
  <si>
    <t>Campaign Officer (Aurelia)</t>
  </si>
  <si>
    <t>Campaign Officer (Benta)</t>
  </si>
  <si>
    <t>Total Technology and Human Rights</t>
  </si>
  <si>
    <t>Office of Executive Director</t>
  </si>
  <si>
    <t>Staff international mission travel</t>
  </si>
  <si>
    <t>Quarterly Advisory board meetings</t>
  </si>
  <si>
    <t>Executive Director ( Irungu)</t>
  </si>
  <si>
    <t>Executive Officer (Irene)</t>
  </si>
  <si>
    <t xml:space="preserve">Interns </t>
  </si>
  <si>
    <t>Fundraising Manager (Florence)</t>
  </si>
  <si>
    <t>Total Office of Executive Director</t>
  </si>
  <si>
    <t>People and Diversity</t>
  </si>
  <si>
    <t>Annual staff capacity-building events</t>
  </si>
  <si>
    <t>Staff capacity-building fund</t>
  </si>
  <si>
    <t>People &amp; Diversity Manager (Cynthia)</t>
  </si>
  <si>
    <t>Total People and Diversity</t>
  </si>
  <si>
    <t>Finance and Administration</t>
  </si>
  <si>
    <t>Rent and Service Charge/RTO option/Investments</t>
  </si>
  <si>
    <t>Subscriptions (magazines newspapers)</t>
  </si>
  <si>
    <t>IT support &amp; Maintenance</t>
  </si>
  <si>
    <t>Office equipment Purchase/repairs/maintenance</t>
  </si>
  <si>
    <t>Utility Bills / Electricity</t>
  </si>
  <si>
    <t>Softwares and Intangible Assets</t>
  </si>
  <si>
    <t>Finance and Administration Manager (Francis)</t>
  </si>
  <si>
    <t>Finance and Administration Officer (Stephen)</t>
  </si>
  <si>
    <t>Administrative Assistant (Ann) 50%</t>
  </si>
  <si>
    <t>Systems Officer (vacant) 50%</t>
  </si>
  <si>
    <t>2700/024</t>
  </si>
  <si>
    <t>NSSF, NHIF and NITA</t>
  </si>
  <si>
    <t>Total Finance and Administration</t>
  </si>
  <si>
    <t>Public Communications and Engagement</t>
  </si>
  <si>
    <t>Website and social media</t>
  </si>
  <si>
    <t>Advertising, paid publicity and materials</t>
  </si>
  <si>
    <t>Campaign Manager (Mathias)</t>
  </si>
  <si>
    <t>Campaign Officer (Judy)</t>
  </si>
  <si>
    <t>Total Public Communications and Engagement</t>
  </si>
  <si>
    <t>TOTALS</t>
  </si>
  <si>
    <t>TOTAL</t>
  </si>
  <si>
    <t>Trial Balance/Budget</t>
  </si>
  <si>
    <t>9/4/2025 9:33 AM</t>
  </si>
  <si>
    <r>
      <rPr>
        <sz val="8"/>
        <color rgb="FF000000"/>
        <rFont val="Segoe UI"/>
      </rPr>
      <t>Budget Filter</t>
    </r>
    <r>
      <rPr>
        <sz val="8"/>
        <color rgb="FF000000"/>
        <rFont val="Segoe UI"/>
      </rPr>
      <t xml:space="preserve">:  </t>
    </r>
    <r>
      <rPr>
        <sz val="8"/>
        <color rgb="FF000000"/>
        <rFont val="Segoe UI"/>
      </rPr>
      <t>2025BUDGET</t>
    </r>
  </si>
  <si>
    <t>G/L Account: Date Filter: 01/01/25..07/31/25, Budget Filter: 2025BUDGET</t>
  </si>
  <si>
    <t>% of</t>
  </si>
  <si>
    <t>Budget</t>
  </si>
  <si>
    <t>SUMMARY REPORT ACTUAL VS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</si>
</sst>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[$-10409]#,##0.00"/>
    <numFmt numFmtId="165" formatCode="_(* #,##0_);_(* \(#,##0\);_(* &quot;-&quot;??_);_(@_)"/>
    <numFmt numFmtId="166" formatCode="0.0%"/>
    <numFmt numFmtId="167" formatCode="_(* #,##0.0_);_(* \(#,##0.0\);_(* &quot;-&quot;??_);_(@_)"/>
    <numFmt numFmtId="170" formatCode="[$-10409]#,##0"/>
    <numFmt numFmtId="171" formatCode="[$-10409]#,##0.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rgb="FF000000"/>
      <name val="Segoe UI Semibold"/>
      <family val="2"/>
    </font>
    <font>
      <sz val="11"/>
      <name val="Calibri"/>
      <family val="2"/>
    </font>
    <font>
      <sz val="2"/>
      <color rgb="FF000000"/>
      <name val="Segoe UI"/>
      <family val="2"/>
    </font>
    <font>
      <sz val="8"/>
      <color rgb="FF000000"/>
      <name val="Segoe UI"/>
      <family val="2"/>
    </font>
    <font>
      <sz val="8"/>
      <color rgb="FFFF000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 Semibold"/>
      <family val="2"/>
    </font>
    <font>
      <b/>
      <sz val="10.5"/>
      <name val="Amnesty Trade Gothic"/>
      <charset val="134"/>
    </font>
    <font>
      <sz val="10.5"/>
      <name val="Amnesty Trade Gothic"/>
      <charset val="134"/>
    </font>
    <font>
      <i/>
      <sz val="10.5"/>
      <name val="Amnesty Trade Gothic"/>
      <charset val="134"/>
    </font>
    <font>
      <sz val="11"/>
      <color rgb="FF000000"/>
      <name val="Calibri"/>
      <family val="2"/>
      <scheme val="minor"/>
    </font>
    <font>
      <sz val="14"/>
      <color rgb="FF000000"/>
      <name val="Segoe UI Semibold"/>
    </font>
    <font>
      <sz val="11"/>
      <name val="Calibri"/>
    </font>
    <font>
      <sz val="2"/>
      <color rgb="FF000000"/>
      <name val="Segoe UI"/>
    </font>
    <font>
      <sz val="8"/>
      <color rgb="FF000000"/>
      <name val="Segoe UI"/>
    </font>
    <font>
      <b/>
      <sz val="8"/>
      <color rgb="FF000000"/>
      <name val="Segoe UI"/>
    </font>
    <font>
      <b/>
      <sz val="8"/>
      <color rgb="FF000000"/>
      <name val="Segoe UI Semibold"/>
    </font>
    <font>
      <b/>
      <sz val="7"/>
      <color rgb="FF000000"/>
      <name val="Segoe UI Semibold"/>
    </font>
    <font>
      <sz val="8"/>
      <color rgb="FF000000"/>
      <name val="Segoe UI Semibold"/>
    </font>
    <font>
      <b/>
      <sz val="6.5"/>
      <color rgb="FF000000"/>
      <name val="Segoe UI Semibold"/>
    </font>
    <font>
      <b/>
      <sz val="2"/>
      <color rgb="FFFF0000"/>
      <name val="Segoe UI"/>
    </font>
    <font>
      <b/>
      <sz val="2"/>
      <color rgb="FF000000"/>
      <name val="Segoe UI"/>
    </font>
    <font>
      <b/>
      <sz val="8"/>
      <color rgb="FFFF0000"/>
      <name val="Segoe UI"/>
    </font>
    <font>
      <b/>
      <sz val="6.5"/>
      <color rgb="FF000000"/>
      <name val="Segoe UI"/>
    </font>
    <font>
      <sz val="6.5"/>
      <color rgb="FF00000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BEBEB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207">
    <xf numFmtId="0" fontId="0" fillId="0" borderId="0" xfId="0"/>
    <xf numFmtId="0" fontId="2" fillId="0" borderId="0" xfId="0" applyFont="1" applyAlignment="1">
      <alignment vertical="center" wrapText="1" readingOrder="1"/>
    </xf>
    <xf numFmtId="0" fontId="3" fillId="0" borderId="0" xfId="0" applyFont="1"/>
    <xf numFmtId="0" fontId="3" fillId="0" borderId="0" xfId="0" applyFont="1"/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vertical="center" wrapText="1" readingOrder="1"/>
    </xf>
    <xf numFmtId="0" fontId="8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 readingOrder="1"/>
    </xf>
    <xf numFmtId="0" fontId="7" fillId="0" borderId="0" xfId="0" applyFont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vertical="center" wrapText="1" readingOrder="1"/>
    </xf>
    <xf numFmtId="0" fontId="7" fillId="2" borderId="0" xfId="0" applyFont="1" applyFill="1" applyAlignment="1">
      <alignment vertical="center" wrapText="1" readingOrder="1"/>
    </xf>
    <xf numFmtId="0" fontId="7" fillId="3" borderId="0" xfId="0" applyFont="1" applyFill="1" applyAlignment="1">
      <alignment horizontal="left" vertical="center" wrapText="1" readingOrder="1"/>
    </xf>
    <xf numFmtId="0" fontId="7" fillId="3" borderId="0" xfId="0" applyFont="1" applyFill="1" applyAlignment="1">
      <alignment vertical="center" wrapText="1" readingOrder="1"/>
    </xf>
    <xf numFmtId="164" fontId="7" fillId="3" borderId="0" xfId="0" applyNumberFormat="1" applyFont="1" applyFill="1" applyAlignment="1">
      <alignment vertical="center" wrapText="1" readingOrder="1"/>
    </xf>
    <xf numFmtId="164" fontId="7" fillId="2" borderId="0" xfId="0" applyNumberFormat="1" applyFont="1" applyFill="1" applyAlignment="1">
      <alignment vertical="center" wrapText="1" readingOrder="1"/>
    </xf>
    <xf numFmtId="0" fontId="5" fillId="3" borderId="0" xfId="0" applyFont="1" applyFill="1" applyAlignment="1">
      <alignment horizontal="left" vertical="center" wrapText="1" readingOrder="1"/>
    </xf>
    <xf numFmtId="0" fontId="5" fillId="3" borderId="0" xfId="0" applyFont="1" applyFill="1" applyAlignment="1">
      <alignment vertical="center" wrapText="1" readingOrder="1"/>
    </xf>
    <xf numFmtId="164" fontId="5" fillId="3" borderId="0" xfId="0" applyNumberFormat="1" applyFont="1" applyFill="1" applyAlignment="1">
      <alignment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5" fillId="2" borderId="0" xfId="0" applyFont="1" applyFill="1" applyAlignment="1">
      <alignment vertical="center" wrapText="1" readingOrder="1"/>
    </xf>
    <xf numFmtId="0" fontId="5" fillId="3" borderId="0" xfId="0" applyFont="1" applyFill="1" applyAlignment="1">
      <alignment vertical="center" wrapText="1" readingOrder="1"/>
    </xf>
    <xf numFmtId="164" fontId="5" fillId="2" borderId="0" xfId="0" applyNumberFormat="1" applyFont="1" applyFill="1" applyAlignment="1">
      <alignment vertical="center" wrapText="1" readingOrder="1"/>
    </xf>
    <xf numFmtId="164" fontId="7" fillId="3" borderId="0" xfId="0" applyNumberFormat="1" applyFont="1" applyFill="1" applyAlignment="1">
      <alignment vertical="center" wrapText="1" readingOrder="1"/>
    </xf>
    <xf numFmtId="0" fontId="7" fillId="3" borderId="0" xfId="0" applyFont="1" applyFill="1" applyAlignment="1">
      <alignment vertical="center" wrapText="1" readingOrder="1"/>
    </xf>
    <xf numFmtId="164" fontId="7" fillId="2" borderId="0" xfId="0" applyNumberFormat="1" applyFont="1" applyFill="1" applyAlignment="1">
      <alignment vertical="center" wrapText="1" readingOrder="1"/>
    </xf>
    <xf numFmtId="164" fontId="5" fillId="3" borderId="0" xfId="0" applyNumberFormat="1" applyFont="1" applyFill="1" applyAlignment="1">
      <alignment vertical="center" wrapText="1" readingOrder="1"/>
    </xf>
    <xf numFmtId="164" fontId="5" fillId="2" borderId="0" xfId="0" applyNumberFormat="1" applyFont="1" applyFill="1" applyAlignment="1">
      <alignment vertical="center" wrapText="1" readingOrder="1"/>
    </xf>
    <xf numFmtId="0" fontId="9" fillId="4" borderId="2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right" wrapText="1"/>
    </xf>
    <xf numFmtId="3" fontId="9" fillId="4" borderId="4" xfId="0" applyNumberFormat="1" applyFont="1" applyFill="1" applyBorder="1" applyAlignment="1">
      <alignment horizontal="right" wrapText="1"/>
    </xf>
    <xf numFmtId="0" fontId="9" fillId="4" borderId="5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/>
    <xf numFmtId="3" fontId="10" fillId="0" borderId="9" xfId="0" applyNumberFormat="1" applyFont="1" applyBorder="1" applyAlignment="1">
      <alignment horizontal="right"/>
    </xf>
    <xf numFmtId="3" fontId="9" fillId="0" borderId="9" xfId="0" applyNumberFormat="1" applyFont="1" applyBorder="1" applyAlignment="1">
      <alignment horizontal="right"/>
    </xf>
    <xf numFmtId="0" fontId="10" fillId="0" borderId="10" xfId="0" applyFont="1" applyBorder="1"/>
    <xf numFmtId="3" fontId="10" fillId="0" borderId="11" xfId="0" applyNumberFormat="1" applyFont="1" applyBorder="1"/>
    <xf numFmtId="3" fontId="10" fillId="0" borderId="9" xfId="0" applyNumberFormat="1" applyFont="1" applyBorder="1"/>
    <xf numFmtId="3" fontId="10" fillId="0" borderId="10" xfId="0" applyNumberFormat="1" applyFont="1" applyBorder="1"/>
    <xf numFmtId="0" fontId="10" fillId="0" borderId="0" xfId="0" applyFont="1"/>
    <xf numFmtId="0" fontId="9" fillId="0" borderId="9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8" fontId="11" fillId="0" borderId="9" xfId="1" applyNumberFormat="1" applyFont="1" applyBorder="1" applyAlignment="1">
      <alignment horizontal="right"/>
    </xf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165" fontId="10" fillId="0" borderId="9" xfId="1" applyNumberFormat="1" applyFont="1" applyBorder="1" applyAlignment="1">
      <alignment horizontal="right"/>
    </xf>
    <xf numFmtId="3" fontId="11" fillId="0" borderId="9" xfId="0" applyNumberFormat="1" applyFont="1" applyBorder="1" applyAlignment="1">
      <alignment horizontal="right"/>
    </xf>
    <xf numFmtId="0" fontId="9" fillId="5" borderId="9" xfId="0" applyFont="1" applyFill="1" applyBorder="1"/>
    <xf numFmtId="165" fontId="9" fillId="5" borderId="9" xfId="1" applyNumberFormat="1" applyFont="1" applyFill="1" applyBorder="1"/>
    <xf numFmtId="9" fontId="9" fillId="5" borderId="9" xfId="2" applyFont="1" applyFill="1" applyBorder="1"/>
    <xf numFmtId="0" fontId="9" fillId="6" borderId="9" xfId="0" applyFont="1" applyFill="1" applyBorder="1"/>
    <xf numFmtId="0" fontId="9" fillId="7" borderId="8" xfId="0" applyFont="1" applyFill="1" applyBorder="1"/>
    <xf numFmtId="0" fontId="9" fillId="0" borderId="8" xfId="0" applyFont="1" applyBorder="1"/>
    <xf numFmtId="0" fontId="10" fillId="0" borderId="12" xfId="0" applyFont="1" applyBorder="1"/>
    <xf numFmtId="0" fontId="9" fillId="0" borderId="9" xfId="0" applyFont="1" applyBorder="1"/>
    <xf numFmtId="0" fontId="9" fillId="0" borderId="12" xfId="0" applyFont="1" applyBorder="1"/>
    <xf numFmtId="0" fontId="9" fillId="0" borderId="9" xfId="0" applyFont="1" applyBorder="1" applyAlignment="1">
      <alignment horizontal="right" wrapText="1"/>
    </xf>
    <xf numFmtId="0" fontId="9" fillId="0" borderId="10" xfId="0" applyFont="1" applyBorder="1"/>
    <xf numFmtId="3" fontId="9" fillId="0" borderId="11" xfId="0" applyNumberFormat="1" applyFont="1" applyBorder="1"/>
    <xf numFmtId="3" fontId="9" fillId="0" borderId="9" xfId="0" applyNumberFormat="1" applyFont="1" applyBorder="1"/>
    <xf numFmtId="3" fontId="9" fillId="0" borderId="10" xfId="0" applyNumberFormat="1" applyFont="1" applyBorder="1"/>
    <xf numFmtId="0" fontId="9" fillId="0" borderId="0" xfId="0" applyFont="1"/>
    <xf numFmtId="41" fontId="10" fillId="0" borderId="9" xfId="0" applyNumberFormat="1" applyFont="1" applyBorder="1" applyAlignment="1">
      <alignment horizontal="right"/>
    </xf>
    <xf numFmtId="43" fontId="10" fillId="0" borderId="9" xfId="1" applyFont="1" applyBorder="1" applyAlignment="1">
      <alignment horizontal="right"/>
    </xf>
    <xf numFmtId="43" fontId="10" fillId="0" borderId="10" xfId="1" applyFont="1" applyBorder="1"/>
    <xf numFmtId="3" fontId="10" fillId="0" borderId="0" xfId="0" applyNumberFormat="1" applyFont="1"/>
    <xf numFmtId="43" fontId="10" fillId="0" borderId="9" xfId="1" applyFont="1" applyBorder="1"/>
    <xf numFmtId="41" fontId="10" fillId="0" borderId="0" xfId="0" applyNumberFormat="1" applyFont="1"/>
    <xf numFmtId="166" fontId="10" fillId="0" borderId="10" xfId="2" applyNumberFormat="1" applyFont="1" applyBorder="1"/>
    <xf numFmtId="165" fontId="10" fillId="8" borderId="9" xfId="1" applyNumberFormat="1" applyFont="1" applyFill="1" applyBorder="1" applyAlignment="1">
      <alignment horizontal="right"/>
    </xf>
    <xf numFmtId="41" fontId="9" fillId="0" borderId="9" xfId="0" applyNumberFormat="1" applyFont="1" applyBorder="1" applyAlignment="1">
      <alignment horizontal="right"/>
    </xf>
    <xf numFmtId="166" fontId="9" fillId="0" borderId="10" xfId="2" applyNumberFormat="1" applyFont="1" applyBorder="1"/>
    <xf numFmtId="3" fontId="9" fillId="0" borderId="0" xfId="0" applyNumberFormat="1" applyFont="1"/>
    <xf numFmtId="166" fontId="10" fillId="0" borderId="10" xfId="0" applyNumberFormat="1" applyFont="1" applyBorder="1"/>
    <xf numFmtId="3" fontId="10" fillId="0" borderId="9" xfId="1" applyNumberFormat="1" applyFont="1" applyBorder="1" applyAlignment="1">
      <alignment horizontal="right"/>
    </xf>
    <xf numFmtId="166" fontId="9" fillId="0" borderId="10" xfId="0" applyNumberFormat="1" applyFont="1" applyBorder="1"/>
    <xf numFmtId="167" fontId="10" fillId="0" borderId="10" xfId="1" applyNumberFormat="1" applyFont="1" applyBorder="1"/>
    <xf numFmtId="41" fontId="9" fillId="0" borderId="0" xfId="0" applyNumberFormat="1" applyFont="1"/>
    <xf numFmtId="0" fontId="10" fillId="0" borderId="0" xfId="0" applyFont="1" applyAlignment="1">
      <alignment horizontal="right"/>
    </xf>
    <xf numFmtId="41" fontId="10" fillId="0" borderId="9" xfId="1" applyNumberFormat="1" applyFont="1" applyFill="1" applyBorder="1" applyAlignment="1">
      <alignment horizontal="right"/>
    </xf>
    <xf numFmtId="43" fontId="10" fillId="0" borderId="11" xfId="1" applyFont="1" applyBorder="1"/>
    <xf numFmtId="41" fontId="9" fillId="0" borderId="9" xfId="1" applyNumberFormat="1" applyFont="1" applyFill="1" applyBorder="1" applyAlignment="1">
      <alignment horizontal="right"/>
    </xf>
    <xf numFmtId="43" fontId="9" fillId="0" borderId="11" xfId="1" applyFont="1" applyBorder="1"/>
    <xf numFmtId="0" fontId="10" fillId="8" borderId="12" xfId="0" applyFont="1" applyFill="1" applyBorder="1"/>
    <xf numFmtId="3" fontId="10" fillId="0" borderId="0" xfId="0" applyNumberFormat="1" applyFont="1" applyAlignment="1">
      <alignment horizontal="right"/>
    </xf>
    <xf numFmtId="3" fontId="9" fillId="0" borderId="12" xfId="0" applyNumberFormat="1" applyFont="1" applyBorder="1"/>
    <xf numFmtId="167" fontId="10" fillId="0" borderId="9" xfId="1" applyNumberFormat="1" applyFont="1" applyBorder="1" applyAlignment="1">
      <alignment horizontal="right"/>
    </xf>
    <xf numFmtId="0" fontId="9" fillId="4" borderId="13" xfId="0" applyFont="1" applyFill="1" applyBorder="1"/>
    <xf numFmtId="0" fontId="9" fillId="4" borderId="14" xfId="0" applyFont="1" applyFill="1" applyBorder="1"/>
    <xf numFmtId="41" fontId="9" fillId="4" borderId="14" xfId="0" applyNumberFormat="1" applyFont="1" applyFill="1" applyBorder="1" applyAlignment="1">
      <alignment horizontal="right"/>
    </xf>
    <xf numFmtId="3" fontId="9" fillId="4" borderId="14" xfId="0" applyNumberFormat="1" applyFont="1" applyFill="1" applyBorder="1" applyAlignment="1">
      <alignment horizontal="right"/>
    </xf>
    <xf numFmtId="9" fontId="9" fillId="4" borderId="15" xfId="2" applyFont="1" applyFill="1" applyBorder="1"/>
    <xf numFmtId="3" fontId="9" fillId="5" borderId="16" xfId="0" applyNumberFormat="1" applyFont="1" applyFill="1" applyBorder="1"/>
    <xf numFmtId="3" fontId="9" fillId="5" borderId="14" xfId="0" applyNumberFormat="1" applyFont="1" applyFill="1" applyBorder="1"/>
    <xf numFmtId="3" fontId="9" fillId="5" borderId="15" xfId="0" applyNumberFormat="1" applyFont="1" applyFill="1" applyBorder="1"/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41" fontId="10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9" fontId="10" fillId="8" borderId="0" xfId="2" applyFont="1" applyFill="1"/>
    <xf numFmtId="9" fontId="10" fillId="8" borderId="11" xfId="2" applyFont="1" applyFill="1" applyBorder="1"/>
    <xf numFmtId="9" fontId="10" fillId="0" borderId="0" xfId="2" applyFont="1" applyAlignment="1">
      <alignment horizontal="right"/>
    </xf>
    <xf numFmtId="0" fontId="10" fillId="0" borderId="17" xfId="0" applyFont="1" applyBorder="1"/>
    <xf numFmtId="41" fontId="10" fillId="0" borderId="17" xfId="0" applyNumberFormat="1" applyFont="1" applyBorder="1" applyAlignment="1">
      <alignment horizontal="right"/>
    </xf>
    <xf numFmtId="3" fontId="10" fillId="0" borderId="17" xfId="0" applyNumberFormat="1" applyFont="1" applyBorder="1" applyAlignment="1">
      <alignment horizontal="right"/>
    </xf>
    <xf numFmtId="9" fontId="10" fillId="8" borderId="18" xfId="2" applyFont="1" applyFill="1" applyBorder="1"/>
    <xf numFmtId="9" fontId="9" fillId="8" borderId="9" xfId="2" applyFont="1" applyFill="1" applyBorder="1"/>
    <xf numFmtId="9" fontId="10" fillId="0" borderId="0" xfId="2" applyFont="1"/>
    <xf numFmtId="0" fontId="13" fillId="0" borderId="0" xfId="3" applyFont="1" applyAlignment="1">
      <alignment vertical="center" wrapText="1" readingOrder="1"/>
    </xf>
    <xf numFmtId="0" fontId="14" fillId="0" borderId="0" xfId="3" applyFont="1"/>
    <xf numFmtId="0" fontId="14" fillId="0" borderId="0" xfId="3" applyFont="1"/>
    <xf numFmtId="0" fontId="15" fillId="0" borderId="0" xfId="3" applyFont="1" applyAlignment="1">
      <alignment horizontal="right" vertical="top" wrapText="1" readingOrder="1"/>
    </xf>
    <xf numFmtId="0" fontId="16" fillId="0" borderId="0" xfId="3" applyFont="1" applyAlignment="1">
      <alignment horizontal="right" vertical="center" wrapText="1" readingOrder="1"/>
    </xf>
    <xf numFmtId="0" fontId="16" fillId="0" borderId="0" xfId="3" applyFont="1" applyAlignment="1">
      <alignment vertical="top" wrapText="1" readingOrder="1"/>
    </xf>
    <xf numFmtId="0" fontId="16" fillId="0" borderId="0" xfId="3" applyFont="1" applyAlignment="1">
      <alignment vertical="center" wrapText="1" readingOrder="1"/>
    </xf>
    <xf numFmtId="0" fontId="17" fillId="0" borderId="0" xfId="3" applyFont="1" applyAlignment="1">
      <alignment vertical="center" wrapText="1" readingOrder="1"/>
    </xf>
    <xf numFmtId="0" fontId="17" fillId="3" borderId="0" xfId="3" applyFont="1" applyFill="1" applyAlignment="1">
      <alignment vertical="center" wrapText="1" readingOrder="1"/>
    </xf>
    <xf numFmtId="0" fontId="17" fillId="3" borderId="0" xfId="3" applyFont="1" applyFill="1" applyAlignment="1">
      <alignment vertical="center" wrapText="1" readingOrder="1"/>
    </xf>
    <xf numFmtId="0" fontId="18" fillId="0" borderId="0" xfId="3" applyFont="1" applyAlignment="1">
      <alignment vertical="center" wrapText="1" readingOrder="1"/>
    </xf>
    <xf numFmtId="0" fontId="18" fillId="0" borderId="0" xfId="3" applyFont="1" applyAlignment="1">
      <alignment horizontal="center" vertical="center" wrapText="1" readingOrder="1"/>
    </xf>
    <xf numFmtId="0" fontId="19" fillId="2" borderId="0" xfId="3" applyFont="1" applyFill="1" applyAlignment="1">
      <alignment horizontal="center" vertical="center" wrapText="1" readingOrder="1"/>
    </xf>
    <xf numFmtId="0" fontId="18" fillId="3" borderId="0" xfId="3" applyFont="1" applyFill="1" applyAlignment="1">
      <alignment vertical="center" wrapText="1" readingOrder="1"/>
    </xf>
    <xf numFmtId="0" fontId="18" fillId="3" borderId="0" xfId="3" applyFont="1" applyFill="1" applyAlignment="1">
      <alignment vertical="center" wrapText="1" readingOrder="1"/>
    </xf>
    <xf numFmtId="0" fontId="20" fillId="0" borderId="0" xfId="3" applyFont="1" applyAlignment="1">
      <alignment vertical="center" wrapText="1" readingOrder="1"/>
    </xf>
    <xf numFmtId="0" fontId="20" fillId="0" borderId="0" xfId="3" applyFont="1" applyAlignment="1">
      <alignment vertical="top" wrapText="1" readingOrder="1"/>
    </xf>
    <xf numFmtId="0" fontId="20" fillId="3" borderId="0" xfId="3" applyFont="1" applyFill="1" applyAlignment="1">
      <alignment vertical="center" wrapText="1" readingOrder="1"/>
    </xf>
    <xf numFmtId="0" fontId="20" fillId="3" borderId="0" xfId="3" applyFont="1" applyFill="1" applyAlignment="1">
      <alignment vertical="center" wrapText="1" readingOrder="1"/>
    </xf>
    <xf numFmtId="0" fontId="21" fillId="0" borderId="0" xfId="3" applyFont="1" applyAlignment="1">
      <alignment horizontal="left" wrapText="1" readingOrder="1"/>
    </xf>
    <xf numFmtId="0" fontId="21" fillId="0" borderId="0" xfId="3" applyFont="1" applyAlignment="1">
      <alignment wrapText="1" readingOrder="1"/>
    </xf>
    <xf numFmtId="0" fontId="21" fillId="0" borderId="0" xfId="3" applyFont="1" applyAlignment="1">
      <alignment horizontal="right" wrapText="1" readingOrder="1"/>
    </xf>
    <xf numFmtId="0" fontId="21" fillId="3" borderId="0" xfId="3" applyFont="1" applyFill="1" applyAlignment="1">
      <alignment horizontal="right" wrapText="1" readingOrder="1"/>
    </xf>
    <xf numFmtId="0" fontId="21" fillId="3" borderId="0" xfId="3" applyFont="1" applyFill="1" applyAlignment="1">
      <alignment horizontal="right" wrapText="1" readingOrder="1"/>
    </xf>
    <xf numFmtId="0" fontId="22" fillId="0" borderId="1" xfId="3" applyFont="1" applyBorder="1" applyAlignment="1">
      <alignment vertical="center" wrapText="1" readingOrder="1"/>
    </xf>
    <xf numFmtId="0" fontId="22" fillId="3" borderId="1" xfId="3" applyFont="1" applyFill="1" applyBorder="1" applyAlignment="1">
      <alignment vertical="center" wrapText="1" readingOrder="1"/>
    </xf>
    <xf numFmtId="0" fontId="22" fillId="3" borderId="1" xfId="3" applyFont="1" applyFill="1" applyBorder="1" applyAlignment="1">
      <alignment vertical="center" wrapText="1" readingOrder="1"/>
    </xf>
    <xf numFmtId="0" fontId="14" fillId="0" borderId="1" xfId="3" applyFont="1" applyBorder="1" applyAlignment="1">
      <alignment vertical="top" wrapText="1"/>
    </xf>
    <xf numFmtId="0" fontId="23" fillId="3" borderId="1" xfId="3" applyFont="1" applyFill="1" applyBorder="1" applyAlignment="1">
      <alignment horizontal="right" wrapText="1" readingOrder="1"/>
    </xf>
    <xf numFmtId="0" fontId="23" fillId="0" borderId="1" xfId="3" applyFont="1" applyBorder="1" applyAlignment="1">
      <alignment horizontal="right" wrapText="1" readingOrder="1"/>
    </xf>
    <xf numFmtId="0" fontId="22" fillId="0" borderId="0" xfId="3" applyFont="1" applyAlignment="1">
      <alignment vertical="center" wrapText="1" readingOrder="1"/>
    </xf>
    <xf numFmtId="0" fontId="22" fillId="3" borderId="0" xfId="3" applyFont="1" applyFill="1" applyAlignment="1">
      <alignment vertical="center" wrapText="1" readingOrder="1"/>
    </xf>
    <xf numFmtId="0" fontId="22" fillId="3" borderId="0" xfId="3" applyFont="1" applyFill="1" applyAlignment="1">
      <alignment vertical="center" wrapText="1" readingOrder="1"/>
    </xf>
    <xf numFmtId="0" fontId="23" fillId="3" borderId="0" xfId="3" applyFont="1" applyFill="1" applyAlignment="1">
      <alignment horizontal="right" wrapText="1" readingOrder="1"/>
    </xf>
    <xf numFmtId="0" fontId="23" fillId="0" borderId="0" xfId="3" applyFont="1" applyAlignment="1">
      <alignment horizontal="right" wrapText="1" readingOrder="1"/>
    </xf>
    <xf numFmtId="0" fontId="24" fillId="0" borderId="0" xfId="3" applyFont="1" applyAlignment="1">
      <alignment vertical="center" wrapText="1" readingOrder="1"/>
    </xf>
    <xf numFmtId="0" fontId="24" fillId="0" borderId="0" xfId="3" applyFont="1" applyAlignment="1">
      <alignment vertical="center" wrapText="1" readingOrder="1"/>
    </xf>
    <xf numFmtId="0" fontId="17" fillId="0" borderId="0" xfId="3" applyFont="1" applyAlignment="1">
      <alignment horizontal="right" wrapText="1" readingOrder="1"/>
    </xf>
    <xf numFmtId="0" fontId="25" fillId="3" borderId="0" xfId="3" applyFont="1" applyFill="1" applyAlignment="1">
      <alignment vertical="center" wrapText="1" readingOrder="1"/>
    </xf>
    <xf numFmtId="0" fontId="25" fillId="0" borderId="0" xfId="3" applyFont="1" applyAlignment="1">
      <alignment vertical="center" wrapText="1" readingOrder="1"/>
    </xf>
    <xf numFmtId="0" fontId="25" fillId="0" borderId="0" xfId="3" applyFont="1" applyAlignment="1">
      <alignment vertical="center" wrapText="1" readingOrder="1"/>
    </xf>
    <xf numFmtId="0" fontId="25" fillId="3" borderId="0" xfId="3" applyFont="1" applyFill="1" applyAlignment="1">
      <alignment vertical="center" wrapText="1" readingOrder="1"/>
    </xf>
    <xf numFmtId="0" fontId="25" fillId="2" borderId="0" xfId="3" applyFont="1" applyFill="1" applyAlignment="1">
      <alignment vertical="center" wrapText="1" readingOrder="1"/>
    </xf>
    <xf numFmtId="170" fontId="25" fillId="2" borderId="0" xfId="3" applyNumberFormat="1" applyFont="1" applyFill="1" applyAlignment="1">
      <alignment vertical="center" wrapText="1" readingOrder="1"/>
    </xf>
    <xf numFmtId="0" fontId="25" fillId="2" borderId="0" xfId="3" applyFont="1" applyFill="1" applyAlignment="1">
      <alignment vertical="center" wrapText="1" readingOrder="1"/>
    </xf>
    <xf numFmtId="170" fontId="25" fillId="3" borderId="0" xfId="3" applyNumberFormat="1" applyFont="1" applyFill="1" applyAlignment="1">
      <alignment vertical="center" wrapText="1" readingOrder="1"/>
    </xf>
    <xf numFmtId="0" fontId="26" fillId="2" borderId="0" xfId="3" applyFont="1" applyFill="1" applyAlignment="1">
      <alignment vertical="center" wrapText="1" readingOrder="1"/>
    </xf>
    <xf numFmtId="0" fontId="26" fillId="0" borderId="0" xfId="3" applyFont="1" applyAlignment="1">
      <alignment vertical="center" wrapText="1" readingOrder="1"/>
    </xf>
    <xf numFmtId="170" fontId="26" fillId="2" borderId="0" xfId="3" applyNumberFormat="1" applyFont="1" applyFill="1" applyAlignment="1">
      <alignment vertical="center" wrapText="1" readingOrder="1"/>
    </xf>
    <xf numFmtId="0" fontId="26" fillId="0" borderId="0" xfId="3" applyFont="1" applyAlignment="1">
      <alignment vertical="center" wrapText="1" readingOrder="1"/>
    </xf>
    <xf numFmtId="0" fontId="26" fillId="2" borderId="0" xfId="3" applyFont="1" applyFill="1" applyAlignment="1">
      <alignment vertical="center" wrapText="1" readingOrder="1"/>
    </xf>
    <xf numFmtId="0" fontId="26" fillId="3" borderId="0" xfId="3" applyFont="1" applyFill="1" applyAlignment="1">
      <alignment vertical="center" wrapText="1" readingOrder="1"/>
    </xf>
    <xf numFmtId="0" fontId="26" fillId="3" borderId="0" xfId="3" applyFont="1" applyFill="1" applyAlignment="1">
      <alignment vertical="center" wrapText="1" readingOrder="1"/>
    </xf>
    <xf numFmtId="170" fontId="26" fillId="3" borderId="0" xfId="3" applyNumberFormat="1" applyFont="1" applyFill="1" applyAlignment="1">
      <alignment vertical="center" wrapText="1" readingOrder="1"/>
    </xf>
    <xf numFmtId="171" fontId="25" fillId="2" borderId="0" xfId="3" applyNumberFormat="1" applyFont="1" applyFill="1" applyAlignment="1">
      <alignment vertical="center" wrapText="1" readingOrder="1"/>
    </xf>
    <xf numFmtId="170" fontId="25" fillId="2" borderId="0" xfId="3" applyNumberFormat="1" applyFont="1" applyFill="1" applyAlignment="1">
      <alignment vertical="center" wrapText="1" readingOrder="1"/>
    </xf>
    <xf numFmtId="171" fontId="25" fillId="3" borderId="0" xfId="3" applyNumberFormat="1" applyFont="1" applyFill="1" applyAlignment="1">
      <alignment vertical="center" wrapText="1" readingOrder="1"/>
    </xf>
    <xf numFmtId="170" fontId="25" fillId="3" borderId="0" xfId="3" applyNumberFormat="1" applyFont="1" applyFill="1" applyAlignment="1">
      <alignment vertical="center" wrapText="1" readingOrder="1"/>
    </xf>
    <xf numFmtId="171" fontId="26" fillId="2" borderId="0" xfId="3" applyNumberFormat="1" applyFont="1" applyFill="1" applyAlignment="1">
      <alignment vertical="center" wrapText="1" readingOrder="1"/>
    </xf>
    <xf numFmtId="170" fontId="26" fillId="2" borderId="0" xfId="3" applyNumberFormat="1" applyFont="1" applyFill="1" applyAlignment="1">
      <alignment vertical="center" wrapText="1" readingOrder="1"/>
    </xf>
    <xf numFmtId="170" fontId="26" fillId="3" borderId="0" xfId="3" applyNumberFormat="1" applyFont="1" applyFill="1" applyAlignment="1">
      <alignment vertical="center" wrapText="1" readingOrder="1"/>
    </xf>
    <xf numFmtId="171" fontId="26" fillId="3" borderId="0" xfId="3" applyNumberFormat="1" applyFont="1" applyFill="1" applyAlignment="1">
      <alignment vertical="center" wrapText="1" readingOrder="1"/>
    </xf>
    <xf numFmtId="0" fontId="21" fillId="9" borderId="0" xfId="3" applyFont="1" applyFill="1" applyAlignment="1">
      <alignment horizontal="right" wrapText="1" readingOrder="1"/>
    </xf>
    <xf numFmtId="0" fontId="14" fillId="10" borderId="0" xfId="3" applyFont="1" applyFill="1"/>
    <xf numFmtId="0" fontId="23" fillId="9" borderId="1" xfId="3" applyFont="1" applyFill="1" applyBorder="1" applyAlignment="1">
      <alignment horizontal="right" wrapText="1" readingOrder="1"/>
    </xf>
    <xf numFmtId="0" fontId="14" fillId="10" borderId="1" xfId="3" applyFont="1" applyFill="1" applyBorder="1" applyAlignment="1">
      <alignment vertical="top" wrapText="1"/>
    </xf>
    <xf numFmtId="0" fontId="23" fillId="9" borderId="0" xfId="3" applyFont="1" applyFill="1" applyAlignment="1">
      <alignment horizontal="right" wrapText="1" readingOrder="1"/>
    </xf>
    <xf numFmtId="0" fontId="17" fillId="10" borderId="0" xfId="3" applyFont="1" applyFill="1" applyAlignment="1">
      <alignment horizontal="right" wrapText="1" readingOrder="1"/>
    </xf>
    <xf numFmtId="0" fontId="25" fillId="9" borderId="0" xfId="3" applyFont="1" applyFill="1" applyAlignment="1">
      <alignment vertical="center" wrapText="1" readingOrder="1"/>
    </xf>
    <xf numFmtId="0" fontId="25" fillId="11" borderId="0" xfId="3" applyFont="1" applyFill="1" applyAlignment="1">
      <alignment vertical="center" wrapText="1" readingOrder="1"/>
    </xf>
    <xf numFmtId="0" fontId="26" fillId="11" borderId="0" xfId="3" applyFont="1" applyFill="1" applyAlignment="1">
      <alignment vertical="center" wrapText="1" readingOrder="1"/>
    </xf>
    <xf numFmtId="0" fontId="26" fillId="9" borderId="0" xfId="3" applyFont="1" applyFill="1" applyAlignment="1">
      <alignment vertical="center" wrapText="1" readingOrder="1"/>
    </xf>
    <xf numFmtId="170" fontId="25" fillId="11" borderId="0" xfId="3" applyNumberFormat="1" applyFont="1" applyFill="1" applyAlignment="1">
      <alignment vertical="center" wrapText="1" readingOrder="1"/>
    </xf>
    <xf numFmtId="170" fontId="25" fillId="9" borderId="0" xfId="3" applyNumberFormat="1" applyFont="1" applyFill="1" applyAlignment="1">
      <alignment vertical="center" wrapText="1" readingOrder="1"/>
    </xf>
    <xf numFmtId="170" fontId="26" fillId="11" borderId="0" xfId="3" applyNumberFormat="1" applyFont="1" applyFill="1" applyAlignment="1">
      <alignment vertical="center" wrapText="1" readingOrder="1"/>
    </xf>
    <xf numFmtId="170" fontId="26" fillId="9" borderId="0" xfId="3" applyNumberFormat="1" applyFont="1" applyFill="1" applyAlignment="1">
      <alignment vertical="center" wrapText="1" readingOrder="1"/>
    </xf>
  </cellXfs>
  <cellStyles count="4">
    <cellStyle name="Comma 2" xfId="1" xr:uid="{A6F86D4B-569D-42FA-A6DF-DA3A27EBE21A}"/>
    <cellStyle name="Normal" xfId="0" builtinId="0"/>
    <cellStyle name="Normal 2" xfId="3" xr:uid="{6EA70A93-B87C-4161-AADE-E816A7A40F83}"/>
    <cellStyle name="Percent 2" xfId="2" xr:uid="{B694D301-BC7A-4DBA-8EC0-4B1ABE6FC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amnesty.sharepoint.com/sites/KENGRPAIKenya/Shared%20Documents/AIK%20SHARED%20DRIVE/2024%20-%202028%20Strategic%20Plan/AIK%20Finance%20and%20Administration/Management%20Accounts/2025/July%202025/MANAGEMENT%20ACCOUNTS%20July%202025.xlsx" TargetMode="External"/><Relationship Id="rId1" Type="http://schemas.openxmlformats.org/officeDocument/2006/relationships/externalLinkPath" Target="https://oneamnesty.sharepoint.com/sites/KENGRPAIKenya/Shared%20Documents/AIK%20SHARED%20DRIVE/2024%20-%202028%20Strategic%20Plan/AIK%20Finance%20and%20Administration/Management%20Accounts/2025/July%202025/MANAGEMENT%20ACCOUNTS%20Jul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 vs Realigned  Budget"/>
      <sheetName val="Aproved Budget 2025 ."/>
      <sheetName val="Full Report  JULY 25 Report"/>
      <sheetName val="Sheet1"/>
      <sheetName val="Trail Bal. JULY 2025"/>
      <sheetName val="RAM(Unrestricted) Report JULY25"/>
      <sheetName val="RAM TB JULY '25"/>
      <sheetName val="Hewlett Report JULY 25"/>
      <sheetName val="Sheet2"/>
      <sheetName val="Hewlett TB JULY'25"/>
      <sheetName val="Botnar Report JULY 25"/>
      <sheetName val="Botnar TB JULY'25"/>
      <sheetName val="HBS Report  JULY'2025"/>
      <sheetName val="Customers"/>
      <sheetName val="HBS TB JULY'25"/>
      <sheetName val="IMPREST"/>
      <sheetName val="Grant movement "/>
      <sheetName val="Payroll"/>
    </sheetNames>
    <sheetDataSet>
      <sheetData sheetId="0"/>
      <sheetData sheetId="1">
        <row r="9">
          <cell r="F9">
            <v>14929325</v>
          </cell>
        </row>
      </sheetData>
      <sheetData sheetId="2"/>
      <sheetData sheetId="3"/>
      <sheetData sheetId="4">
        <row r="50">
          <cell r="J50">
            <v>107444960</v>
          </cell>
        </row>
        <row r="51">
          <cell r="J51">
            <v>12485878.08</v>
          </cell>
        </row>
        <row r="52">
          <cell r="J52">
            <v>1908300</v>
          </cell>
        </row>
        <row r="54">
          <cell r="D54">
            <v>95700</v>
          </cell>
        </row>
        <row r="56">
          <cell r="D56">
            <v>3724378.15</v>
          </cell>
        </row>
        <row r="57">
          <cell r="D57">
            <v>2516990.54</v>
          </cell>
        </row>
        <row r="58">
          <cell r="D58">
            <v>1825891.98</v>
          </cell>
        </row>
        <row r="60">
          <cell r="J60">
            <v>442770</v>
          </cell>
        </row>
        <row r="61">
          <cell r="D61">
            <v>1197897.4099999999</v>
          </cell>
        </row>
        <row r="62">
          <cell r="D62">
            <v>773950</v>
          </cell>
        </row>
        <row r="77">
          <cell r="D77">
            <v>538900</v>
          </cell>
        </row>
        <row r="78">
          <cell r="D78">
            <v>616688</v>
          </cell>
        </row>
        <row r="79">
          <cell r="D79">
            <v>211710.02</v>
          </cell>
        </row>
        <row r="80">
          <cell r="D80">
            <v>126672</v>
          </cell>
        </row>
        <row r="81">
          <cell r="D81">
            <v>3164375.14</v>
          </cell>
        </row>
        <row r="82">
          <cell r="D82">
            <v>1279635.8999999999</v>
          </cell>
        </row>
        <row r="86">
          <cell r="J86">
            <v>192000</v>
          </cell>
        </row>
        <row r="87">
          <cell r="J87">
            <v>455995</v>
          </cell>
        </row>
        <row r="88">
          <cell r="D88">
            <v>71145</v>
          </cell>
        </row>
        <row r="89">
          <cell r="D89">
            <v>277581</v>
          </cell>
        </row>
        <row r="90">
          <cell r="D90">
            <v>3513918.65</v>
          </cell>
        </row>
        <row r="91">
          <cell r="D91">
            <v>2068839.25</v>
          </cell>
        </row>
        <row r="96">
          <cell r="D96">
            <v>755920.81</v>
          </cell>
        </row>
        <row r="105">
          <cell r="D105">
            <v>184510.58</v>
          </cell>
        </row>
        <row r="106">
          <cell r="D106">
            <v>6500</v>
          </cell>
        </row>
        <row r="107">
          <cell r="F107">
            <v>151217.79999999999</v>
          </cell>
        </row>
        <row r="110">
          <cell r="J110">
            <v>663354.1</v>
          </cell>
        </row>
        <row r="111">
          <cell r="D111">
            <v>8510425.0099999998</v>
          </cell>
        </row>
        <row r="112">
          <cell r="D112">
            <v>1765641.09</v>
          </cell>
        </row>
        <row r="113">
          <cell r="D113">
            <v>217535.35999999999</v>
          </cell>
        </row>
        <row r="114">
          <cell r="D114">
            <v>239750</v>
          </cell>
        </row>
        <row r="121">
          <cell r="J121">
            <v>590560</v>
          </cell>
        </row>
        <row r="122">
          <cell r="J122">
            <v>877603</v>
          </cell>
        </row>
        <row r="123">
          <cell r="D123">
            <v>194377.5</v>
          </cell>
        </row>
        <row r="125">
          <cell r="D125">
            <v>85300</v>
          </cell>
        </row>
        <row r="126">
          <cell r="D126">
            <v>1225990</v>
          </cell>
        </row>
        <row r="127">
          <cell r="D127">
            <v>2729617.75</v>
          </cell>
        </row>
        <row r="128">
          <cell r="D128">
            <v>12995672.439999999</v>
          </cell>
        </row>
        <row r="129">
          <cell r="D129">
            <v>3264721.02</v>
          </cell>
        </row>
        <row r="130">
          <cell r="D130">
            <v>2855302.36</v>
          </cell>
        </row>
        <row r="132">
          <cell r="J132">
            <v>4734790.42</v>
          </cell>
        </row>
        <row r="133">
          <cell r="D133">
            <v>798671.17</v>
          </cell>
        </row>
        <row r="134">
          <cell r="D134">
            <v>51295.199999999997</v>
          </cell>
        </row>
        <row r="136">
          <cell r="D136">
            <v>62596</v>
          </cell>
        </row>
        <row r="137">
          <cell r="D137">
            <v>69600</v>
          </cell>
        </row>
        <row r="138">
          <cell r="D138">
            <v>234710</v>
          </cell>
        </row>
        <row r="139">
          <cell r="D139">
            <v>325623.52</v>
          </cell>
        </row>
        <row r="140">
          <cell r="J140">
            <v>88000</v>
          </cell>
        </row>
        <row r="141">
          <cell r="D141">
            <v>343068.52</v>
          </cell>
        </row>
        <row r="142">
          <cell r="J142">
            <v>549695.75</v>
          </cell>
        </row>
        <row r="143">
          <cell r="J143">
            <v>60000</v>
          </cell>
        </row>
        <row r="144">
          <cell r="D144">
            <v>50300</v>
          </cell>
        </row>
        <row r="145">
          <cell r="D145">
            <v>945726.94</v>
          </cell>
        </row>
        <row r="147">
          <cell r="D147">
            <v>2145876.16</v>
          </cell>
        </row>
        <row r="148">
          <cell r="D148">
            <v>3421520</v>
          </cell>
        </row>
        <row r="149">
          <cell r="D149">
            <v>2473447.56</v>
          </cell>
        </row>
        <row r="150">
          <cell r="D150">
            <v>422289.25</v>
          </cell>
        </row>
        <row r="151">
          <cell r="J151">
            <v>14074</v>
          </cell>
        </row>
        <row r="156">
          <cell r="J156">
            <v>10000</v>
          </cell>
        </row>
        <row r="158">
          <cell r="J158">
            <v>63800</v>
          </cell>
        </row>
        <row r="159">
          <cell r="D159">
            <v>3031620.38</v>
          </cell>
        </row>
        <row r="161">
          <cell r="D161">
            <v>1147920</v>
          </cell>
        </row>
        <row r="163">
          <cell r="D163">
            <v>15101017.119999999</v>
          </cell>
        </row>
        <row r="164">
          <cell r="D164">
            <v>1078090</v>
          </cell>
        </row>
        <row r="165">
          <cell r="D165">
            <v>485819</v>
          </cell>
        </row>
        <row r="167">
          <cell r="D167">
            <v>3164375.14</v>
          </cell>
        </row>
        <row r="168">
          <cell r="D168">
            <v>1646138.25</v>
          </cell>
        </row>
        <row r="169">
          <cell r="D169">
            <v>1501601.68</v>
          </cell>
        </row>
        <row r="170">
          <cell r="D170">
            <v>1292252.1599999999</v>
          </cell>
        </row>
        <row r="178">
          <cell r="J178">
            <v>116140.52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F018-41E1-4047-A40E-57B45FF37455}">
  <sheetPr>
    <pageSetUpPr fitToPage="1"/>
  </sheetPr>
  <dimension ref="A1:T144"/>
  <sheetViews>
    <sheetView tabSelected="1" zoomScale="90" zoomScaleNormal="90" workbookViewId="0">
      <pane ySplit="1" topLeftCell="A129" activePane="bottomLeft" state="frozen"/>
      <selection pane="bottomLeft" activeCell="C158" sqref="C158"/>
    </sheetView>
  </sheetViews>
  <sheetFormatPr defaultColWidth="9.08984375" defaultRowHeight="13.5"/>
  <cols>
    <col min="1" max="1" width="17.6328125" style="62" customWidth="1"/>
    <col min="2" max="2" width="42.6328125" style="62" customWidth="1"/>
    <col min="3" max="3" width="19.7265625" style="101" customWidth="1"/>
    <col min="4" max="4" width="15.1796875" style="107" customWidth="1"/>
    <col min="5" max="5" width="14.90625" style="107" customWidth="1"/>
    <col min="6" max="6" width="10.81640625" style="62" customWidth="1"/>
    <col min="7" max="10" width="10.81640625" style="62" hidden="1" customWidth="1"/>
    <col min="11" max="11" width="10.81640625" style="62" customWidth="1"/>
    <col min="12" max="12" width="14.90625" style="62" customWidth="1"/>
    <col min="13" max="16384" width="9.08984375" style="62"/>
  </cols>
  <sheetData>
    <row r="1" spans="1:10" s="53" customFormat="1" ht="31.5" customHeight="1">
      <c r="A1" s="45" t="s">
        <v>403</v>
      </c>
      <c r="B1" s="46"/>
      <c r="C1" s="47" t="s">
        <v>404</v>
      </c>
      <c r="D1" s="48" t="s">
        <v>409</v>
      </c>
      <c r="E1" s="48" t="s">
        <v>410</v>
      </c>
      <c r="F1" s="49" t="s">
        <v>411</v>
      </c>
      <c r="G1" s="50" t="s">
        <v>405</v>
      </c>
      <c r="H1" s="51" t="s">
        <v>406</v>
      </c>
      <c r="I1" s="51" t="s">
        <v>407</v>
      </c>
      <c r="J1" s="52" t="s">
        <v>408</v>
      </c>
    </row>
    <row r="2" spans="1:10" hidden="1">
      <c r="A2" s="54"/>
      <c r="B2" s="55"/>
      <c r="C2" s="57"/>
      <c r="D2" s="56"/>
      <c r="E2" s="56"/>
      <c r="F2" s="58"/>
      <c r="G2" s="59"/>
      <c r="H2" s="60"/>
      <c r="I2" s="60"/>
      <c r="J2" s="61"/>
    </row>
    <row r="3" spans="1:10" hidden="1">
      <c r="A3" s="54"/>
      <c r="B3" s="63" t="s">
        <v>412</v>
      </c>
      <c r="C3" s="57"/>
      <c r="D3" s="56"/>
      <c r="E3" s="56"/>
      <c r="F3" s="58"/>
      <c r="G3" s="59"/>
      <c r="H3" s="60"/>
      <c r="I3" s="60"/>
      <c r="J3" s="61"/>
    </row>
    <row r="4" spans="1:10" hidden="1">
      <c r="A4" s="54"/>
      <c r="B4" s="64" t="s">
        <v>413</v>
      </c>
      <c r="C4" s="65">
        <f>-61380310/2</f>
        <v>-30690155</v>
      </c>
      <c r="D4" s="56"/>
      <c r="E4" s="56"/>
      <c r="F4" s="58"/>
      <c r="G4" s="59"/>
      <c r="H4" s="60"/>
      <c r="I4" s="60"/>
      <c r="J4" s="61"/>
    </row>
    <row r="5" spans="1:10" hidden="1">
      <c r="A5" s="54"/>
      <c r="B5" s="66" t="s">
        <v>414</v>
      </c>
      <c r="C5" s="56">
        <v>126000000</v>
      </c>
      <c r="D5" s="56"/>
      <c r="E5" s="56"/>
      <c r="F5" s="58"/>
      <c r="G5" s="59"/>
      <c r="H5" s="60"/>
      <c r="I5" s="60"/>
      <c r="J5" s="61"/>
    </row>
    <row r="6" spans="1:10" hidden="1">
      <c r="A6" s="54"/>
      <c r="B6" s="66" t="s">
        <v>415</v>
      </c>
      <c r="C6" s="68">
        <v>9500000</v>
      </c>
      <c r="D6" s="56"/>
      <c r="E6" s="56"/>
      <c r="F6" s="58"/>
      <c r="G6" s="59"/>
      <c r="H6" s="60"/>
      <c r="I6" s="60"/>
      <c r="J6" s="61"/>
    </row>
    <row r="7" spans="1:10" hidden="1">
      <c r="A7" s="54"/>
      <c r="B7" s="66" t="s">
        <v>37</v>
      </c>
      <c r="C7" s="69">
        <v>51658737</v>
      </c>
      <c r="D7" s="56"/>
      <c r="E7" s="56"/>
      <c r="F7" s="58"/>
      <c r="G7" s="59"/>
      <c r="H7" s="60"/>
      <c r="I7" s="60"/>
      <c r="J7" s="61"/>
    </row>
    <row r="8" spans="1:10" hidden="1">
      <c r="A8" s="54"/>
      <c r="B8" s="66" t="s">
        <v>416</v>
      </c>
      <c r="C8" s="68">
        <f>'[1]Aproved Budget 2025 .'!F9</f>
        <v>14929325</v>
      </c>
      <c r="D8" s="56"/>
      <c r="E8" s="56"/>
      <c r="F8" s="58"/>
      <c r="G8" s="59"/>
      <c r="H8" s="60"/>
      <c r="I8" s="60"/>
      <c r="J8" s="61"/>
    </row>
    <row r="9" spans="1:10" hidden="1">
      <c r="A9" s="54"/>
      <c r="B9" s="66" t="s">
        <v>31</v>
      </c>
      <c r="C9" s="67"/>
      <c r="D9" s="56"/>
      <c r="E9" s="56"/>
      <c r="F9" s="58"/>
      <c r="G9" s="59"/>
      <c r="H9" s="60"/>
      <c r="I9" s="60"/>
      <c r="J9" s="61"/>
    </row>
    <row r="10" spans="1:10" hidden="1">
      <c r="A10" s="54"/>
      <c r="B10" s="55" t="s">
        <v>51</v>
      </c>
      <c r="C10" s="68">
        <v>7010000</v>
      </c>
      <c r="D10" s="56"/>
      <c r="E10" s="56"/>
      <c r="F10" s="58"/>
      <c r="G10" s="59"/>
      <c r="H10" s="60"/>
      <c r="I10" s="60"/>
      <c r="J10" s="61"/>
    </row>
    <row r="11" spans="1:10" hidden="1">
      <c r="A11" s="54"/>
      <c r="B11" s="55" t="s">
        <v>417</v>
      </c>
      <c r="C11" s="67"/>
      <c r="D11" s="56"/>
      <c r="E11" s="56"/>
      <c r="F11" s="58"/>
      <c r="G11" s="59"/>
      <c r="H11" s="60"/>
      <c r="I11" s="60"/>
      <c r="J11" s="61"/>
    </row>
    <row r="12" spans="1:10" hidden="1">
      <c r="A12" s="54"/>
      <c r="B12" s="55" t="s">
        <v>418</v>
      </c>
      <c r="C12" s="67"/>
      <c r="D12" s="56"/>
      <c r="E12" s="56"/>
      <c r="F12" s="58"/>
      <c r="G12" s="59"/>
      <c r="H12" s="60"/>
      <c r="I12" s="60"/>
      <c r="J12" s="61"/>
    </row>
    <row r="13" spans="1:10" hidden="1">
      <c r="A13" s="54"/>
      <c r="B13" s="70" t="s">
        <v>419</v>
      </c>
      <c r="C13" s="71">
        <f>SUM(C4:C12)</f>
        <v>178407907</v>
      </c>
      <c r="D13" s="71">
        <f>D125</f>
        <v>107444960</v>
      </c>
      <c r="E13" s="71">
        <f>C13-D13</f>
        <v>70962947</v>
      </c>
      <c r="F13" s="72">
        <f>D13/C13</f>
        <v>0.602243262682298</v>
      </c>
      <c r="G13" s="59"/>
      <c r="H13" s="60"/>
      <c r="I13" s="60"/>
      <c r="J13" s="61"/>
    </row>
    <row r="14" spans="1:10" hidden="1">
      <c r="A14" s="54"/>
      <c r="B14" s="73"/>
      <c r="C14" s="73"/>
      <c r="D14" s="56"/>
      <c r="E14" s="56"/>
      <c r="F14" s="58"/>
      <c r="G14" s="59"/>
      <c r="H14" s="60"/>
      <c r="I14" s="60"/>
      <c r="J14" s="61"/>
    </row>
    <row r="15" spans="1:10" hidden="1">
      <c r="A15" s="54"/>
      <c r="B15" s="74" t="s">
        <v>410</v>
      </c>
      <c r="C15" s="74"/>
      <c r="D15" s="56"/>
      <c r="E15" s="56"/>
      <c r="F15" s="58"/>
      <c r="G15" s="59"/>
      <c r="H15" s="60"/>
      <c r="I15" s="60"/>
      <c r="J15" s="61"/>
    </row>
    <row r="16" spans="1:10" hidden="1">
      <c r="A16" s="54"/>
      <c r="B16" s="75"/>
      <c r="C16" s="67"/>
      <c r="D16" s="56"/>
      <c r="E16" s="56"/>
      <c r="F16" s="58"/>
      <c r="G16" s="59"/>
      <c r="H16" s="60"/>
      <c r="I16" s="60"/>
      <c r="J16" s="61"/>
    </row>
    <row r="17" spans="1:12" hidden="1">
      <c r="A17" s="76"/>
      <c r="B17" s="77" t="s">
        <v>420</v>
      </c>
      <c r="C17" s="67"/>
      <c r="D17" s="56"/>
      <c r="E17" s="56"/>
      <c r="F17" s="58"/>
      <c r="G17" s="59"/>
      <c r="H17" s="60"/>
      <c r="I17" s="60"/>
      <c r="J17" s="61"/>
    </row>
    <row r="18" spans="1:12" s="84" customFormat="1" hidden="1">
      <c r="A18" s="78" t="s">
        <v>421</v>
      </c>
      <c r="B18" s="77" t="s">
        <v>422</v>
      </c>
      <c r="C18" s="79"/>
      <c r="D18" s="57"/>
      <c r="E18" s="57"/>
      <c r="F18" s="80"/>
      <c r="G18" s="81"/>
      <c r="H18" s="82"/>
      <c r="I18" s="82"/>
      <c r="J18" s="83"/>
    </row>
    <row r="19" spans="1:12" hidden="1">
      <c r="A19" s="78" t="s">
        <v>70</v>
      </c>
      <c r="B19" s="77" t="s">
        <v>423</v>
      </c>
      <c r="C19" s="67"/>
      <c r="D19" s="56"/>
      <c r="E19" s="56"/>
      <c r="F19" s="58"/>
      <c r="G19" s="59"/>
      <c r="H19" s="60"/>
      <c r="I19" s="60"/>
      <c r="J19" s="61"/>
    </row>
    <row r="20" spans="1:12" hidden="1">
      <c r="A20" s="76" t="s">
        <v>72</v>
      </c>
      <c r="B20" s="66" t="s">
        <v>97</v>
      </c>
      <c r="C20" s="85" t="e">
        <f>#REF!+#REF!+#REF!+#REF!</f>
        <v>#REF!</v>
      </c>
      <c r="D20" s="86">
        <f>'[1]Trail Bal. JULY 2025'!J52</f>
        <v>1908300</v>
      </c>
      <c r="E20" s="56" t="e">
        <f>C20-D20</f>
        <v>#REF!</v>
      </c>
      <c r="F20" s="87" t="e">
        <f>D20/C20</f>
        <v>#REF!</v>
      </c>
      <c r="G20" s="59">
        <v>900000</v>
      </c>
      <c r="H20" s="60">
        <v>800000</v>
      </c>
      <c r="I20" s="60">
        <v>700000</v>
      </c>
      <c r="J20" s="61">
        <v>600000</v>
      </c>
      <c r="L20" s="88"/>
    </row>
    <row r="21" spans="1:12" hidden="1">
      <c r="A21" s="76" t="s">
        <v>74</v>
      </c>
      <c r="B21" s="66" t="s">
        <v>268</v>
      </c>
      <c r="C21" s="85" t="e">
        <f>#REF!+#REF!+#REF!+#REF!</f>
        <v>#REF!</v>
      </c>
      <c r="D21" s="86">
        <v>0</v>
      </c>
      <c r="E21" s="56" t="e">
        <f>C21-D21</f>
        <v>#REF!</v>
      </c>
      <c r="F21" s="87" t="e">
        <f>D21/C21</f>
        <v>#REF!</v>
      </c>
      <c r="G21" s="59">
        <v>750000</v>
      </c>
      <c r="H21" s="89">
        <v>0</v>
      </c>
      <c r="I21" s="60">
        <v>750000</v>
      </c>
      <c r="J21" s="87">
        <v>0</v>
      </c>
    </row>
    <row r="22" spans="1:12" hidden="1">
      <c r="A22" s="76" t="s">
        <v>76</v>
      </c>
      <c r="B22" s="66" t="s">
        <v>107</v>
      </c>
      <c r="C22" s="85" t="e">
        <f>#REF!+#REF!+#REF!+#REF!</f>
        <v>#REF!</v>
      </c>
      <c r="D22" s="68">
        <f>'[1]Trail Bal. JULY 2025'!D54</f>
        <v>95700</v>
      </c>
      <c r="E22" s="56" t="e">
        <f>C22-D22</f>
        <v>#REF!</v>
      </c>
      <c r="F22" s="87" t="e">
        <f>D22/C22</f>
        <v>#REF!</v>
      </c>
      <c r="G22" s="59">
        <v>250000</v>
      </c>
      <c r="H22" s="60">
        <v>200000</v>
      </c>
      <c r="I22" s="60">
        <v>300000</v>
      </c>
      <c r="J22" s="61">
        <v>250000</v>
      </c>
      <c r="L22" s="90"/>
    </row>
    <row r="23" spans="1:12" hidden="1">
      <c r="A23" s="76" t="s">
        <v>78</v>
      </c>
      <c r="B23" s="66" t="s">
        <v>79</v>
      </c>
      <c r="C23" s="85" t="e">
        <f>#REF!+#REF!+#REF!+#REF!</f>
        <v>#REF!</v>
      </c>
      <c r="D23" s="86">
        <v>0</v>
      </c>
      <c r="E23" s="86" t="e">
        <f>C23-D23</f>
        <v>#REF!</v>
      </c>
      <c r="F23" s="87"/>
      <c r="G23" s="59">
        <v>300000</v>
      </c>
      <c r="H23" s="60">
        <v>1000000</v>
      </c>
      <c r="I23" s="60">
        <v>1500000</v>
      </c>
      <c r="J23" s="61">
        <v>2000000</v>
      </c>
    </row>
    <row r="24" spans="1:12" hidden="1">
      <c r="A24" s="76" t="s">
        <v>80</v>
      </c>
      <c r="B24" s="66" t="s">
        <v>424</v>
      </c>
      <c r="C24" s="85" t="e">
        <f>#REF!+#REF!+#REF!+#REF!</f>
        <v>#REF!</v>
      </c>
      <c r="D24" s="56">
        <f>'[1]Trail Bal. JULY 2025'!D56</f>
        <v>3724378.15</v>
      </c>
      <c r="E24" s="56" t="e">
        <f>C24-D24</f>
        <v>#REF!</v>
      </c>
      <c r="F24" s="91" t="e">
        <f>D24/C24</f>
        <v>#REF!</v>
      </c>
      <c r="G24" s="59" t="e">
        <f>C24/4</f>
        <v>#REF!</v>
      </c>
      <c r="H24" s="60" t="e">
        <f t="shared" ref="H24:J27" si="0">G24</f>
        <v>#REF!</v>
      </c>
      <c r="I24" s="60" t="e">
        <f t="shared" si="0"/>
        <v>#REF!</v>
      </c>
      <c r="J24" s="61" t="e">
        <f t="shared" si="0"/>
        <v>#REF!</v>
      </c>
    </row>
    <row r="25" spans="1:12" hidden="1">
      <c r="A25" s="76" t="s">
        <v>82</v>
      </c>
      <c r="B25" s="66" t="s">
        <v>425</v>
      </c>
      <c r="C25" s="85" t="e">
        <f>#REF!+#REF!+#REF!+#REF!</f>
        <v>#REF!</v>
      </c>
      <c r="D25" s="56">
        <f>'[1]Trail Bal. JULY 2025'!D57-D32</f>
        <v>1903867.54</v>
      </c>
      <c r="E25" s="56" t="e">
        <f>C25-D25</f>
        <v>#REF!</v>
      </c>
      <c r="F25" s="91" t="e">
        <f>D25/C25</f>
        <v>#REF!</v>
      </c>
      <c r="G25" s="59" t="e">
        <f>C25/4</f>
        <v>#REF!</v>
      </c>
      <c r="H25" s="60" t="e">
        <f t="shared" si="0"/>
        <v>#REF!</v>
      </c>
      <c r="I25" s="60" t="e">
        <f t="shared" si="0"/>
        <v>#REF!</v>
      </c>
      <c r="J25" s="61" t="e">
        <f t="shared" si="0"/>
        <v>#REF!</v>
      </c>
    </row>
    <row r="26" spans="1:12" hidden="1">
      <c r="A26" s="76" t="s">
        <v>84</v>
      </c>
      <c r="B26" s="66" t="s">
        <v>426</v>
      </c>
      <c r="C26" s="85" t="e">
        <f>#REF!+#REF!+#REF!+#REF!</f>
        <v>#REF!</v>
      </c>
      <c r="D26" s="56">
        <f>'[1]Trail Bal. JULY 2025'!D58</f>
        <v>1825891.98</v>
      </c>
      <c r="E26" s="56" t="e">
        <f>C26-D26</f>
        <v>#REF!</v>
      </c>
      <c r="F26" s="91" t="e">
        <f>D26/C26</f>
        <v>#REF!</v>
      </c>
      <c r="G26" s="59" t="e">
        <f>C26/4</f>
        <v>#REF!</v>
      </c>
      <c r="H26" s="60" t="e">
        <f t="shared" si="0"/>
        <v>#REF!</v>
      </c>
      <c r="I26" s="60" t="e">
        <f t="shared" si="0"/>
        <v>#REF!</v>
      </c>
      <c r="J26" s="61" t="e">
        <f t="shared" si="0"/>
        <v>#REF!</v>
      </c>
    </row>
    <row r="27" spans="1:12" hidden="1">
      <c r="A27" s="76" t="s">
        <v>86</v>
      </c>
      <c r="B27" s="66" t="s">
        <v>427</v>
      </c>
      <c r="C27" s="85" t="e">
        <f>#REF!+#REF!+#REF!+#REF!</f>
        <v>#REF!</v>
      </c>
      <c r="D27" s="86">
        <v>0</v>
      </c>
      <c r="E27" s="86" t="e">
        <f>C27-D27</f>
        <v>#REF!</v>
      </c>
      <c r="F27" s="91"/>
      <c r="G27" s="59" t="e">
        <f>C27/4</f>
        <v>#REF!</v>
      </c>
      <c r="H27" s="60" t="e">
        <f t="shared" si="0"/>
        <v>#REF!</v>
      </c>
      <c r="I27" s="60" t="e">
        <f t="shared" si="0"/>
        <v>#REF!</v>
      </c>
      <c r="J27" s="61" t="e">
        <f t="shared" si="0"/>
        <v>#REF!</v>
      </c>
    </row>
    <row r="28" spans="1:12" hidden="1">
      <c r="A28" s="76" t="s">
        <v>88</v>
      </c>
      <c r="B28" s="66" t="s">
        <v>89</v>
      </c>
      <c r="C28" s="85" t="e">
        <f>#REF!+#REF!+#REF!+#REF!</f>
        <v>#REF!</v>
      </c>
      <c r="D28" s="68">
        <f>'[1]Trail Bal. JULY 2025'!J60</f>
        <v>442770</v>
      </c>
      <c r="E28" s="56" t="e">
        <f>C28-D28</f>
        <v>#REF!</v>
      </c>
      <c r="F28" s="87" t="e">
        <f>D28/C28</f>
        <v>#REF!</v>
      </c>
      <c r="G28" s="59">
        <v>250000</v>
      </c>
      <c r="H28" s="60">
        <v>100000</v>
      </c>
      <c r="I28" s="60">
        <v>300000</v>
      </c>
      <c r="J28" s="61" t="e">
        <f>C28-G28-H28-I28</f>
        <v>#REF!</v>
      </c>
    </row>
    <row r="29" spans="1:12" hidden="1">
      <c r="A29" s="76" t="s">
        <v>90</v>
      </c>
      <c r="B29" s="66" t="s">
        <v>428</v>
      </c>
      <c r="C29" s="85" t="e">
        <f>#REF!+#REF!+#REF!+#REF!</f>
        <v>#REF!</v>
      </c>
      <c r="D29" s="56">
        <f>'[1]Trail Bal. JULY 2025'!D61</f>
        <v>1197897.4099999999</v>
      </c>
      <c r="E29" s="56" t="e">
        <f>C29-D29</f>
        <v>#REF!</v>
      </c>
      <c r="F29" s="91" t="e">
        <f>D29/C29</f>
        <v>#REF!</v>
      </c>
      <c r="G29" s="59" t="e">
        <f>C29/4</f>
        <v>#REF!</v>
      </c>
      <c r="H29" s="60" t="e">
        <f>G29</f>
        <v>#REF!</v>
      </c>
      <c r="I29" s="60" t="e">
        <f>H29</f>
        <v>#REF!</v>
      </c>
      <c r="J29" s="61" t="e">
        <f>I29</f>
        <v>#REF!</v>
      </c>
    </row>
    <row r="30" spans="1:12" hidden="1">
      <c r="A30" s="76" t="s">
        <v>92</v>
      </c>
      <c r="B30" s="66" t="s">
        <v>429</v>
      </c>
      <c r="C30" s="85" t="e">
        <f>#REF!+#REF!+#REF!+#REF!-600000</f>
        <v>#REF!</v>
      </c>
      <c r="D30" s="56">
        <f>'[1]Trail Bal. JULY 2025'!D62-D31</f>
        <v>510234</v>
      </c>
      <c r="E30" s="56" t="e">
        <f>C30-D30</f>
        <v>#REF!</v>
      </c>
      <c r="F30" s="91" t="e">
        <f>D30/C30</f>
        <v>#REF!</v>
      </c>
      <c r="G30" s="59">
        <v>900000</v>
      </c>
      <c r="H30" s="60">
        <v>1000000</v>
      </c>
      <c r="I30" s="60">
        <v>1000000</v>
      </c>
      <c r="J30" s="61">
        <v>600000</v>
      </c>
    </row>
    <row r="31" spans="1:12" hidden="1">
      <c r="A31" s="76" t="s">
        <v>430</v>
      </c>
      <c r="B31" s="66" t="s">
        <v>431</v>
      </c>
      <c r="C31" s="85" t="e">
        <f>#REF!+#REF!+#REF!+#REF!</f>
        <v>#REF!</v>
      </c>
      <c r="D31" s="56">
        <v>263716</v>
      </c>
      <c r="E31" s="56" t="e">
        <f>C31-D31</f>
        <v>#REF!</v>
      </c>
      <c r="F31" s="91" t="e">
        <f>D31/C31</f>
        <v>#REF!</v>
      </c>
      <c r="G31" s="59"/>
      <c r="H31" s="60"/>
      <c r="I31" s="60"/>
      <c r="J31" s="61"/>
    </row>
    <row r="32" spans="1:12" hidden="1">
      <c r="A32" s="76"/>
      <c r="B32" s="66" t="s">
        <v>432</v>
      </c>
      <c r="C32" s="85"/>
      <c r="D32" s="92">
        <v>613123</v>
      </c>
      <c r="E32" s="56"/>
      <c r="F32" s="91" t="e">
        <f>D32/C32</f>
        <v>#DIV/0!</v>
      </c>
      <c r="G32" s="59"/>
      <c r="H32" s="60"/>
      <c r="I32" s="60"/>
      <c r="J32" s="61"/>
    </row>
    <row r="33" spans="1:11" s="84" customFormat="1" hidden="1">
      <c r="A33" s="78"/>
      <c r="B33" s="77" t="s">
        <v>433</v>
      </c>
      <c r="C33" s="93" t="e">
        <f>SUM(C20:C31)</f>
        <v>#REF!</v>
      </c>
      <c r="D33" s="57">
        <f>SUM(D20:D32)</f>
        <v>12485878.08</v>
      </c>
      <c r="E33" s="57" t="e">
        <f>SUM(E20:E31)</f>
        <v>#REF!</v>
      </c>
      <c r="F33" s="94" t="e">
        <f>D33/C33</f>
        <v>#REF!</v>
      </c>
      <c r="G33" s="81" t="e">
        <f>SUM(G20:G30)</f>
        <v>#REF!</v>
      </c>
      <c r="H33" s="82" t="e">
        <f>SUM(H20:H30)</f>
        <v>#REF!</v>
      </c>
      <c r="I33" s="82" t="e">
        <f>SUM(I20:I30)</f>
        <v>#REF!</v>
      </c>
      <c r="J33" s="83" t="e">
        <f>SUM(J20:J30)</f>
        <v>#REF!</v>
      </c>
      <c r="K33" s="95">
        <f>D33-'[1]Trail Bal. JULY 2025'!J51</f>
        <v>0</v>
      </c>
    </row>
    <row r="34" spans="1:11" hidden="1">
      <c r="A34" s="76"/>
      <c r="B34" s="66"/>
      <c r="C34" s="85"/>
      <c r="D34" s="56"/>
      <c r="E34" s="56"/>
      <c r="F34" s="96"/>
      <c r="G34" s="59"/>
      <c r="H34" s="60"/>
      <c r="I34" s="60"/>
      <c r="J34" s="61"/>
    </row>
    <row r="35" spans="1:11" hidden="1">
      <c r="A35" s="78" t="s">
        <v>114</v>
      </c>
      <c r="B35" s="77" t="s">
        <v>434</v>
      </c>
      <c r="C35" s="85"/>
      <c r="D35" s="56"/>
      <c r="E35" s="56"/>
      <c r="F35" s="96"/>
      <c r="G35" s="59"/>
      <c r="H35" s="60"/>
      <c r="I35" s="60"/>
      <c r="J35" s="61"/>
    </row>
    <row r="36" spans="1:11" hidden="1">
      <c r="A36" s="76" t="s">
        <v>116</v>
      </c>
      <c r="B36" s="66" t="s">
        <v>97</v>
      </c>
      <c r="C36" s="85" t="e">
        <f>#REF!+#REF!+#REF!+#REF!</f>
        <v>#REF!</v>
      </c>
      <c r="D36" s="56">
        <f>'[1]Trail Bal. JULY 2025'!D77</f>
        <v>538900</v>
      </c>
      <c r="E36" s="56" t="e">
        <f>C36-D36</f>
        <v>#REF!</v>
      </c>
      <c r="F36" s="87" t="e">
        <f>D36/C36</f>
        <v>#REF!</v>
      </c>
      <c r="G36" s="59">
        <v>1000000</v>
      </c>
      <c r="H36" s="60">
        <v>800000</v>
      </c>
      <c r="I36" s="60">
        <v>1000000</v>
      </c>
      <c r="J36" s="61">
        <v>500000</v>
      </c>
    </row>
    <row r="37" spans="1:11" hidden="1">
      <c r="A37" s="76" t="s">
        <v>117</v>
      </c>
      <c r="B37" s="66" t="s">
        <v>268</v>
      </c>
      <c r="C37" s="85" t="e">
        <f>#REF!+#REF!+#REF!+#REF!</f>
        <v>#REF!</v>
      </c>
      <c r="D37" s="68">
        <f>'[1]Trail Bal. JULY 2025'!D78</f>
        <v>616688</v>
      </c>
      <c r="E37" s="56" t="e">
        <f>C37-D37</f>
        <v>#REF!</v>
      </c>
      <c r="F37" s="87" t="e">
        <f>D37/C37</f>
        <v>#REF!</v>
      </c>
      <c r="G37" s="59">
        <v>200000</v>
      </c>
      <c r="H37" s="60">
        <v>250000</v>
      </c>
      <c r="I37" s="60">
        <v>500000</v>
      </c>
      <c r="J37" s="61">
        <v>550000</v>
      </c>
    </row>
    <row r="38" spans="1:11" hidden="1">
      <c r="A38" s="76" t="s">
        <v>118</v>
      </c>
      <c r="B38" s="66" t="s">
        <v>107</v>
      </c>
      <c r="C38" s="85" t="e">
        <f>#REF!+#REF!+#REF!+#REF!</f>
        <v>#REF!</v>
      </c>
      <c r="D38" s="68">
        <f>'[1]Trail Bal. JULY 2025'!D79</f>
        <v>211710.02</v>
      </c>
      <c r="E38" s="56" t="e">
        <f>C38-D38</f>
        <v>#REF!</v>
      </c>
      <c r="F38" s="87" t="e">
        <f>D38/C38</f>
        <v>#REF!</v>
      </c>
      <c r="G38" s="59">
        <v>250000</v>
      </c>
      <c r="H38" s="60">
        <v>300000</v>
      </c>
      <c r="I38" s="60">
        <v>400000</v>
      </c>
      <c r="J38" s="61">
        <v>350000</v>
      </c>
    </row>
    <row r="39" spans="1:11" hidden="1">
      <c r="A39" s="76" t="s">
        <v>119</v>
      </c>
      <c r="B39" s="66" t="s">
        <v>79</v>
      </c>
      <c r="C39" s="85" t="e">
        <f>#REF!+#REF!+#REF!+#REF!</f>
        <v>#REF!</v>
      </c>
      <c r="D39" s="97">
        <f>'[1]Trail Bal. JULY 2025'!D80</f>
        <v>126672</v>
      </c>
      <c r="E39" s="56" t="e">
        <f>C39-D39</f>
        <v>#REF!</v>
      </c>
      <c r="F39" s="96" t="e">
        <f>D39/C39</f>
        <v>#REF!</v>
      </c>
      <c r="G39" s="59">
        <v>400000</v>
      </c>
      <c r="H39" s="60">
        <v>600000</v>
      </c>
      <c r="I39" s="60">
        <v>1000000</v>
      </c>
      <c r="J39" s="61">
        <v>1000000</v>
      </c>
    </row>
    <row r="40" spans="1:11" hidden="1">
      <c r="A40" s="76" t="s">
        <v>120</v>
      </c>
      <c r="B40" s="66" t="s">
        <v>435</v>
      </c>
      <c r="C40" s="85" t="e">
        <f>#REF!+#REF!+#REF!+#REF!</f>
        <v>#REF!</v>
      </c>
      <c r="D40" s="56">
        <f>'[1]Trail Bal. JULY 2025'!D81</f>
        <v>3164375.14</v>
      </c>
      <c r="E40" s="56" t="e">
        <f>C40-D40</f>
        <v>#REF!</v>
      </c>
      <c r="F40" s="96" t="e">
        <f>D40/C40</f>
        <v>#REF!</v>
      </c>
      <c r="G40" s="59" t="e">
        <f>C40/4</f>
        <v>#REF!</v>
      </c>
      <c r="H40" s="60" t="e">
        <f t="shared" ref="H40:J41" si="1">G40</f>
        <v>#REF!</v>
      </c>
      <c r="I40" s="60" t="e">
        <f t="shared" si="1"/>
        <v>#REF!</v>
      </c>
      <c r="J40" s="61" t="e">
        <f t="shared" si="1"/>
        <v>#REF!</v>
      </c>
    </row>
    <row r="41" spans="1:11" hidden="1">
      <c r="A41" s="76" t="s">
        <v>121</v>
      </c>
      <c r="B41" s="66" t="s">
        <v>436</v>
      </c>
      <c r="C41" s="85" t="e">
        <f>#REF!+#REF!+#REF!+#REF!</f>
        <v>#REF!</v>
      </c>
      <c r="D41" s="56">
        <f>'[1]Trail Bal. JULY 2025'!D82</f>
        <v>1279635.8999999999</v>
      </c>
      <c r="E41" s="56" t="e">
        <f>C41-D41</f>
        <v>#REF!</v>
      </c>
      <c r="F41" s="96" t="e">
        <f>D41/C41</f>
        <v>#REF!</v>
      </c>
      <c r="G41" s="59" t="e">
        <f>C41/4</f>
        <v>#REF!</v>
      </c>
      <c r="H41" s="60" t="e">
        <f t="shared" si="1"/>
        <v>#REF!</v>
      </c>
      <c r="I41" s="60" t="e">
        <f t="shared" si="1"/>
        <v>#REF!</v>
      </c>
      <c r="J41" s="61" t="e">
        <f t="shared" si="1"/>
        <v>#REF!</v>
      </c>
    </row>
    <row r="42" spans="1:11" s="84" customFormat="1" hidden="1">
      <c r="A42" s="78"/>
      <c r="B42" s="77" t="s">
        <v>437</v>
      </c>
      <c r="C42" s="93" t="e">
        <f t="shared" ref="C42:D42" si="2">SUM(C36:C41)</f>
        <v>#REF!</v>
      </c>
      <c r="D42" s="57">
        <f t="shared" si="2"/>
        <v>5937981.0600000005</v>
      </c>
      <c r="E42" s="57" t="e">
        <f>SUM(E36:E41)</f>
        <v>#REF!</v>
      </c>
      <c r="F42" s="98" t="e">
        <f>D42/C42</f>
        <v>#REF!</v>
      </c>
      <c r="G42" s="81" t="e">
        <f>SUM(G36:G41)</f>
        <v>#REF!</v>
      </c>
      <c r="H42" s="82" t="e">
        <f>SUM(H36:H41)</f>
        <v>#REF!</v>
      </c>
      <c r="I42" s="82" t="e">
        <f>SUM(I36:I41)</f>
        <v>#REF!</v>
      </c>
      <c r="J42" s="83" t="e">
        <f>SUM(J36:J41)</f>
        <v>#REF!</v>
      </c>
    </row>
    <row r="43" spans="1:11" hidden="1">
      <c r="A43" s="76"/>
      <c r="B43" s="66"/>
      <c r="C43" s="85"/>
      <c r="D43" s="56"/>
      <c r="E43" s="56"/>
      <c r="F43" s="58"/>
      <c r="G43" s="59"/>
      <c r="H43" s="60"/>
      <c r="I43" s="60"/>
      <c r="J43" s="61"/>
    </row>
    <row r="44" spans="1:11" hidden="1">
      <c r="A44" s="78" t="s">
        <v>125</v>
      </c>
      <c r="B44" s="77" t="s">
        <v>438</v>
      </c>
      <c r="C44" s="85"/>
      <c r="D44" s="56"/>
      <c r="E44" s="56"/>
      <c r="F44" s="58"/>
      <c r="G44" s="59"/>
      <c r="H44" s="60"/>
      <c r="I44" s="60"/>
      <c r="J44" s="61"/>
    </row>
    <row r="45" spans="1:11" hidden="1">
      <c r="A45" s="76" t="s">
        <v>127</v>
      </c>
      <c r="B45" s="66" t="s">
        <v>97</v>
      </c>
      <c r="C45" s="85" t="e">
        <f>#REF!+#REF!+#REF!+#REF!</f>
        <v>#REF!</v>
      </c>
      <c r="D45" s="85">
        <f>'[1]Trail Bal. JULY 2025'!J86</f>
        <v>192000</v>
      </c>
      <c r="E45" s="85" t="e">
        <f>C45-D45</f>
        <v>#REF!</v>
      </c>
      <c r="F45" s="99"/>
      <c r="G45" s="59">
        <v>700000</v>
      </c>
      <c r="H45" s="60">
        <v>1700000</v>
      </c>
      <c r="I45" s="60">
        <v>1000000</v>
      </c>
      <c r="J45" s="61">
        <v>1600000</v>
      </c>
    </row>
    <row r="46" spans="1:11" hidden="1">
      <c r="A46" s="76" t="s">
        <v>128</v>
      </c>
      <c r="B46" s="66" t="s">
        <v>268</v>
      </c>
      <c r="C46" s="85" t="e">
        <f>#REF!+#REF!+#REF!+#REF!</f>
        <v>#REF!</v>
      </c>
      <c r="D46" s="86">
        <f>'[1]Trail Bal. JULY 2025'!J87</f>
        <v>455995</v>
      </c>
      <c r="E46" s="85" t="e">
        <f>C46-D46</f>
        <v>#REF!</v>
      </c>
      <c r="F46" s="87" t="e">
        <f>D46/C46</f>
        <v>#REF!</v>
      </c>
      <c r="G46" s="59">
        <v>300000</v>
      </c>
      <c r="H46" s="60">
        <v>500000</v>
      </c>
      <c r="I46" s="60">
        <v>400000</v>
      </c>
      <c r="J46" s="61">
        <v>400000</v>
      </c>
    </row>
    <row r="47" spans="1:11" hidden="1">
      <c r="A47" s="76" t="s">
        <v>129</v>
      </c>
      <c r="B47" s="66" t="s">
        <v>107</v>
      </c>
      <c r="C47" s="85" t="e">
        <f>#REF!+#REF!+#REF!+#REF!</f>
        <v>#REF!</v>
      </c>
      <c r="D47" s="86">
        <f>'[1]Trail Bal. JULY 2025'!D88</f>
        <v>71145</v>
      </c>
      <c r="E47" s="85" t="e">
        <f>C47-D47</f>
        <v>#REF!</v>
      </c>
      <c r="F47" s="87" t="e">
        <f>D47/C47</f>
        <v>#REF!</v>
      </c>
      <c r="G47" s="59">
        <v>400000</v>
      </c>
      <c r="H47" s="60">
        <v>500000</v>
      </c>
      <c r="I47" s="60">
        <v>200000</v>
      </c>
      <c r="J47" s="61">
        <v>300000</v>
      </c>
    </row>
    <row r="48" spans="1:11" hidden="1">
      <c r="A48" s="76" t="s">
        <v>130</v>
      </c>
      <c r="B48" s="66" t="s">
        <v>79</v>
      </c>
      <c r="C48" s="85" t="e">
        <f>#REF!+#REF!+#REF!+#REF!</f>
        <v>#REF!</v>
      </c>
      <c r="D48" s="86">
        <f>'[1]Trail Bal. JULY 2025'!D89</f>
        <v>277581</v>
      </c>
      <c r="E48" s="85" t="e">
        <f>C48-D48</f>
        <v>#REF!</v>
      </c>
      <c r="F48" s="87" t="e">
        <f>D48/C48</f>
        <v>#REF!</v>
      </c>
      <c r="G48" s="59">
        <v>500000</v>
      </c>
      <c r="H48" s="60">
        <v>600000</v>
      </c>
      <c r="I48" s="60">
        <v>1000000</v>
      </c>
      <c r="J48" s="61">
        <v>1300000</v>
      </c>
    </row>
    <row r="49" spans="1:12" hidden="1">
      <c r="A49" s="76" t="s">
        <v>131</v>
      </c>
      <c r="B49" s="66" t="s">
        <v>439</v>
      </c>
      <c r="C49" s="85" t="e">
        <f>#REF!+#REF!+#REF!+#REF!</f>
        <v>#REF!</v>
      </c>
      <c r="D49" s="68">
        <f>'[1]Trail Bal. JULY 2025'!D90</f>
        <v>3513918.65</v>
      </c>
      <c r="E49" s="85" t="e">
        <f>C49-D49</f>
        <v>#REF!</v>
      </c>
      <c r="F49" s="96" t="e">
        <f>D49/C49</f>
        <v>#REF!</v>
      </c>
      <c r="G49" s="59" t="e">
        <f>C49/4</f>
        <v>#REF!</v>
      </c>
      <c r="H49" s="60" t="e">
        <f t="shared" ref="H49:J51" si="3">G49</f>
        <v>#REF!</v>
      </c>
      <c r="I49" s="60" t="e">
        <f t="shared" si="3"/>
        <v>#REF!</v>
      </c>
      <c r="J49" s="61" t="e">
        <f t="shared" si="3"/>
        <v>#REF!</v>
      </c>
    </row>
    <row r="50" spans="1:12" hidden="1">
      <c r="A50" s="76" t="s">
        <v>132</v>
      </c>
      <c r="B50" s="66" t="s">
        <v>440</v>
      </c>
      <c r="C50" s="85" t="e">
        <f>#REF!+#REF!+#REF!+#REF!</f>
        <v>#REF!</v>
      </c>
      <c r="D50" s="56">
        <f>'[1]Trail Bal. JULY 2025'!D91</f>
        <v>2068839.25</v>
      </c>
      <c r="E50" s="85" t="e">
        <f>C50-D50</f>
        <v>#REF!</v>
      </c>
      <c r="F50" s="96" t="e">
        <f>D50/C50</f>
        <v>#REF!</v>
      </c>
      <c r="G50" s="59" t="e">
        <f>C50/4</f>
        <v>#REF!</v>
      </c>
      <c r="H50" s="60" t="e">
        <f t="shared" si="3"/>
        <v>#REF!</v>
      </c>
      <c r="I50" s="60" t="e">
        <f t="shared" si="3"/>
        <v>#REF!</v>
      </c>
      <c r="J50" s="61" t="e">
        <f t="shared" si="3"/>
        <v>#REF!</v>
      </c>
    </row>
    <row r="51" spans="1:12" hidden="1">
      <c r="A51" s="76" t="s">
        <v>135</v>
      </c>
      <c r="B51" s="66" t="s">
        <v>441</v>
      </c>
      <c r="C51" s="85" t="e">
        <f>#REF!+#REF!+#REF!+#REF!</f>
        <v>#REF!</v>
      </c>
      <c r="D51" s="56">
        <f>'[1]Trail Bal. JULY 2025'!D113</f>
        <v>217535.35999999999</v>
      </c>
      <c r="E51" s="85" t="e">
        <f>C51-D51</f>
        <v>#REF!</v>
      </c>
      <c r="F51" s="96" t="e">
        <f>D51/C51</f>
        <v>#REF!</v>
      </c>
      <c r="G51" s="59" t="e">
        <f>C51/4</f>
        <v>#REF!</v>
      </c>
      <c r="H51" s="60" t="e">
        <f t="shared" si="3"/>
        <v>#REF!</v>
      </c>
      <c r="I51" s="60" t="e">
        <f t="shared" si="3"/>
        <v>#REF!</v>
      </c>
      <c r="J51" s="61" t="e">
        <f t="shared" si="3"/>
        <v>#REF!</v>
      </c>
    </row>
    <row r="52" spans="1:12" s="84" customFormat="1" hidden="1">
      <c r="A52" s="78"/>
      <c r="B52" s="77" t="s">
        <v>442</v>
      </c>
      <c r="C52" s="93" t="e">
        <f>SUM(C45:C51)</f>
        <v>#REF!</v>
      </c>
      <c r="D52" s="57">
        <f>SUM(D45:D51)</f>
        <v>6797014.2600000007</v>
      </c>
      <c r="E52" s="57" t="e">
        <f>SUM(E45:E51)</f>
        <v>#REF!</v>
      </c>
      <c r="F52" s="98" t="e">
        <f>D52/C52</f>
        <v>#REF!</v>
      </c>
      <c r="G52" s="81" t="e">
        <f>SUM(G45:G51)</f>
        <v>#REF!</v>
      </c>
      <c r="H52" s="82" t="e">
        <f>SUM(H45:H51)</f>
        <v>#REF!</v>
      </c>
      <c r="I52" s="82" t="e">
        <f>SUM(I45:I51)</f>
        <v>#REF!</v>
      </c>
      <c r="J52" s="83" t="e">
        <f>SUM(J45:J51)</f>
        <v>#REF!</v>
      </c>
      <c r="L52" s="100"/>
    </row>
    <row r="53" spans="1:12" hidden="1">
      <c r="A53" s="76"/>
      <c r="B53" s="66"/>
      <c r="C53" s="85"/>
      <c r="D53" s="56"/>
      <c r="E53" s="56"/>
      <c r="F53" s="58"/>
      <c r="G53" s="59"/>
      <c r="H53" s="60"/>
      <c r="I53" s="60"/>
      <c r="J53" s="61"/>
    </row>
    <row r="54" spans="1:12" hidden="1">
      <c r="A54" s="76"/>
      <c r="B54" s="77" t="s">
        <v>443</v>
      </c>
      <c r="C54" s="85"/>
      <c r="D54" s="56"/>
      <c r="E54" s="56"/>
      <c r="F54" s="58"/>
      <c r="G54" s="59"/>
      <c r="H54" s="60"/>
      <c r="I54" s="60"/>
      <c r="J54" s="61"/>
    </row>
    <row r="55" spans="1:12" hidden="1">
      <c r="A55" s="76" t="s">
        <v>139</v>
      </c>
      <c r="B55" s="66" t="s">
        <v>79</v>
      </c>
      <c r="C55" s="102" t="e">
        <f>#REF!+#REF!+#REF!+#REF!</f>
        <v>#REF!</v>
      </c>
      <c r="D55" s="86">
        <v>0</v>
      </c>
      <c r="E55" s="56" t="e">
        <f>C55-D55</f>
        <v>#REF!</v>
      </c>
      <c r="F55" s="87" t="e">
        <f>D55/C55</f>
        <v>#REF!</v>
      </c>
      <c r="G55" s="103">
        <v>0</v>
      </c>
      <c r="H55" s="60">
        <v>600000</v>
      </c>
      <c r="I55" s="60">
        <v>900000</v>
      </c>
      <c r="J55" s="61">
        <v>300000</v>
      </c>
    </row>
    <row r="56" spans="1:12" hidden="1">
      <c r="A56" s="76" t="s">
        <v>141</v>
      </c>
      <c r="B56" s="66" t="s">
        <v>444</v>
      </c>
      <c r="C56" s="102" t="e">
        <f>#REF!+#REF!+#REF!+#REF!</f>
        <v>#REF!</v>
      </c>
      <c r="D56" s="68">
        <f>'[1]Trail Bal. JULY 2025'!D96</f>
        <v>755920.81</v>
      </c>
      <c r="E56" s="97" t="e">
        <f>C56-D56</f>
        <v>#REF!</v>
      </c>
      <c r="F56" s="96" t="e">
        <f>D56/C56</f>
        <v>#REF!</v>
      </c>
      <c r="G56" s="103">
        <v>0</v>
      </c>
      <c r="H56" s="60" t="e">
        <f>C56/3</f>
        <v>#REF!</v>
      </c>
      <c r="I56" s="60" t="e">
        <f>H56</f>
        <v>#REF!</v>
      </c>
      <c r="J56" s="61" t="e">
        <f>I56</f>
        <v>#REF!</v>
      </c>
    </row>
    <row r="57" spans="1:12" s="84" customFormat="1" hidden="1">
      <c r="A57" s="78"/>
      <c r="B57" s="77" t="s">
        <v>445</v>
      </c>
      <c r="C57" s="104" t="e">
        <f t="shared" ref="C57:E57" si="4">SUM(C55:C56)</f>
        <v>#REF!</v>
      </c>
      <c r="D57" s="57">
        <f t="shared" si="4"/>
        <v>755920.81</v>
      </c>
      <c r="E57" s="57" t="e">
        <f t="shared" si="4"/>
        <v>#REF!</v>
      </c>
      <c r="F57" s="98" t="e">
        <f>D57/C57</f>
        <v>#REF!</v>
      </c>
      <c r="G57" s="105">
        <f>SUM(G55:G56)</f>
        <v>0</v>
      </c>
      <c r="H57" s="82" t="e">
        <f>SUM(H55:H56)</f>
        <v>#REF!</v>
      </c>
      <c r="I57" s="82" t="e">
        <f>SUM(I55:I56)</f>
        <v>#REF!</v>
      </c>
      <c r="J57" s="83" t="e">
        <f>SUM(J55:J56)</f>
        <v>#REF!</v>
      </c>
    </row>
    <row r="58" spans="1:12" hidden="1">
      <c r="A58" s="76"/>
      <c r="B58" s="66"/>
      <c r="C58" s="85"/>
      <c r="D58" s="56"/>
      <c r="E58" s="56"/>
      <c r="F58" s="58"/>
      <c r="G58" s="59"/>
      <c r="H58" s="60"/>
      <c r="I58" s="60"/>
      <c r="J58" s="61"/>
    </row>
    <row r="59" spans="1:12" hidden="1">
      <c r="A59" s="78" t="s">
        <v>264</v>
      </c>
      <c r="B59" s="77" t="s">
        <v>446</v>
      </c>
      <c r="C59" s="85"/>
      <c r="D59" s="56"/>
      <c r="E59" s="56"/>
      <c r="F59" s="58"/>
      <c r="G59" s="59"/>
      <c r="H59" s="60"/>
      <c r="I59" s="60"/>
      <c r="J59" s="61"/>
    </row>
    <row r="60" spans="1:12" hidden="1">
      <c r="A60" s="76" t="s">
        <v>266</v>
      </c>
      <c r="B60" s="66" t="s">
        <v>97</v>
      </c>
      <c r="C60" s="85" t="e">
        <f>#REF!+#REF!+#REF!+#REF!</f>
        <v>#REF!</v>
      </c>
      <c r="D60" s="56">
        <f>'[1]Trail Bal. JULY 2025'!D163</f>
        <v>15101017.119999999</v>
      </c>
      <c r="E60" s="56" t="e">
        <f>C60-D60</f>
        <v>#REF!</v>
      </c>
      <c r="F60" s="91" t="e">
        <f>D60/C60</f>
        <v>#REF!</v>
      </c>
      <c r="G60" s="59">
        <v>5000000</v>
      </c>
      <c r="H60" s="60">
        <v>8000000</v>
      </c>
      <c r="I60" s="60">
        <v>8000000</v>
      </c>
      <c r="J60" s="61">
        <v>8000000</v>
      </c>
    </row>
    <row r="61" spans="1:12" hidden="1">
      <c r="A61" s="76" t="s">
        <v>267</v>
      </c>
      <c r="B61" s="66" t="s">
        <v>268</v>
      </c>
      <c r="C61" s="85" t="e">
        <f>#REF!+#REF!+#REF!+#REF!</f>
        <v>#REF!</v>
      </c>
      <c r="D61" s="68">
        <f>'[1]Trail Bal. JULY 2025'!D164</f>
        <v>1078090</v>
      </c>
      <c r="E61" s="56" t="e">
        <f>C61-D61</f>
        <v>#REF!</v>
      </c>
      <c r="F61" s="87" t="e">
        <f>D61/C61</f>
        <v>#REF!</v>
      </c>
      <c r="G61" s="59">
        <v>2000000</v>
      </c>
      <c r="H61" s="60">
        <v>1000000</v>
      </c>
      <c r="I61" s="60">
        <v>1500000</v>
      </c>
      <c r="J61" s="61">
        <v>1500000</v>
      </c>
    </row>
    <row r="62" spans="1:12" hidden="1">
      <c r="A62" s="76" t="s">
        <v>269</v>
      </c>
      <c r="B62" s="66" t="s">
        <v>107</v>
      </c>
      <c r="C62" s="85" t="e">
        <f>#REF!+#REF!+#REF!+#REF!</f>
        <v>#REF!</v>
      </c>
      <c r="D62" s="68">
        <f>'[1]Trail Bal. JULY 2025'!D165</f>
        <v>485819</v>
      </c>
      <c r="E62" s="56" t="e">
        <f>C62-D62</f>
        <v>#REF!</v>
      </c>
      <c r="F62" s="87" t="e">
        <f>D62/C62</f>
        <v>#REF!</v>
      </c>
      <c r="G62" s="59">
        <v>1000000</v>
      </c>
      <c r="H62" s="60">
        <v>1500000</v>
      </c>
      <c r="I62" s="60">
        <v>2000000</v>
      </c>
      <c r="J62" s="61" t="e">
        <f>C62-G62-H62-I62</f>
        <v>#REF!</v>
      </c>
    </row>
    <row r="63" spans="1:12" hidden="1">
      <c r="A63" s="76" t="s">
        <v>270</v>
      </c>
      <c r="B63" s="66" t="s">
        <v>79</v>
      </c>
      <c r="C63" s="85" t="e">
        <f>#REF!+#REF!+#REF!+#REF!</f>
        <v>#REF!</v>
      </c>
      <c r="D63" s="86">
        <v>0</v>
      </c>
      <c r="E63" s="56" t="e">
        <f>C63-D63</f>
        <v>#REF!</v>
      </c>
      <c r="F63" s="87" t="e">
        <f>D63/C63</f>
        <v>#REF!</v>
      </c>
      <c r="G63" s="59">
        <v>100000</v>
      </c>
      <c r="H63" s="60">
        <v>150000</v>
      </c>
      <c r="I63" s="60">
        <v>100000</v>
      </c>
      <c r="J63" s="61" t="e">
        <f>C63-G63-H63-I63</f>
        <v>#REF!</v>
      </c>
    </row>
    <row r="64" spans="1:12" hidden="1">
      <c r="A64" s="76" t="s">
        <v>271</v>
      </c>
      <c r="B64" s="66" t="s">
        <v>447</v>
      </c>
      <c r="C64" s="85" t="e">
        <f>#REF!+#REF!+#REF!+#REF!</f>
        <v>#REF!</v>
      </c>
      <c r="D64" s="56">
        <f>'[1]Trail Bal. JULY 2025'!D167</f>
        <v>3164375.14</v>
      </c>
      <c r="E64" s="56" t="e">
        <f>C64-D64</f>
        <v>#REF!</v>
      </c>
      <c r="F64" s="91" t="e">
        <f>D64/C64</f>
        <v>#REF!</v>
      </c>
      <c r="G64" s="59" t="e">
        <f>C64/4</f>
        <v>#REF!</v>
      </c>
      <c r="H64" s="60" t="e">
        <f>G64</f>
        <v>#REF!</v>
      </c>
      <c r="I64" s="60" t="e">
        <f>H64</f>
        <v>#REF!</v>
      </c>
      <c r="J64" s="61" t="e">
        <f>I64</f>
        <v>#REF!</v>
      </c>
    </row>
    <row r="65" spans="1:10" hidden="1">
      <c r="A65" s="76" t="s">
        <v>272</v>
      </c>
      <c r="B65" s="66" t="s">
        <v>448</v>
      </c>
      <c r="C65" s="85" t="e">
        <f>#REF!+#REF!+#REF!+#REF!</f>
        <v>#REF!</v>
      </c>
      <c r="D65" s="56">
        <f>'[1]Trail Bal. JULY 2025'!D168</f>
        <v>1646138.25</v>
      </c>
      <c r="E65" s="56" t="e">
        <f>C65-D65</f>
        <v>#REF!</v>
      </c>
      <c r="F65" s="91" t="e">
        <f>D65/C65</f>
        <v>#REF!</v>
      </c>
      <c r="G65" s="59" t="e">
        <f>C65/4</f>
        <v>#REF!</v>
      </c>
      <c r="H65" s="60" t="e">
        <f>C65/4</f>
        <v>#REF!</v>
      </c>
      <c r="I65" s="60" t="e">
        <f t="shared" ref="I65:J67" si="5">H65</f>
        <v>#REF!</v>
      </c>
      <c r="J65" s="61" t="e">
        <f t="shared" si="5"/>
        <v>#REF!</v>
      </c>
    </row>
    <row r="66" spans="1:10" hidden="1">
      <c r="A66" s="76" t="s">
        <v>273</v>
      </c>
      <c r="B66" s="66" t="s">
        <v>449</v>
      </c>
      <c r="C66" s="85" t="e">
        <f>#REF!+#REF!+#REF!+#REF!</f>
        <v>#REF!</v>
      </c>
      <c r="D66" s="56">
        <f>'[1]Trail Bal. JULY 2025'!D169</f>
        <v>1501601.68</v>
      </c>
      <c r="E66" s="56" t="e">
        <f>C66-D66</f>
        <v>#REF!</v>
      </c>
      <c r="F66" s="91" t="e">
        <f>D66/C66</f>
        <v>#REF!</v>
      </c>
      <c r="G66" s="59" t="e">
        <f>C66/4</f>
        <v>#REF!</v>
      </c>
      <c r="H66" s="60" t="e">
        <f>G66</f>
        <v>#REF!</v>
      </c>
      <c r="I66" s="60" t="e">
        <f t="shared" si="5"/>
        <v>#REF!</v>
      </c>
      <c r="J66" s="61" t="e">
        <f t="shared" si="5"/>
        <v>#REF!</v>
      </c>
    </row>
    <row r="67" spans="1:10" hidden="1">
      <c r="A67" s="76" t="s">
        <v>274</v>
      </c>
      <c r="B67" s="66" t="s">
        <v>450</v>
      </c>
      <c r="C67" s="85" t="e">
        <f>#REF!+#REF!+#REF!+#REF!</f>
        <v>#REF!</v>
      </c>
      <c r="D67" s="56">
        <f>'[1]Trail Bal. JULY 2025'!D170</f>
        <v>1292252.1599999999</v>
      </c>
      <c r="E67" s="56" t="e">
        <f>C67-D67</f>
        <v>#REF!</v>
      </c>
      <c r="F67" s="87" t="e">
        <f>D67/C67</f>
        <v>#REF!</v>
      </c>
      <c r="G67" s="59" t="e">
        <f>C67/4</f>
        <v>#REF!</v>
      </c>
      <c r="H67" s="60" t="e">
        <f>G67</f>
        <v>#REF!</v>
      </c>
      <c r="I67" s="60" t="e">
        <f t="shared" si="5"/>
        <v>#REF!</v>
      </c>
      <c r="J67" s="61" t="e">
        <f t="shared" si="5"/>
        <v>#REF!</v>
      </c>
    </row>
    <row r="68" spans="1:10" s="84" customFormat="1" hidden="1">
      <c r="A68" s="78"/>
      <c r="B68" s="77" t="s">
        <v>451</v>
      </c>
      <c r="C68" s="93" t="e">
        <f>SUM(C60:C67)</f>
        <v>#REF!</v>
      </c>
      <c r="D68" s="57">
        <f>SUM(D60:D67)</f>
        <v>24269293.349999998</v>
      </c>
      <c r="E68" s="57" t="e">
        <f>SUM(E60:E67)</f>
        <v>#REF!</v>
      </c>
      <c r="F68" s="94" t="e">
        <f>D68/C68</f>
        <v>#REF!</v>
      </c>
      <c r="G68" s="81" t="e">
        <f>SUM(G60:G67)</f>
        <v>#REF!</v>
      </c>
      <c r="H68" s="82" t="e">
        <f>SUM(H60:H67)</f>
        <v>#REF!</v>
      </c>
      <c r="I68" s="82" t="e">
        <f>SUM(I60:I67)</f>
        <v>#REF!</v>
      </c>
      <c r="J68" s="83" t="e">
        <f>SUM(J60:J67)</f>
        <v>#REF!</v>
      </c>
    </row>
    <row r="69" spans="1:10" hidden="1">
      <c r="A69" s="76"/>
      <c r="B69" s="66"/>
      <c r="C69" s="85"/>
      <c r="D69" s="56"/>
      <c r="E69" s="56"/>
      <c r="F69" s="58"/>
      <c r="G69" s="59"/>
      <c r="H69" s="60"/>
      <c r="I69" s="60"/>
      <c r="J69" s="61"/>
    </row>
    <row r="70" spans="1:10" hidden="1">
      <c r="A70" s="78" t="s">
        <v>155</v>
      </c>
      <c r="B70" s="77" t="s">
        <v>452</v>
      </c>
      <c r="C70" s="85"/>
      <c r="D70" s="56"/>
      <c r="E70" s="56"/>
      <c r="F70" s="58"/>
      <c r="G70" s="59"/>
      <c r="H70" s="60"/>
      <c r="I70" s="60"/>
      <c r="J70" s="61"/>
    </row>
    <row r="71" spans="1:10" hidden="1">
      <c r="A71" s="76" t="s">
        <v>158</v>
      </c>
      <c r="B71" s="66" t="s">
        <v>107</v>
      </c>
      <c r="C71" s="85" t="e">
        <f>#REF!+#REF!+#REF!+#REF!</f>
        <v>#REF!</v>
      </c>
      <c r="D71" s="68">
        <f>'[1]Trail Bal. JULY 2025'!D105</f>
        <v>184510.58</v>
      </c>
      <c r="E71" s="56" t="e">
        <f>C71-D71</f>
        <v>#REF!</v>
      </c>
      <c r="F71" s="91" t="e">
        <f>D71/C71</f>
        <v>#REF!</v>
      </c>
      <c r="G71" s="59">
        <v>100000</v>
      </c>
      <c r="H71" s="60">
        <v>150000</v>
      </c>
      <c r="I71" s="60">
        <v>150000</v>
      </c>
      <c r="J71" s="61">
        <v>100000</v>
      </c>
    </row>
    <row r="72" spans="1:10" hidden="1">
      <c r="A72" s="76" t="s">
        <v>161</v>
      </c>
      <c r="B72" s="66" t="s">
        <v>453</v>
      </c>
      <c r="C72" s="85" t="e">
        <f>#REF!+#REF!+#REF!+#REF!</f>
        <v>#REF!</v>
      </c>
      <c r="D72" s="68">
        <f>-'[1]Trail Bal. JULY 2025'!F107</f>
        <v>-151217.79999999999</v>
      </c>
      <c r="E72" s="56" t="e">
        <f>C72-D72</f>
        <v>#REF!</v>
      </c>
      <c r="F72" s="87" t="e">
        <f>D72/C72</f>
        <v>#REF!</v>
      </c>
      <c r="G72" s="103">
        <v>0</v>
      </c>
      <c r="H72" s="60">
        <v>300000</v>
      </c>
      <c r="I72" s="60">
        <v>300000</v>
      </c>
      <c r="J72" s="61">
        <v>100000</v>
      </c>
    </row>
    <row r="73" spans="1:10" hidden="1">
      <c r="A73" s="76" t="s">
        <v>167</v>
      </c>
      <c r="B73" s="66" t="s">
        <v>454</v>
      </c>
      <c r="C73" s="85" t="e">
        <f>#REF!+#REF!+#REF!+#REF!</f>
        <v>#REF!</v>
      </c>
      <c r="D73" s="68">
        <f>'[1]Trail Bal. JULY 2025'!J110</f>
        <v>663354.1</v>
      </c>
      <c r="E73" s="56" t="e">
        <f>C73-D73</f>
        <v>#REF!</v>
      </c>
      <c r="F73" s="87" t="e">
        <f>D73/C73</f>
        <v>#REF!</v>
      </c>
      <c r="G73" s="59">
        <v>250000</v>
      </c>
      <c r="H73" s="60">
        <v>250000</v>
      </c>
      <c r="I73" s="60">
        <v>250000</v>
      </c>
      <c r="J73" s="61">
        <v>250000</v>
      </c>
    </row>
    <row r="74" spans="1:10" hidden="1">
      <c r="A74" s="76" t="s">
        <v>159</v>
      </c>
      <c r="B74" s="66" t="s">
        <v>160</v>
      </c>
      <c r="C74" s="85" t="e">
        <f>#REF!+#REF!+#REF!+#REF!</f>
        <v>#REF!</v>
      </c>
      <c r="D74" s="68">
        <f>'[1]Trail Bal. JULY 2025'!D106</f>
        <v>6500</v>
      </c>
      <c r="E74" s="56" t="e">
        <f>C74-D74</f>
        <v>#REF!</v>
      </c>
      <c r="F74" s="87" t="e">
        <f>D74/C74</f>
        <v>#REF!</v>
      </c>
      <c r="G74" s="103">
        <v>0</v>
      </c>
      <c r="H74" s="89">
        <v>0</v>
      </c>
      <c r="I74" s="60">
        <v>4000000</v>
      </c>
      <c r="J74" s="87">
        <v>0</v>
      </c>
    </row>
    <row r="75" spans="1:10" hidden="1">
      <c r="A75" s="76" t="s">
        <v>169</v>
      </c>
      <c r="B75" s="66" t="s">
        <v>455</v>
      </c>
      <c r="C75" s="85" t="e">
        <f>#REF!+#REF!+#REF!+#REF!</f>
        <v>#REF!</v>
      </c>
      <c r="D75" s="68">
        <f>'[1]Trail Bal. JULY 2025'!D111</f>
        <v>8510425.0099999998</v>
      </c>
      <c r="E75" s="56" t="e">
        <f>C75-D75</f>
        <v>#REF!</v>
      </c>
      <c r="F75" s="91" t="e">
        <f>D75/C75</f>
        <v>#REF!</v>
      </c>
      <c r="G75" s="59" t="e">
        <f>C75/4</f>
        <v>#REF!</v>
      </c>
      <c r="H75" s="60" t="e">
        <f t="shared" ref="H75:J76" si="6">G75</f>
        <v>#REF!</v>
      </c>
      <c r="I75" s="60" t="e">
        <f t="shared" si="6"/>
        <v>#REF!</v>
      </c>
      <c r="J75" s="61" t="e">
        <f t="shared" si="6"/>
        <v>#REF!</v>
      </c>
    </row>
    <row r="76" spans="1:10" hidden="1">
      <c r="A76" s="76" t="s">
        <v>171</v>
      </c>
      <c r="B76" s="66" t="s">
        <v>456</v>
      </c>
      <c r="C76" s="85" t="e">
        <f>#REF!+#REF!+#REF!+#REF!</f>
        <v>#REF!</v>
      </c>
      <c r="D76" s="68">
        <f>'[1]Trail Bal. JULY 2025'!D112</f>
        <v>1765641.09</v>
      </c>
      <c r="E76" s="56" t="e">
        <f>C76-D76</f>
        <v>#REF!</v>
      </c>
      <c r="F76" s="91" t="e">
        <f>D76/C76</f>
        <v>#REF!</v>
      </c>
      <c r="G76" s="59" t="e">
        <f>C76/4</f>
        <v>#REF!</v>
      </c>
      <c r="H76" s="60" t="e">
        <f t="shared" si="6"/>
        <v>#REF!</v>
      </c>
      <c r="I76" s="60" t="e">
        <f t="shared" si="6"/>
        <v>#REF!</v>
      </c>
      <c r="J76" s="61" t="e">
        <f t="shared" si="6"/>
        <v>#REF!</v>
      </c>
    </row>
    <row r="77" spans="1:10" hidden="1">
      <c r="A77" s="106" t="s">
        <v>175</v>
      </c>
      <c r="B77" s="66" t="s">
        <v>457</v>
      </c>
      <c r="C77" s="85" t="e">
        <f>#REF!+#REF!+#REF!+#REF!</f>
        <v>#REF!</v>
      </c>
      <c r="D77" s="68">
        <f>'[1]Trail Bal. JULY 2025'!D114</f>
        <v>239750</v>
      </c>
      <c r="E77" s="68" t="e">
        <f>C77-D77</f>
        <v>#REF!</v>
      </c>
      <c r="F77" s="91">
        <v>0</v>
      </c>
      <c r="G77" s="59">
        <v>200000</v>
      </c>
      <c r="H77" s="60">
        <v>200000</v>
      </c>
      <c r="I77" s="60">
        <v>200000</v>
      </c>
      <c r="J77" s="61">
        <v>200000</v>
      </c>
    </row>
    <row r="78" spans="1:10" hidden="1">
      <c r="A78" s="76" t="s">
        <v>178</v>
      </c>
      <c r="B78" s="66" t="s">
        <v>458</v>
      </c>
      <c r="C78" s="85" t="e">
        <f>#REF!+#REF!+#REF!+#REF!+#REF!</f>
        <v>#REF!</v>
      </c>
      <c r="D78" s="107">
        <f>'[1]Trail Bal. JULY 2025'!D129</f>
        <v>3264721.02</v>
      </c>
      <c r="E78" s="68" t="e">
        <f>C78-D78</f>
        <v>#REF!</v>
      </c>
      <c r="F78" s="91" t="e">
        <f>D78/C78</f>
        <v>#REF!</v>
      </c>
      <c r="G78" s="59" t="e">
        <f>C78/4</f>
        <v>#REF!</v>
      </c>
      <c r="H78" s="60" t="e">
        <f>G78</f>
        <v>#REF!</v>
      </c>
      <c r="I78" s="60" t="e">
        <f>H78</f>
        <v>#REF!</v>
      </c>
      <c r="J78" s="61" t="e">
        <f>I78</f>
        <v>#REF!</v>
      </c>
    </row>
    <row r="79" spans="1:10" hidden="1">
      <c r="A79" s="106" t="s">
        <v>180</v>
      </c>
      <c r="B79" s="66" t="s">
        <v>207</v>
      </c>
      <c r="C79" s="85" t="e">
        <f>#REF!+#REF!+#REF!+#REF!+#REF!</f>
        <v>#REF!</v>
      </c>
      <c r="D79" s="68">
        <f>'[1]Trail Bal. JULY 2025'!D130</f>
        <v>2855302.36</v>
      </c>
      <c r="E79" s="68" t="e">
        <f>C79-D79</f>
        <v>#REF!</v>
      </c>
      <c r="F79" s="91" t="e">
        <f>D79/C79</f>
        <v>#REF!</v>
      </c>
      <c r="G79" s="59">
        <v>1000000</v>
      </c>
      <c r="H79" s="60">
        <v>1500000</v>
      </c>
      <c r="I79" s="60">
        <v>1000000</v>
      </c>
      <c r="J79" s="61" t="e">
        <f>C79-G79-H79-I79</f>
        <v>#REF!</v>
      </c>
    </row>
    <row r="80" spans="1:10" s="95" customFormat="1" hidden="1">
      <c r="A80" s="108"/>
      <c r="B80" s="82" t="s">
        <v>459</v>
      </c>
      <c r="C80" s="93" t="e">
        <f>SUM(C71:C79)+4436213</f>
        <v>#REF!</v>
      </c>
      <c r="D80" s="57">
        <f>SUM(D71:D79)</f>
        <v>17338986.359999999</v>
      </c>
      <c r="E80" s="57" t="e">
        <f t="shared" ref="E80" si="7">SUM(E71:E79)</f>
        <v>#REF!</v>
      </c>
      <c r="F80" s="94" t="e">
        <f>D80/C80</f>
        <v>#REF!</v>
      </c>
      <c r="G80" s="81" t="e">
        <f>SUM(G71:G79)</f>
        <v>#REF!</v>
      </c>
      <c r="H80" s="82" t="e">
        <f>SUM(H71:H79)</f>
        <v>#REF!</v>
      </c>
      <c r="I80" s="82" t="e">
        <f>SUM(I71:I79)</f>
        <v>#REF!</v>
      </c>
      <c r="J80" s="83" t="e">
        <f>SUM(J71:J79)</f>
        <v>#REF!</v>
      </c>
    </row>
    <row r="81" spans="1:12" hidden="1">
      <c r="A81" s="76"/>
      <c r="B81" s="77"/>
      <c r="C81" s="85"/>
      <c r="D81" s="56"/>
      <c r="E81" s="56"/>
      <c r="F81" s="58"/>
      <c r="G81" s="59"/>
      <c r="H81" s="60"/>
      <c r="I81" s="60"/>
      <c r="J81" s="61"/>
      <c r="L81" s="88"/>
    </row>
    <row r="82" spans="1:12" hidden="1">
      <c r="A82" s="76"/>
      <c r="B82" s="77" t="s">
        <v>460</v>
      </c>
      <c r="C82" s="85"/>
      <c r="D82" s="56"/>
      <c r="E82" s="56"/>
      <c r="F82" s="58"/>
      <c r="G82" s="59"/>
      <c r="H82" s="60"/>
      <c r="I82" s="60"/>
      <c r="J82" s="61"/>
    </row>
    <row r="83" spans="1:12" hidden="1">
      <c r="A83" s="76" t="s">
        <v>190</v>
      </c>
      <c r="B83" s="66" t="s">
        <v>191</v>
      </c>
      <c r="C83" s="102" t="e">
        <f>#REF!+#REF!+#REF!+#REF!</f>
        <v>#REF!</v>
      </c>
      <c r="D83" s="109">
        <f>'[1]Trail Bal. JULY 2025'!J122</f>
        <v>877603</v>
      </c>
      <c r="E83" s="97" t="e">
        <f>C83-D83</f>
        <v>#REF!</v>
      </c>
      <c r="F83" s="87" t="e">
        <f>D83/C83</f>
        <v>#REF!</v>
      </c>
      <c r="G83" s="59">
        <v>700000</v>
      </c>
      <c r="H83" s="60">
        <v>500000</v>
      </c>
      <c r="I83" s="89">
        <v>0</v>
      </c>
      <c r="J83" s="87">
        <v>0</v>
      </c>
    </row>
    <row r="84" spans="1:12" hidden="1">
      <c r="A84" s="76" t="s">
        <v>192</v>
      </c>
      <c r="B84" s="66" t="s">
        <v>461</v>
      </c>
      <c r="C84" s="102" t="e">
        <f>#REF!+#REF!+#REF!+#REF!</f>
        <v>#REF!</v>
      </c>
      <c r="D84" s="68">
        <f>'[1]Trail Bal. JULY 2025'!D123</f>
        <v>194377.5</v>
      </c>
      <c r="E84" s="97" t="e">
        <f>C84-D84</f>
        <v>#REF!</v>
      </c>
      <c r="F84" s="87" t="e">
        <f>D84/C84</f>
        <v>#REF!</v>
      </c>
      <c r="G84" s="59">
        <v>250000</v>
      </c>
      <c r="H84" s="60">
        <v>250000</v>
      </c>
      <c r="I84" s="60">
        <v>250000</v>
      </c>
      <c r="J84" s="61">
        <v>250000</v>
      </c>
    </row>
    <row r="85" spans="1:12" hidden="1">
      <c r="A85" s="76" t="s">
        <v>194</v>
      </c>
      <c r="B85" s="66" t="s">
        <v>462</v>
      </c>
      <c r="C85" s="102" t="e">
        <f>#REF!+#REF!+#REF!+#REF!</f>
        <v>#REF!</v>
      </c>
      <c r="D85" s="109">
        <f>'[1]Trail Bal. JULY 2025'!J121</f>
        <v>590560</v>
      </c>
      <c r="E85" s="97" t="e">
        <f>C85-D85</f>
        <v>#REF!</v>
      </c>
      <c r="F85" s="91" t="e">
        <f>D85/C85</f>
        <v>#REF!</v>
      </c>
      <c r="G85" s="59">
        <v>2500000</v>
      </c>
      <c r="H85" s="60">
        <v>2000000</v>
      </c>
      <c r="I85" s="60">
        <v>1500000</v>
      </c>
      <c r="J85" s="61">
        <v>1200000</v>
      </c>
    </row>
    <row r="86" spans="1:12" hidden="1">
      <c r="A86" s="76" t="s">
        <v>196</v>
      </c>
      <c r="B86" s="66" t="s">
        <v>197</v>
      </c>
      <c r="C86" s="102" t="e">
        <f>#REF!+#REF!+#REF!+#REF!</f>
        <v>#REF!</v>
      </c>
      <c r="D86" s="68">
        <f>'[1]Trail Bal. JULY 2025'!D125</f>
        <v>85300</v>
      </c>
      <c r="E86" s="97" t="e">
        <f>C86-D86</f>
        <v>#REF!</v>
      </c>
      <c r="F86" s="87" t="e">
        <f>D86/C86</f>
        <v>#REF!</v>
      </c>
      <c r="G86" s="59">
        <v>25000</v>
      </c>
      <c r="H86" s="60">
        <v>25000</v>
      </c>
      <c r="I86" s="60">
        <v>25000</v>
      </c>
      <c r="J86" s="61">
        <v>25000</v>
      </c>
    </row>
    <row r="87" spans="1:12" hidden="1">
      <c r="A87" s="76" t="s">
        <v>200</v>
      </c>
      <c r="B87" s="66" t="s">
        <v>463</v>
      </c>
      <c r="C87" s="102" t="e">
        <f>#REF!+#REF!+#REF!+#REF!</f>
        <v>#REF!</v>
      </c>
      <c r="D87" s="68">
        <f>'[1]Trail Bal. JULY 2025'!D127</f>
        <v>2729617.75</v>
      </c>
      <c r="E87" s="97" t="e">
        <f>C87-D87</f>
        <v>#REF!</v>
      </c>
      <c r="F87" s="91" t="e">
        <f>D87/C87</f>
        <v>#REF!</v>
      </c>
      <c r="G87" s="59" t="e">
        <f>C87/4</f>
        <v>#REF!</v>
      </c>
      <c r="H87" s="60" t="e">
        <f>G87</f>
        <v>#REF!</v>
      </c>
      <c r="I87" s="60" t="e">
        <f>H87</f>
        <v>#REF!</v>
      </c>
      <c r="J87" s="61" t="e">
        <f>I87</f>
        <v>#REF!</v>
      </c>
    </row>
    <row r="88" spans="1:12" hidden="1">
      <c r="A88" s="76" t="s">
        <v>202</v>
      </c>
      <c r="B88" s="66" t="s">
        <v>203</v>
      </c>
      <c r="C88" s="102" t="e">
        <f>#REF!+#REF!+#REF!+#REF!</f>
        <v>#REF!</v>
      </c>
      <c r="D88" s="68">
        <f>'[1]Trail Bal. JULY 2025'!D128</f>
        <v>12995672.439999999</v>
      </c>
      <c r="E88" s="97" t="e">
        <f>C88-D88</f>
        <v>#REF!</v>
      </c>
      <c r="F88" s="91" t="e">
        <f>D88/C88</f>
        <v>#REF!</v>
      </c>
      <c r="G88" s="59">
        <v>11000000</v>
      </c>
      <c r="H88" s="89">
        <v>0</v>
      </c>
      <c r="I88" s="89">
        <v>0</v>
      </c>
      <c r="J88" s="87">
        <v>0</v>
      </c>
    </row>
    <row r="89" spans="1:12" s="84" customFormat="1" hidden="1">
      <c r="A89" s="78"/>
      <c r="B89" s="84" t="s">
        <v>464</v>
      </c>
      <c r="C89" s="104" t="e">
        <f t="shared" ref="C89:E89" si="8">SUM(C83:C88)</f>
        <v>#REF!</v>
      </c>
      <c r="D89" s="57">
        <f t="shared" si="8"/>
        <v>17473130.689999998</v>
      </c>
      <c r="E89" s="57" t="e">
        <f t="shared" si="8"/>
        <v>#REF!</v>
      </c>
      <c r="F89" s="94" t="e">
        <f>D89/C89</f>
        <v>#REF!</v>
      </c>
      <c r="G89" s="81" t="e">
        <f>SUM(G83:G88)</f>
        <v>#REF!</v>
      </c>
      <c r="H89" s="82" t="e">
        <f>SUM(H83:H88)</f>
        <v>#REF!</v>
      </c>
      <c r="I89" s="82" t="e">
        <f>SUM(I83:I88)</f>
        <v>#REF!</v>
      </c>
      <c r="J89" s="83" t="e">
        <f>SUM(J83:J88)</f>
        <v>#REF!</v>
      </c>
    </row>
    <row r="90" spans="1:12" hidden="1">
      <c r="A90" s="76"/>
      <c r="B90" s="66"/>
      <c r="C90" s="85"/>
      <c r="D90" s="56"/>
      <c r="E90" s="56"/>
      <c r="F90" s="58"/>
      <c r="G90" s="59"/>
      <c r="H90" s="60"/>
      <c r="I90" s="60"/>
      <c r="J90" s="61"/>
    </row>
    <row r="91" spans="1:12" hidden="1">
      <c r="A91" s="78" t="s">
        <v>208</v>
      </c>
      <c r="B91" s="77" t="s">
        <v>465</v>
      </c>
      <c r="C91" s="85"/>
      <c r="D91" s="56"/>
      <c r="E91" s="56"/>
      <c r="F91" s="58"/>
      <c r="G91" s="59"/>
      <c r="H91" s="60"/>
      <c r="I91" s="60"/>
      <c r="J91" s="61"/>
    </row>
    <row r="92" spans="1:12" hidden="1">
      <c r="A92" s="76" t="s">
        <v>210</v>
      </c>
      <c r="B92" s="66" t="s">
        <v>466</v>
      </c>
      <c r="C92" s="85" t="e">
        <f>#REF!+#REF!+#REF!+#REF!+#REF!</f>
        <v>#REF!</v>
      </c>
      <c r="D92" s="68">
        <f>'[1]Trail Bal. JULY 2025'!J132</f>
        <v>4734790.42</v>
      </c>
      <c r="E92" s="56" t="e">
        <f>C92-D92</f>
        <v>#REF!</v>
      </c>
      <c r="F92" s="87" t="e">
        <f>D92/C92</f>
        <v>#REF!</v>
      </c>
      <c r="G92" s="59" t="e">
        <f>C92/4</f>
        <v>#REF!</v>
      </c>
      <c r="H92" s="60" t="e">
        <f>G92</f>
        <v>#REF!</v>
      </c>
      <c r="I92" s="60" t="e">
        <f>H92</f>
        <v>#REF!</v>
      </c>
      <c r="J92" s="61" t="e">
        <f>I92</f>
        <v>#REF!</v>
      </c>
    </row>
    <row r="93" spans="1:12" hidden="1">
      <c r="A93" s="76" t="s">
        <v>212</v>
      </c>
      <c r="B93" s="66" t="s">
        <v>213</v>
      </c>
      <c r="C93" s="85" t="e">
        <f>#REF!+#REF!+#REF!+#REF!+#REF!</f>
        <v>#REF!</v>
      </c>
      <c r="D93" s="68">
        <f>'[1]Trail Bal. JULY 2025'!D133</f>
        <v>798671.17</v>
      </c>
      <c r="E93" s="56" t="e">
        <f>C93-D93</f>
        <v>#REF!</v>
      </c>
      <c r="F93" s="91" t="e">
        <f>D93/C93</f>
        <v>#REF!</v>
      </c>
      <c r="G93" s="59" t="e">
        <f>C93/4</f>
        <v>#REF!</v>
      </c>
      <c r="H93" s="60" t="e">
        <f t="shared" ref="H93:J100" si="9">G93</f>
        <v>#REF!</v>
      </c>
      <c r="I93" s="60" t="e">
        <f t="shared" si="9"/>
        <v>#REF!</v>
      </c>
      <c r="J93" s="61" t="e">
        <f t="shared" si="9"/>
        <v>#REF!</v>
      </c>
    </row>
    <row r="94" spans="1:12" hidden="1">
      <c r="A94" s="76" t="s">
        <v>214</v>
      </c>
      <c r="B94" s="66" t="s">
        <v>215</v>
      </c>
      <c r="C94" s="85" t="e">
        <f>#REF!+#REF!+#REF!+#REF!+#REF!</f>
        <v>#REF!</v>
      </c>
      <c r="D94" s="68">
        <f>'[1]Trail Bal. JULY 2025'!D134</f>
        <v>51295.199999999997</v>
      </c>
      <c r="E94" s="56" t="e">
        <f>C94-D94</f>
        <v>#REF!</v>
      </c>
      <c r="F94" s="87" t="e">
        <f>D94/C94</f>
        <v>#REF!</v>
      </c>
      <c r="G94" s="59" t="e">
        <f>C94/4</f>
        <v>#REF!</v>
      </c>
      <c r="H94" s="60" t="e">
        <f t="shared" si="9"/>
        <v>#REF!</v>
      </c>
      <c r="I94" s="60" t="e">
        <f t="shared" si="9"/>
        <v>#REF!</v>
      </c>
      <c r="J94" s="61" t="e">
        <f t="shared" si="9"/>
        <v>#REF!</v>
      </c>
    </row>
    <row r="95" spans="1:12" hidden="1">
      <c r="A95" s="76" t="s">
        <v>216</v>
      </c>
      <c r="B95" s="66" t="s">
        <v>467</v>
      </c>
      <c r="C95" s="85" t="e">
        <f>#REF!+#REF!+#REF!+#REF!+#REF!</f>
        <v>#REF!</v>
      </c>
      <c r="D95" s="68">
        <v>0</v>
      </c>
      <c r="E95" s="86" t="e">
        <f>C95-D95</f>
        <v>#REF!</v>
      </c>
      <c r="F95" s="87"/>
      <c r="G95" s="59" t="e">
        <f>C95/4</f>
        <v>#REF!</v>
      </c>
      <c r="H95" s="60" t="e">
        <f t="shared" si="9"/>
        <v>#REF!</v>
      </c>
      <c r="I95" s="60" t="e">
        <f t="shared" si="9"/>
        <v>#REF!</v>
      </c>
      <c r="J95" s="61" t="e">
        <f t="shared" si="9"/>
        <v>#REF!</v>
      </c>
    </row>
    <row r="96" spans="1:12" hidden="1">
      <c r="A96" s="76" t="s">
        <v>218</v>
      </c>
      <c r="B96" s="66" t="s">
        <v>219</v>
      </c>
      <c r="C96" s="85" t="e">
        <f>#REF!+#REF!+#REF!+#REF!+#REF!</f>
        <v>#REF!</v>
      </c>
      <c r="D96" s="68">
        <f>'[1]Trail Bal. JULY 2025'!D136</f>
        <v>62596</v>
      </c>
      <c r="E96" s="56" t="e">
        <f>C96-D96</f>
        <v>#REF!</v>
      </c>
      <c r="F96" s="87" t="e">
        <f>D96/C96</f>
        <v>#REF!</v>
      </c>
      <c r="G96" s="59" t="e">
        <f>C96/4</f>
        <v>#REF!</v>
      </c>
      <c r="H96" s="60" t="e">
        <f t="shared" si="9"/>
        <v>#REF!</v>
      </c>
      <c r="I96" s="60" t="e">
        <f t="shared" si="9"/>
        <v>#REF!</v>
      </c>
      <c r="J96" s="61" t="e">
        <f t="shared" si="9"/>
        <v>#REF!</v>
      </c>
    </row>
    <row r="97" spans="1:10" hidden="1">
      <c r="A97" s="76" t="s">
        <v>220</v>
      </c>
      <c r="B97" s="66" t="s">
        <v>468</v>
      </c>
      <c r="C97" s="85" t="e">
        <f>#REF!+#REF!+#REF!+#REF!+#REF!</f>
        <v>#REF!</v>
      </c>
      <c r="D97" s="68">
        <f>'[1]Trail Bal. JULY 2025'!D137</f>
        <v>69600</v>
      </c>
      <c r="E97" s="56" t="e">
        <f>C97-D97</f>
        <v>#REF!</v>
      </c>
      <c r="F97" s="91" t="e">
        <f>D97/C97</f>
        <v>#REF!</v>
      </c>
      <c r="G97" s="59" t="e">
        <f>C97/4</f>
        <v>#REF!</v>
      </c>
      <c r="H97" s="60" t="e">
        <f t="shared" si="9"/>
        <v>#REF!</v>
      </c>
      <c r="I97" s="60" t="e">
        <f t="shared" si="9"/>
        <v>#REF!</v>
      </c>
      <c r="J97" s="61" t="e">
        <f t="shared" si="9"/>
        <v>#REF!</v>
      </c>
    </row>
    <row r="98" spans="1:10" hidden="1">
      <c r="A98" s="76" t="s">
        <v>222</v>
      </c>
      <c r="B98" s="66" t="s">
        <v>223</v>
      </c>
      <c r="C98" s="85" t="e">
        <f>#REF!+#REF!+#REF!+#REF!</f>
        <v>#REF!</v>
      </c>
      <c r="D98" s="68">
        <f>'[1]Trail Bal. JULY 2025'!D138</f>
        <v>234710</v>
      </c>
      <c r="E98" s="56" t="e">
        <f>C98-D98</f>
        <v>#REF!</v>
      </c>
      <c r="F98" s="87"/>
      <c r="G98" s="59" t="e">
        <f>C98/4</f>
        <v>#REF!</v>
      </c>
      <c r="H98" s="60" t="e">
        <f t="shared" si="9"/>
        <v>#REF!</v>
      </c>
      <c r="I98" s="60" t="e">
        <f t="shared" si="9"/>
        <v>#REF!</v>
      </c>
      <c r="J98" s="61" t="e">
        <f t="shared" si="9"/>
        <v>#REF!</v>
      </c>
    </row>
    <row r="99" spans="1:10" hidden="1">
      <c r="A99" s="76" t="s">
        <v>224</v>
      </c>
      <c r="B99" s="66" t="s">
        <v>469</v>
      </c>
      <c r="C99" s="85" t="e">
        <f>#REF!+#REF!+#REF!+#REF!</f>
        <v>#REF!</v>
      </c>
      <c r="D99" s="68">
        <f>'[1]Trail Bal. JULY 2025'!D139</f>
        <v>325623.52</v>
      </c>
      <c r="E99" s="56" t="e">
        <f>C99-D99</f>
        <v>#REF!</v>
      </c>
      <c r="F99" s="91" t="e">
        <f>D99/C99</f>
        <v>#REF!</v>
      </c>
      <c r="G99" s="59" t="e">
        <f>C99/4</f>
        <v>#REF!</v>
      </c>
      <c r="H99" s="60" t="e">
        <f t="shared" si="9"/>
        <v>#REF!</v>
      </c>
      <c r="I99" s="60" t="e">
        <f t="shared" si="9"/>
        <v>#REF!</v>
      </c>
      <c r="J99" s="61" t="e">
        <f t="shared" si="9"/>
        <v>#REF!</v>
      </c>
    </row>
    <row r="100" spans="1:10" hidden="1">
      <c r="A100" s="76" t="s">
        <v>226</v>
      </c>
      <c r="B100" s="66" t="s">
        <v>227</v>
      </c>
      <c r="C100" s="85" t="e">
        <f>#REF!+#REF!+#REF!+#REF!</f>
        <v>#REF!</v>
      </c>
      <c r="D100" s="68">
        <f>'[1]Trail Bal. JULY 2025'!J140</f>
        <v>88000</v>
      </c>
      <c r="E100" s="56" t="e">
        <f>C100-D100</f>
        <v>#REF!</v>
      </c>
      <c r="F100" s="91" t="e">
        <f>D100/C100</f>
        <v>#REF!</v>
      </c>
      <c r="G100" s="103">
        <v>0</v>
      </c>
      <c r="H100" s="60">
        <v>900000</v>
      </c>
      <c r="I100" s="89">
        <v>0</v>
      </c>
      <c r="J100" s="87">
        <f t="shared" si="9"/>
        <v>0</v>
      </c>
    </row>
    <row r="101" spans="1:10" hidden="1">
      <c r="A101" s="76" t="s">
        <v>228</v>
      </c>
      <c r="B101" s="66" t="s">
        <v>229</v>
      </c>
      <c r="C101" s="85" t="e">
        <f>#REF!+#REF!+#REF!+#REF!</f>
        <v>#REF!</v>
      </c>
      <c r="D101" s="68">
        <f>'[1]Trail Bal. JULY 2025'!D141</f>
        <v>343068.52</v>
      </c>
      <c r="E101" s="56" t="e">
        <f>C101-D101</f>
        <v>#REF!</v>
      </c>
      <c r="F101" s="91" t="e">
        <f>D101/C101</f>
        <v>#REF!</v>
      </c>
      <c r="G101" s="59" t="e">
        <f>C101/4</f>
        <v>#REF!</v>
      </c>
      <c r="H101" s="60" t="e">
        <f>G101</f>
        <v>#REF!</v>
      </c>
      <c r="I101" s="60" t="e">
        <f t="shared" ref="I101:J101" si="10">H101</f>
        <v>#REF!</v>
      </c>
      <c r="J101" s="61" t="e">
        <f t="shared" si="10"/>
        <v>#REF!</v>
      </c>
    </row>
    <row r="102" spans="1:10" hidden="1">
      <c r="A102" s="76" t="s">
        <v>230</v>
      </c>
      <c r="B102" s="66" t="s">
        <v>470</v>
      </c>
      <c r="C102" s="85" t="e">
        <f>#REF!+#REF!+#REF!+#REF!</f>
        <v>#REF!</v>
      </c>
      <c r="D102" s="68">
        <f>'[1]Trail Bal. JULY 2025'!J142</f>
        <v>549695.75</v>
      </c>
      <c r="E102" s="56" t="e">
        <f>C102-D102</f>
        <v>#REF!</v>
      </c>
      <c r="F102" s="87" t="e">
        <f>D102/C102</f>
        <v>#REF!</v>
      </c>
      <c r="G102" s="59" t="e">
        <f>C102/4</f>
        <v>#REF!</v>
      </c>
      <c r="H102" s="60" t="e">
        <f t="shared" ref="H102:J112" si="11">G102</f>
        <v>#REF!</v>
      </c>
      <c r="I102" s="60" t="e">
        <f t="shared" si="11"/>
        <v>#REF!</v>
      </c>
      <c r="J102" s="61" t="e">
        <f t="shared" si="11"/>
        <v>#REF!</v>
      </c>
    </row>
    <row r="103" spans="1:10" hidden="1">
      <c r="A103" s="76" t="s">
        <v>232</v>
      </c>
      <c r="B103" s="66" t="s">
        <v>233</v>
      </c>
      <c r="C103" s="85" t="e">
        <f>#REF!+#REF!+#REF!+#REF!</f>
        <v>#REF!</v>
      </c>
      <c r="D103" s="68">
        <f>'[1]Trail Bal. JULY 2025'!J143</f>
        <v>60000</v>
      </c>
      <c r="E103" s="56" t="e">
        <f>C103-D103</f>
        <v>#REF!</v>
      </c>
      <c r="F103" s="87" t="e">
        <f>D103/C103</f>
        <v>#REF!</v>
      </c>
      <c r="G103" s="59" t="e">
        <f>C103/4</f>
        <v>#REF!</v>
      </c>
      <c r="H103" s="60" t="e">
        <f t="shared" si="11"/>
        <v>#REF!</v>
      </c>
      <c r="I103" s="60" t="e">
        <f t="shared" si="11"/>
        <v>#REF!</v>
      </c>
      <c r="J103" s="61" t="e">
        <f t="shared" si="11"/>
        <v>#REF!</v>
      </c>
    </row>
    <row r="104" spans="1:10" hidden="1">
      <c r="A104" s="76" t="s">
        <v>234</v>
      </c>
      <c r="B104" s="66" t="s">
        <v>235</v>
      </c>
      <c r="C104" s="85" t="e">
        <f>#REF!+#REF!+#REF!+#REF!</f>
        <v>#REF!</v>
      </c>
      <c r="D104" s="68">
        <f>'[1]Trail Bal. JULY 2025'!D144</f>
        <v>50300</v>
      </c>
      <c r="E104" s="56" t="e">
        <f>C104-D104</f>
        <v>#REF!</v>
      </c>
      <c r="F104" s="87" t="e">
        <f>D104/C104</f>
        <v>#REF!</v>
      </c>
      <c r="G104" s="59" t="e">
        <f>C104/4</f>
        <v>#REF!</v>
      </c>
      <c r="H104" s="60" t="e">
        <f t="shared" si="11"/>
        <v>#REF!</v>
      </c>
      <c r="I104" s="60" t="e">
        <f t="shared" si="11"/>
        <v>#REF!</v>
      </c>
      <c r="J104" s="61" t="e">
        <f t="shared" si="11"/>
        <v>#REF!</v>
      </c>
    </row>
    <row r="105" spans="1:10" hidden="1">
      <c r="A105" s="76" t="s">
        <v>236</v>
      </c>
      <c r="B105" s="66" t="s">
        <v>237</v>
      </c>
      <c r="C105" s="85" t="e">
        <f>#REF!+#REF!+#REF!+#REF!</f>
        <v>#REF!</v>
      </c>
      <c r="D105" s="68">
        <f>'[1]Trail Bal. JULY 2025'!D145</f>
        <v>945726.94</v>
      </c>
      <c r="E105" s="56" t="e">
        <f>C105-D105</f>
        <v>#REF!</v>
      </c>
      <c r="F105" s="87" t="e">
        <f>D105/C105</f>
        <v>#REF!</v>
      </c>
      <c r="G105" s="59" t="e">
        <f>C105/4</f>
        <v>#REF!</v>
      </c>
      <c r="H105" s="60" t="e">
        <f t="shared" si="11"/>
        <v>#REF!</v>
      </c>
      <c r="I105" s="60" t="e">
        <f t="shared" si="11"/>
        <v>#REF!</v>
      </c>
      <c r="J105" s="61" t="e">
        <f t="shared" si="11"/>
        <v>#REF!</v>
      </c>
    </row>
    <row r="106" spans="1:10" hidden="1">
      <c r="A106" s="76" t="s">
        <v>238</v>
      </c>
      <c r="B106" s="66" t="s">
        <v>239</v>
      </c>
      <c r="C106" s="85" t="e">
        <f>#REF!+#REF!+#REF!+#REF!</f>
        <v>#REF!</v>
      </c>
      <c r="D106" s="68">
        <v>0</v>
      </c>
      <c r="E106" s="56" t="e">
        <f>C106-D106</f>
        <v>#REF!</v>
      </c>
      <c r="F106" s="87" t="e">
        <f>D106/C106</f>
        <v>#REF!</v>
      </c>
      <c r="G106" s="59" t="e">
        <f>C106/4</f>
        <v>#REF!</v>
      </c>
      <c r="H106" s="60" t="e">
        <f t="shared" si="11"/>
        <v>#REF!</v>
      </c>
      <c r="I106" s="60" t="e">
        <f t="shared" si="11"/>
        <v>#REF!</v>
      </c>
      <c r="J106" s="61" t="e">
        <f t="shared" si="11"/>
        <v>#REF!</v>
      </c>
    </row>
    <row r="107" spans="1:10" hidden="1">
      <c r="A107" s="76" t="s">
        <v>240</v>
      </c>
      <c r="B107" s="66" t="s">
        <v>471</v>
      </c>
      <c r="C107" s="85" t="e">
        <f>#REF!+#REF!+#REF!+#REF!</f>
        <v>#REF!</v>
      </c>
      <c r="D107" s="68">
        <f>'[1]Trail Bal. JULY 2025'!D147</f>
        <v>2145876.16</v>
      </c>
      <c r="E107" s="56" t="e">
        <f>C107-D107</f>
        <v>#REF!</v>
      </c>
      <c r="F107" s="87" t="e">
        <f>D107/C107</f>
        <v>#REF!</v>
      </c>
      <c r="G107" s="59">
        <v>1900000</v>
      </c>
      <c r="H107" s="60">
        <v>1000000</v>
      </c>
      <c r="I107" s="60">
        <v>800000</v>
      </c>
      <c r="J107" s="61">
        <v>1100000</v>
      </c>
    </row>
    <row r="108" spans="1:10" hidden="1">
      <c r="A108" s="76" t="s">
        <v>242</v>
      </c>
      <c r="B108" s="66" t="s">
        <v>472</v>
      </c>
      <c r="C108" s="85" t="e">
        <f>#REF!+#REF!+#REF!+#REF!</f>
        <v>#REF!</v>
      </c>
      <c r="D108" s="68">
        <f>'[1]Trail Bal. JULY 2025'!D148</f>
        <v>3421520</v>
      </c>
      <c r="E108" s="56" t="e">
        <f>C108-D108</f>
        <v>#REF!</v>
      </c>
      <c r="F108" s="91" t="e">
        <f>D108/C108</f>
        <v>#REF!</v>
      </c>
      <c r="G108" s="59" t="e">
        <f>C108/4</f>
        <v>#REF!</v>
      </c>
      <c r="H108" s="60" t="e">
        <f t="shared" si="11"/>
        <v>#REF!</v>
      </c>
      <c r="I108" s="60" t="e">
        <f t="shared" si="11"/>
        <v>#REF!</v>
      </c>
      <c r="J108" s="61" t="e">
        <f t="shared" si="11"/>
        <v>#REF!</v>
      </c>
    </row>
    <row r="109" spans="1:10" hidden="1">
      <c r="A109" s="76" t="s">
        <v>244</v>
      </c>
      <c r="B109" s="66" t="s">
        <v>473</v>
      </c>
      <c r="C109" s="85" t="e">
        <f>#REF!+#REF!+#REF!+#REF!</f>
        <v>#REF!</v>
      </c>
      <c r="D109" s="68">
        <f>'[1]Trail Bal. JULY 2025'!D149</f>
        <v>2473447.56</v>
      </c>
      <c r="E109" s="56" t="e">
        <f>C109-D109</f>
        <v>#REF!</v>
      </c>
      <c r="F109" s="91" t="e">
        <f>D109/C109</f>
        <v>#REF!</v>
      </c>
      <c r="G109" s="59" t="e">
        <f>C109/4</f>
        <v>#REF!</v>
      </c>
      <c r="H109" s="60" t="e">
        <f t="shared" si="11"/>
        <v>#REF!</v>
      </c>
      <c r="I109" s="60" t="e">
        <f t="shared" si="11"/>
        <v>#REF!</v>
      </c>
      <c r="J109" s="61" t="e">
        <f t="shared" si="11"/>
        <v>#REF!</v>
      </c>
    </row>
    <row r="110" spans="1:10" hidden="1">
      <c r="A110" s="76" t="s">
        <v>246</v>
      </c>
      <c r="B110" s="66" t="s">
        <v>474</v>
      </c>
      <c r="C110" s="85" t="e">
        <f>#REF!+#REF!+#REF!+#REF!</f>
        <v>#REF!</v>
      </c>
      <c r="D110" s="68">
        <f>'[1]Trail Bal. JULY 2025'!D150</f>
        <v>422289.25</v>
      </c>
      <c r="E110" s="56" t="e">
        <f>C110-D110</f>
        <v>#REF!</v>
      </c>
      <c r="F110" s="91" t="e">
        <f>D110/C110</f>
        <v>#REF!</v>
      </c>
      <c r="G110" s="59" t="e">
        <f>C110/4</f>
        <v>#REF!</v>
      </c>
      <c r="H110" s="60" t="e">
        <f t="shared" si="11"/>
        <v>#REF!</v>
      </c>
      <c r="I110" s="60" t="e">
        <f t="shared" si="11"/>
        <v>#REF!</v>
      </c>
      <c r="J110" s="61" t="e">
        <f t="shared" si="11"/>
        <v>#REF!</v>
      </c>
    </row>
    <row r="111" spans="1:10" hidden="1">
      <c r="A111" s="76" t="s">
        <v>248</v>
      </c>
      <c r="B111" s="66" t="s">
        <v>475</v>
      </c>
      <c r="C111" s="85" t="e">
        <f>#REF!+#REF!+#REF!+#REF!</f>
        <v>#REF!</v>
      </c>
      <c r="D111" s="68">
        <f>'[1]Trail Bal. JULY 2025'!J151</f>
        <v>14074</v>
      </c>
      <c r="E111" s="86" t="e">
        <f>C111-D111</f>
        <v>#REF!</v>
      </c>
      <c r="F111" s="87">
        <v>0</v>
      </c>
      <c r="G111" s="59" t="e">
        <f>C111/4</f>
        <v>#REF!</v>
      </c>
      <c r="H111" s="60" t="e">
        <f t="shared" si="11"/>
        <v>#REF!</v>
      </c>
      <c r="I111" s="60" t="e">
        <f t="shared" si="11"/>
        <v>#REF!</v>
      </c>
      <c r="J111" s="61" t="e">
        <f t="shared" si="11"/>
        <v>#REF!</v>
      </c>
    </row>
    <row r="112" spans="1:10" hidden="1">
      <c r="A112" s="76" t="s">
        <v>476</v>
      </c>
      <c r="B112" s="66" t="s">
        <v>477</v>
      </c>
      <c r="C112" s="85" t="e">
        <f>#REF!+#REF!+#REF!+#REF!</f>
        <v>#REF!</v>
      </c>
      <c r="D112" s="68">
        <f>'[1]Trail Bal. JULY 2025'!D126</f>
        <v>1225990</v>
      </c>
      <c r="E112" s="56" t="e">
        <f>C112-D112</f>
        <v>#REF!</v>
      </c>
      <c r="F112" s="91"/>
      <c r="G112" s="103" t="e">
        <f>C112/4</f>
        <v>#REF!</v>
      </c>
      <c r="H112" s="89" t="e">
        <f t="shared" si="11"/>
        <v>#REF!</v>
      </c>
      <c r="I112" s="89" t="e">
        <f t="shared" si="11"/>
        <v>#REF!</v>
      </c>
      <c r="J112" s="89" t="e">
        <f t="shared" si="11"/>
        <v>#REF!</v>
      </c>
    </row>
    <row r="113" spans="1:12" s="84" customFormat="1" hidden="1">
      <c r="A113" s="78"/>
      <c r="B113" s="77" t="s">
        <v>478</v>
      </c>
      <c r="C113" s="93" t="e">
        <f>SUM(C92:C111)+5880293</f>
        <v>#REF!</v>
      </c>
      <c r="D113" s="57">
        <f>SUM(D92:D112)</f>
        <v>18017274.490000002</v>
      </c>
      <c r="E113" s="57" t="e">
        <f>SUM(E92:E112)</f>
        <v>#REF!</v>
      </c>
      <c r="F113" s="94" t="e">
        <f>D113/C113</f>
        <v>#REF!</v>
      </c>
      <c r="G113" s="81" t="e">
        <f>SUM(G92:G112)</f>
        <v>#REF!</v>
      </c>
      <c r="H113" s="82" t="e">
        <f>SUM(H92:H112)</f>
        <v>#REF!</v>
      </c>
      <c r="I113" s="82" t="e">
        <f>SUM(I92:I112)</f>
        <v>#REF!</v>
      </c>
      <c r="J113" s="83" t="e">
        <f>SUM(J92:J112)</f>
        <v>#REF!</v>
      </c>
      <c r="K113" s="95"/>
    </row>
    <row r="114" spans="1:12" hidden="1">
      <c r="A114" s="76"/>
      <c r="B114" s="77"/>
      <c r="C114" s="85"/>
      <c r="D114" s="86"/>
      <c r="E114" s="56"/>
      <c r="F114" s="58"/>
      <c r="G114" s="59"/>
      <c r="H114" s="60"/>
      <c r="I114" s="60"/>
      <c r="J114" s="61"/>
    </row>
    <row r="115" spans="1:12" hidden="1">
      <c r="A115" s="78" t="s">
        <v>250</v>
      </c>
      <c r="B115" s="77" t="s">
        <v>479</v>
      </c>
      <c r="C115" s="85"/>
      <c r="D115" s="86"/>
      <c r="E115" s="56"/>
      <c r="F115" s="58"/>
      <c r="G115" s="59"/>
      <c r="H115" s="60"/>
      <c r="I115" s="60"/>
      <c r="J115" s="61"/>
    </row>
    <row r="116" spans="1:12" hidden="1">
      <c r="A116" s="76" t="s">
        <v>255</v>
      </c>
      <c r="B116" s="66" t="s">
        <v>480</v>
      </c>
      <c r="C116" s="102" t="e">
        <f>#REF!+#REF!+#REF!+#REF!</f>
        <v>#REF!</v>
      </c>
      <c r="D116" s="86">
        <f>'[1]Trail Bal. JULY 2025'!J156</f>
        <v>10000</v>
      </c>
      <c r="E116" s="56" t="e">
        <f>C116-D116</f>
        <v>#REF!</v>
      </c>
      <c r="F116" s="96" t="e">
        <f>D116/C116</f>
        <v>#REF!</v>
      </c>
      <c r="G116" s="59">
        <v>30000</v>
      </c>
      <c r="H116" s="60">
        <v>100000</v>
      </c>
      <c r="I116" s="60">
        <v>50000</v>
      </c>
      <c r="J116" s="61">
        <v>20000</v>
      </c>
    </row>
    <row r="117" spans="1:12" hidden="1">
      <c r="A117" s="76" t="s">
        <v>252</v>
      </c>
      <c r="B117" s="66" t="s">
        <v>73</v>
      </c>
      <c r="C117" s="102" t="e">
        <f>#REF!+#REF!+#REF!+#REF!</f>
        <v>#REF!</v>
      </c>
      <c r="D117" s="86"/>
      <c r="E117" s="86" t="e">
        <f>C117-D117</f>
        <v>#REF!</v>
      </c>
      <c r="F117" s="96"/>
      <c r="G117" s="59">
        <v>200000</v>
      </c>
      <c r="H117" s="60">
        <v>250000</v>
      </c>
      <c r="I117" s="60">
        <v>250000</v>
      </c>
      <c r="J117" s="61">
        <v>200000</v>
      </c>
      <c r="L117" s="90"/>
    </row>
    <row r="118" spans="1:12" hidden="1">
      <c r="A118" s="76" t="s">
        <v>253</v>
      </c>
      <c r="B118" s="66" t="s">
        <v>268</v>
      </c>
      <c r="C118" s="102" t="e">
        <f>#REF!+#REF!+#REF!+#REF!</f>
        <v>#REF!</v>
      </c>
      <c r="D118" s="86"/>
      <c r="E118" s="86" t="e">
        <f>C118-D118</f>
        <v>#REF!</v>
      </c>
      <c r="F118" s="96"/>
      <c r="G118" s="59">
        <v>200000</v>
      </c>
      <c r="H118" s="89">
        <v>0</v>
      </c>
      <c r="I118" s="60">
        <v>300000</v>
      </c>
      <c r="J118" s="87">
        <v>0</v>
      </c>
    </row>
    <row r="119" spans="1:12" hidden="1">
      <c r="A119" s="76" t="s">
        <v>259</v>
      </c>
      <c r="B119" s="66" t="s">
        <v>481</v>
      </c>
      <c r="C119" s="102" t="e">
        <f>#REF!+#REF!+#REF!+#REF!</f>
        <v>#REF!</v>
      </c>
      <c r="D119" s="68">
        <f>'[1]Trail Bal. JULY 2025'!J158</f>
        <v>63800</v>
      </c>
      <c r="E119" s="56" t="e">
        <f>C119-D119</f>
        <v>#REF!</v>
      </c>
      <c r="F119" s="96" t="e">
        <f>D119/C119</f>
        <v>#REF!</v>
      </c>
      <c r="G119" s="59">
        <v>50000</v>
      </c>
      <c r="H119" s="60">
        <v>70000</v>
      </c>
      <c r="I119" s="60">
        <v>100000</v>
      </c>
      <c r="J119" s="61">
        <v>80000</v>
      </c>
    </row>
    <row r="120" spans="1:12" hidden="1">
      <c r="A120" s="76" t="s">
        <v>254</v>
      </c>
      <c r="B120" s="66" t="s">
        <v>107</v>
      </c>
      <c r="C120" s="102" t="e">
        <f>#REF!+#REF!+#REF!+#REF!</f>
        <v>#REF!</v>
      </c>
      <c r="D120" s="86">
        <v>0</v>
      </c>
      <c r="E120" s="86" t="e">
        <f>C120-D120</f>
        <v>#REF!</v>
      </c>
      <c r="F120" s="96"/>
      <c r="G120" s="59">
        <v>100000</v>
      </c>
      <c r="H120" s="60">
        <v>125000</v>
      </c>
      <c r="I120" s="60">
        <v>140000</v>
      </c>
      <c r="J120" s="61">
        <v>135000</v>
      </c>
    </row>
    <row r="121" spans="1:12" hidden="1">
      <c r="A121" s="76" t="s">
        <v>261</v>
      </c>
      <c r="B121" s="66" t="s">
        <v>482</v>
      </c>
      <c r="C121" s="102" t="e">
        <f>#REF!+#REF!+#REF!+#REF!</f>
        <v>#REF!</v>
      </c>
      <c r="D121" s="56">
        <f>'[1]Trail Bal. JULY 2025'!D159</f>
        <v>3031620.38</v>
      </c>
      <c r="E121" s="56" t="e">
        <f>C121-D121</f>
        <v>#REF!</v>
      </c>
      <c r="F121" s="96" t="e">
        <f>D121/C121</f>
        <v>#REF!</v>
      </c>
      <c r="G121" s="59" t="e">
        <f>C121/4</f>
        <v>#REF!</v>
      </c>
      <c r="H121" s="60" t="e">
        <f t="shared" ref="H121:J122" si="12">G121</f>
        <v>#REF!</v>
      </c>
      <c r="I121" s="60" t="e">
        <f t="shared" si="12"/>
        <v>#REF!</v>
      </c>
      <c r="J121" s="61" t="e">
        <f t="shared" si="12"/>
        <v>#REF!</v>
      </c>
    </row>
    <row r="122" spans="1:12" hidden="1">
      <c r="A122" s="76" t="s">
        <v>263</v>
      </c>
      <c r="B122" s="66" t="s">
        <v>483</v>
      </c>
      <c r="C122" s="102" t="e">
        <f>#REF!+#REF!+#REF!+#REF!</f>
        <v>#REF!</v>
      </c>
      <c r="D122" s="56">
        <f>'[1]Trail Bal. JULY 2025'!D161</f>
        <v>1147920</v>
      </c>
      <c r="E122" s="56" t="e">
        <f>C122-D122</f>
        <v>#REF!</v>
      </c>
      <c r="F122" s="96" t="e">
        <f>D122/C122</f>
        <v>#REF!</v>
      </c>
      <c r="G122" s="59" t="e">
        <f>C122/4</f>
        <v>#REF!</v>
      </c>
      <c r="H122" s="60" t="e">
        <f t="shared" si="12"/>
        <v>#REF!</v>
      </c>
      <c r="I122" s="60" t="e">
        <f t="shared" si="12"/>
        <v>#REF!</v>
      </c>
      <c r="J122" s="61" t="e">
        <f t="shared" si="12"/>
        <v>#REF!</v>
      </c>
    </row>
    <row r="123" spans="1:12" s="84" customFormat="1" hidden="1">
      <c r="A123" s="78"/>
      <c r="B123" s="77" t="s">
        <v>484</v>
      </c>
      <c r="C123" s="104" t="e">
        <f t="shared" ref="C123:E123" si="13">SUM(C116:C122)</f>
        <v>#REF!</v>
      </c>
      <c r="D123" s="57">
        <f t="shared" si="13"/>
        <v>4253340.38</v>
      </c>
      <c r="E123" s="57" t="e">
        <f t="shared" si="13"/>
        <v>#REF!</v>
      </c>
      <c r="F123" s="98" t="e">
        <f>D123/C123</f>
        <v>#REF!</v>
      </c>
      <c r="G123" s="81" t="e">
        <f>SUM(G116:G122)</f>
        <v>#REF!</v>
      </c>
      <c r="H123" s="82" t="e">
        <f>SUM(H116:H122)</f>
        <v>#REF!</v>
      </c>
      <c r="I123" s="82" t="e">
        <f>SUM(I116:I122)</f>
        <v>#REF!</v>
      </c>
      <c r="J123" s="83" t="e">
        <f>SUM(J116:J122)</f>
        <v>#REF!</v>
      </c>
    </row>
    <row r="124" spans="1:12" hidden="1">
      <c r="A124" s="76" t="s">
        <v>289</v>
      </c>
      <c r="B124" s="66" t="s">
        <v>290</v>
      </c>
      <c r="C124" s="85"/>
      <c r="D124" s="56">
        <f>'[1]Trail Bal. JULY 2025'!J178</f>
        <v>116140.52</v>
      </c>
      <c r="E124" s="56">
        <f>C124-D124</f>
        <v>-116140.52</v>
      </c>
      <c r="F124" s="58"/>
      <c r="G124" s="59"/>
      <c r="H124" s="60"/>
      <c r="I124" s="60"/>
      <c r="J124" s="61"/>
    </row>
    <row r="125" spans="1:12" s="84" customFormat="1" ht="25.5" hidden="1" customHeight="1" thickBot="1">
      <c r="A125" s="110"/>
      <c r="B125" s="111" t="s">
        <v>485</v>
      </c>
      <c r="C125" s="112" t="e">
        <f>C123+C113+C89+C80+C68+C57+C52+C42+C33</f>
        <v>#REF!</v>
      </c>
      <c r="D125" s="113">
        <f>D123+D113+D89+D80+D68+D57+D52+D42+D33+D124</f>
        <v>107444960</v>
      </c>
      <c r="E125" s="113" t="e">
        <f>E123+E113+E89+E80+E68+E57+E52+E42+E33+E124</f>
        <v>#REF!</v>
      </c>
      <c r="F125" s="114" t="e">
        <f>D125/C125</f>
        <v>#REF!</v>
      </c>
      <c r="G125" s="115" t="e">
        <f>G123+G113+G89+G80+G68+G57+G52+G42+G33</f>
        <v>#REF!</v>
      </c>
      <c r="H125" s="116" t="e">
        <f>H123+H113+H89+H80+H68+H57+H52+H42+H33</f>
        <v>#REF!</v>
      </c>
      <c r="I125" s="116" t="e">
        <f>I123+I113+I89+I80+I68+I57+I52+I42+I33</f>
        <v>#REF!</v>
      </c>
      <c r="J125" s="117" t="e">
        <f>J123+J113+J89+J80+J68+J57+J52+J42+J33</f>
        <v>#REF!</v>
      </c>
    </row>
    <row r="126" spans="1:12" s="84" customFormat="1" hidden="1">
      <c r="C126" s="119"/>
      <c r="D126" s="118"/>
      <c r="E126" s="118"/>
    </row>
    <row r="127" spans="1:12" hidden="1">
      <c r="C127" s="120"/>
      <c r="D127" s="107">
        <f>'[1]Trail Bal. JULY 2025'!J50</f>
        <v>107444960</v>
      </c>
    </row>
    <row r="128" spans="1:12" hidden="1">
      <c r="C128" s="120"/>
    </row>
    <row r="129" spans="2:6">
      <c r="B129" s="121"/>
      <c r="C129" s="120"/>
    </row>
    <row r="130" spans="2:6">
      <c r="B130" s="121"/>
      <c r="C130" s="120"/>
    </row>
    <row r="131" spans="2:6">
      <c r="B131" s="121"/>
      <c r="C131" s="120"/>
    </row>
    <row r="132" spans="2:6">
      <c r="B132" s="121" t="s">
        <v>493</v>
      </c>
      <c r="C132" s="120"/>
      <c r="F132" s="122"/>
    </row>
    <row r="133" spans="2:6">
      <c r="B133" s="66" t="str">
        <f>B19</f>
        <v>Movement Building</v>
      </c>
      <c r="C133" s="85">
        <f>'Trial Bal&amp;Budget 2025'!T51</f>
        <v>15414297.26</v>
      </c>
      <c r="D133" s="56">
        <f>'Trial Bal&amp;Budget 2025'!N51</f>
        <v>12485878.08</v>
      </c>
      <c r="E133" s="56">
        <f>C133-D133</f>
        <v>2928419.1799999997</v>
      </c>
      <c r="F133" s="123">
        <f>D133/C133</f>
        <v>0.81001928724968686</v>
      </c>
    </row>
    <row r="134" spans="2:6">
      <c r="B134" s="66" t="str">
        <f>B35</f>
        <v>Equality and Anti-Discrimination</v>
      </c>
      <c r="C134" s="85">
        <f>'Trial Bal&amp;Budget 2025'!T76</f>
        <v>10186710.220000001</v>
      </c>
      <c r="D134" s="56">
        <f>'Trial Bal&amp;Budget 2025'!N76</f>
        <v>5937981.0599999996</v>
      </c>
      <c r="E134" s="56">
        <f>C134-D134</f>
        <v>4248729.1600000011</v>
      </c>
      <c r="F134" s="123">
        <f>D134/C134</f>
        <v>0.58291449660968164</v>
      </c>
    </row>
    <row r="135" spans="2:6">
      <c r="B135" s="66" t="str">
        <f>B44</f>
        <v>Civil Liberties</v>
      </c>
      <c r="C135" s="85">
        <f>'Trial Bal&amp;Budget 2025'!T85-'Trial Bal&amp;Budget 2025'!T95-'Trial Bal&amp;Budget 2025'!T96</f>
        <v>9275973.5</v>
      </c>
      <c r="D135" s="56">
        <f>'Trial Bal&amp;Budget 2025'!N85-'Trial Bal&amp;Budget 2025'!N96</f>
        <v>6579478.9000000004</v>
      </c>
      <c r="E135" s="56">
        <f>C135-D135</f>
        <v>2696494.5999999996</v>
      </c>
      <c r="F135" s="123">
        <f>D135/C135</f>
        <v>0.70930333080403907</v>
      </c>
    </row>
    <row r="136" spans="2:6">
      <c r="B136" s="66" t="str">
        <f>B54</f>
        <v>Protection</v>
      </c>
      <c r="C136" s="85">
        <f>'Trial Bal&amp;Budget 2025'!T95+'Trial Bal&amp;Budget 2025'!T96</f>
        <v>2025640</v>
      </c>
      <c r="D136" s="56">
        <f>'Trial Bal&amp;Budget 2025'!N96</f>
        <v>755920.81</v>
      </c>
      <c r="E136" s="56">
        <f>C136-D136</f>
        <v>1269719.19</v>
      </c>
      <c r="F136" s="123">
        <f>D136/C136</f>
        <v>0.37317628502596711</v>
      </c>
    </row>
    <row r="137" spans="2:6">
      <c r="B137" s="66" t="str">
        <f>B59</f>
        <v>Technology and Human Rights</v>
      </c>
      <c r="C137" s="85">
        <f>'Trial Bal&amp;Budget 2025'!T162</f>
        <v>51914663.18</v>
      </c>
      <c r="D137" s="56">
        <f>'Trial Bal&amp;Budget 2025'!N162</f>
        <v>24283293.350000001</v>
      </c>
      <c r="E137" s="56">
        <f>C137-D137</f>
        <v>27631369.829999998</v>
      </c>
      <c r="F137" s="123">
        <f>D137/C137</f>
        <v>0.46775403831099271</v>
      </c>
    </row>
    <row r="138" spans="2:6">
      <c r="B138" s="66" t="str">
        <f>B70</f>
        <v>Office of Executive Director</v>
      </c>
      <c r="C138" s="85">
        <f>'Trial Bal&amp;Budget 2025'!T103-'Trial Bal&amp;Budget 2025'!T119</f>
        <v>17154777.799999997</v>
      </c>
      <c r="D138" s="56">
        <f>'Trial Bal&amp;Budget 2025'!N103-'Trial Bal&amp;Budget 2025'!N119</f>
        <v>11441924.339999996</v>
      </c>
      <c r="E138" s="56">
        <f>C138-D138</f>
        <v>5712853.4600000009</v>
      </c>
      <c r="F138" s="123">
        <f>D138/C138</f>
        <v>0.66698178626364946</v>
      </c>
    </row>
    <row r="139" spans="2:6">
      <c r="B139" s="66" t="str">
        <f>B82</f>
        <v>People and Diversity</v>
      </c>
      <c r="C139" s="85">
        <f>'Trial Bal&amp;Budget 2025'!T119</f>
        <v>39575411.990000002</v>
      </c>
      <c r="D139" s="56">
        <f>'Trial Bal&amp;Budget 2025'!N119</f>
        <v>24806344.07</v>
      </c>
      <c r="E139" s="56">
        <f>C139-D139</f>
        <v>14769067.920000002</v>
      </c>
      <c r="F139" s="123">
        <f>D139/C139</f>
        <v>0.62681202349246845</v>
      </c>
    </row>
    <row r="140" spans="2:6">
      <c r="B140" s="66" t="str">
        <f>B91</f>
        <v>Finance and Administration</v>
      </c>
      <c r="C140" s="85">
        <f>'Trial Bal&amp;Budget 2025'!T131</f>
        <v>33660493.259999998</v>
      </c>
      <c r="D140" s="56">
        <f>'Trial Bal&amp;Budget 2025'!N131</f>
        <v>16845117.620000001</v>
      </c>
      <c r="E140" s="56">
        <f>C140-D140</f>
        <v>16815375.639999997</v>
      </c>
      <c r="F140" s="123">
        <f>D140/C140</f>
        <v>0.50044179358529106</v>
      </c>
    </row>
    <row r="141" spans="2:6">
      <c r="B141" s="125" t="str">
        <f>B115</f>
        <v>Public Communications and Engagement</v>
      </c>
      <c r="C141" s="126">
        <f>'Trial Bal&amp;Budget 2025'!T152</f>
        <v>5675056.6200000001</v>
      </c>
      <c r="D141" s="127">
        <f>'Trial Bal&amp;Budget 2025'!N152+'Trial Bal&amp;Budget 2025'!N178</f>
        <v>4336415.58</v>
      </c>
      <c r="E141" s="56">
        <f>C141-D141</f>
        <v>1338641.04</v>
      </c>
      <c r="F141" s="128">
        <f>D141/C141</f>
        <v>0.76411846971140884</v>
      </c>
    </row>
    <row r="142" spans="2:6">
      <c r="B142" s="77" t="s">
        <v>486</v>
      </c>
      <c r="C142" s="93">
        <f>SUM(C133:C141)</f>
        <v>184883023.82999998</v>
      </c>
      <c r="D142" s="93">
        <f>SUM(D133:D141)</f>
        <v>107472353.81</v>
      </c>
      <c r="E142" s="93">
        <f>SUM(E133:E141)</f>
        <v>77410670.020000011</v>
      </c>
      <c r="F142" s="129">
        <f>D142/C142</f>
        <v>0.58129919980549905</v>
      </c>
    </row>
    <row r="143" spans="2:6">
      <c r="D143" s="101"/>
      <c r="E143" s="101"/>
    </row>
    <row r="144" spans="2:6">
      <c r="D144" s="124"/>
      <c r="F144" s="130"/>
    </row>
  </sheetData>
  <mergeCells count="1">
    <mergeCell ref="A1:B1"/>
  </mergeCells>
  <pageMargins left="0.7" right="0.7" top="0.75" bottom="0.75" header="0.3" footer="0.3"/>
  <pageSetup scale="6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D098-1549-43FA-A243-7713AFB3EB07}">
  <dimension ref="A1:U235"/>
  <sheetViews>
    <sheetView showGridLines="0" workbookViewId="0">
      <pane ySplit="13" topLeftCell="A207" activePane="bottomLeft" state="frozen"/>
      <selection pane="bottomLeft" activeCell="K19" sqref="K19:L19"/>
    </sheetView>
  </sheetViews>
  <sheetFormatPr defaultRowHeight="14.5"/>
  <cols>
    <col min="1" max="1" width="6.1796875" style="133" customWidth="1"/>
    <col min="2" max="2" width="24.08984375" style="133" customWidth="1"/>
    <col min="3" max="3" width="0.7265625" style="133" customWidth="1"/>
    <col min="4" max="4" width="8.90625" style="133" customWidth="1"/>
    <col min="5" max="5" width="0.7265625" style="133" customWidth="1"/>
    <col min="6" max="6" width="8.90625" style="133" customWidth="1"/>
    <col min="7" max="7" width="0.7265625" style="133" customWidth="1"/>
    <col min="8" max="8" width="5.6328125" style="133" customWidth="1"/>
    <col min="9" max="9" width="0.453125" style="133" customWidth="1"/>
    <col min="10" max="10" width="0.26953125" style="133" customWidth="1"/>
    <col min="11" max="11" width="4" style="133" customWidth="1"/>
    <col min="12" max="12" width="2.90625" style="133" customWidth="1"/>
    <col min="13" max="13" width="0.7265625" style="133" customWidth="1"/>
    <col min="14" max="14" width="8.90625" style="133" customWidth="1"/>
    <col min="15" max="15" width="0.7265625" style="133" customWidth="1"/>
    <col min="16" max="16" width="8.90625" style="133" customWidth="1"/>
    <col min="17" max="17" width="0.7265625" style="133" customWidth="1"/>
    <col min="18" max="18" width="5.6328125" style="133" customWidth="1"/>
    <col min="19" max="19" width="0.7265625" style="133" customWidth="1"/>
    <col min="20" max="20" width="6.6328125" style="133" customWidth="1"/>
    <col min="21" max="21" width="0.26953125" style="133" customWidth="1"/>
    <col min="22" max="16384" width="8.7265625" style="133"/>
  </cols>
  <sheetData>
    <row r="1" spans="1:21" ht="2" customHeight="1">
      <c r="A1" s="131" t="s">
        <v>487</v>
      </c>
      <c r="B1" s="132"/>
      <c r="C1" s="132"/>
      <c r="D1" s="132"/>
      <c r="E1" s="132"/>
      <c r="F1" s="132"/>
      <c r="G1" s="132"/>
      <c r="H1" s="132"/>
      <c r="I1" s="132"/>
      <c r="L1" s="134" t="s">
        <v>1</v>
      </c>
      <c r="M1" s="132"/>
      <c r="N1" s="132"/>
      <c r="O1" s="132"/>
      <c r="P1" s="132"/>
      <c r="Q1" s="132"/>
      <c r="R1" s="132"/>
      <c r="S1" s="132"/>
      <c r="T1" s="132"/>
    </row>
    <row r="2" spans="1:21" ht="12" customHeight="1">
      <c r="A2" s="132"/>
      <c r="B2" s="132"/>
      <c r="C2" s="132"/>
      <c r="D2" s="132"/>
      <c r="E2" s="132"/>
      <c r="F2" s="132"/>
      <c r="G2" s="132"/>
      <c r="H2" s="132"/>
      <c r="I2" s="132"/>
      <c r="L2" s="135" t="s">
        <v>488</v>
      </c>
      <c r="M2" s="132"/>
      <c r="N2" s="132"/>
      <c r="O2" s="132"/>
      <c r="P2" s="132"/>
      <c r="Q2" s="132"/>
      <c r="R2" s="132"/>
      <c r="S2" s="132"/>
      <c r="T2" s="132"/>
    </row>
    <row r="3" spans="1:21" ht="6" customHeight="1">
      <c r="A3" s="132"/>
      <c r="B3" s="132"/>
      <c r="C3" s="132"/>
      <c r="D3" s="132"/>
      <c r="E3" s="132"/>
      <c r="F3" s="132"/>
      <c r="G3" s="132"/>
      <c r="H3" s="132"/>
      <c r="I3" s="132"/>
      <c r="L3" s="135" t="s">
        <v>3</v>
      </c>
      <c r="M3" s="132"/>
      <c r="N3" s="132"/>
      <c r="O3" s="132"/>
      <c r="P3" s="132"/>
      <c r="Q3" s="132"/>
      <c r="R3" s="132"/>
      <c r="S3" s="132"/>
      <c r="T3" s="132"/>
    </row>
    <row r="4" spans="1:21">
      <c r="A4" s="136" t="s">
        <v>1</v>
      </c>
      <c r="B4" s="132"/>
      <c r="C4" s="132"/>
      <c r="D4" s="132"/>
      <c r="E4" s="132"/>
      <c r="F4" s="132"/>
      <c r="G4" s="132"/>
      <c r="H4" s="132"/>
      <c r="I4" s="132"/>
      <c r="L4" s="132"/>
      <c r="M4" s="132"/>
      <c r="N4" s="132"/>
      <c r="O4" s="132"/>
      <c r="P4" s="132"/>
      <c r="Q4" s="132"/>
      <c r="R4" s="132"/>
      <c r="S4" s="132"/>
      <c r="T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L6" s="135" t="s">
        <v>4</v>
      </c>
      <c r="M6" s="132"/>
      <c r="N6" s="132"/>
      <c r="O6" s="132"/>
      <c r="P6" s="132"/>
      <c r="Q6" s="132"/>
      <c r="R6" s="132"/>
      <c r="S6" s="132"/>
      <c r="T6" s="132"/>
    </row>
    <row r="7" spans="1:21">
      <c r="A7" s="137" t="s">
        <v>5</v>
      </c>
      <c r="B7" s="132"/>
      <c r="C7" s="132"/>
      <c r="D7" s="132"/>
      <c r="E7" s="132"/>
      <c r="F7" s="132"/>
      <c r="G7" s="132"/>
      <c r="H7" s="132"/>
      <c r="I7" s="132"/>
      <c r="L7" s="132"/>
      <c r="M7" s="132"/>
      <c r="N7" s="132"/>
      <c r="O7" s="132"/>
      <c r="P7" s="132"/>
      <c r="Q7" s="132"/>
      <c r="R7" s="132"/>
      <c r="S7" s="132"/>
      <c r="T7" s="132"/>
    </row>
    <row r="8" spans="1:21">
      <c r="A8" s="132"/>
      <c r="B8" s="132"/>
      <c r="C8" s="132"/>
      <c r="D8" s="132"/>
      <c r="E8" s="132"/>
      <c r="F8" s="132"/>
      <c r="G8" s="132"/>
      <c r="H8" s="132"/>
      <c r="I8" s="132"/>
      <c r="L8" s="132"/>
      <c r="M8" s="132"/>
      <c r="N8" s="132"/>
      <c r="O8" s="132"/>
      <c r="P8" s="132"/>
      <c r="Q8" s="132"/>
      <c r="R8" s="132"/>
      <c r="S8" s="132"/>
      <c r="T8" s="132"/>
    </row>
    <row r="9" spans="1:21" ht="4" customHeight="1">
      <c r="A9" s="132"/>
      <c r="B9" s="132"/>
      <c r="C9" s="132"/>
      <c r="D9" s="132"/>
      <c r="E9" s="132"/>
      <c r="F9" s="132"/>
      <c r="G9" s="132"/>
      <c r="H9" s="132"/>
      <c r="I9" s="132"/>
    </row>
    <row r="10" spans="1:21" ht="0" hidden="1" customHeight="1"/>
    <row r="11" spans="1:21" ht="12" customHeight="1">
      <c r="A11" s="137" t="s">
        <v>6</v>
      </c>
      <c r="B11" s="132"/>
      <c r="C11" s="132"/>
      <c r="D11" s="132"/>
      <c r="E11" s="132"/>
      <c r="F11" s="132"/>
      <c r="G11" s="132"/>
      <c r="H11" s="132"/>
      <c r="I11" s="132"/>
    </row>
    <row r="12" spans="1:21" ht="0" hidden="1" customHeight="1"/>
    <row r="13" spans="1:21" ht="25" customHeight="1">
      <c r="A13" s="136" t="s">
        <v>1</v>
      </c>
      <c r="B13" s="132"/>
      <c r="C13" s="132"/>
      <c r="D13" s="132"/>
      <c r="E13" s="132"/>
      <c r="F13" s="132"/>
      <c r="G13" s="132"/>
      <c r="H13" s="132"/>
      <c r="I13" s="132"/>
    </row>
    <row r="14" spans="1:21" ht="11" customHeight="1">
      <c r="A14" s="137" t="s">
        <v>489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</row>
    <row r="15" spans="1:21" ht="11" customHeight="1">
      <c r="A15" s="137" t="s">
        <v>490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</row>
    <row r="16" spans="1:21">
      <c r="A16" s="138" t="s">
        <v>1</v>
      </c>
      <c r="B16" s="138" t="s">
        <v>1</v>
      </c>
      <c r="C16" s="138" t="s">
        <v>1</v>
      </c>
      <c r="D16" s="138" t="s">
        <v>1</v>
      </c>
      <c r="E16" s="138" t="s">
        <v>1</v>
      </c>
      <c r="F16" s="138" t="s">
        <v>1</v>
      </c>
      <c r="G16" s="138" t="s">
        <v>1</v>
      </c>
      <c r="H16" s="138" t="s">
        <v>1</v>
      </c>
      <c r="I16" s="139" t="s">
        <v>1</v>
      </c>
      <c r="J16" s="132"/>
      <c r="K16" s="139" t="s">
        <v>1</v>
      </c>
      <c r="L16" s="132"/>
      <c r="M16" s="138" t="s">
        <v>1</v>
      </c>
      <c r="N16" s="138" t="s">
        <v>1</v>
      </c>
      <c r="O16" s="138" t="s">
        <v>1</v>
      </c>
      <c r="P16" s="138" t="s">
        <v>1</v>
      </c>
      <c r="Q16" s="138" t="s">
        <v>1</v>
      </c>
      <c r="R16" s="138" t="s">
        <v>1</v>
      </c>
      <c r="S16" s="140" t="s">
        <v>1</v>
      </c>
      <c r="T16" s="139" t="s">
        <v>1</v>
      </c>
      <c r="U16" s="132"/>
    </row>
    <row r="17" spans="1:21">
      <c r="A17" s="141" t="s">
        <v>1</v>
      </c>
      <c r="B17" s="141" t="s">
        <v>1</v>
      </c>
      <c r="C17" s="142" t="s">
        <v>1</v>
      </c>
      <c r="D17" s="143" t="s">
        <v>8</v>
      </c>
      <c r="E17" s="132"/>
      <c r="F17" s="132"/>
      <c r="G17" s="141" t="s">
        <v>1</v>
      </c>
      <c r="H17" s="141" t="s">
        <v>1</v>
      </c>
      <c r="I17" s="144" t="s">
        <v>1</v>
      </c>
      <c r="J17" s="132"/>
      <c r="K17" s="144" t="s">
        <v>1</v>
      </c>
      <c r="L17" s="132"/>
      <c r="M17" s="142" t="s">
        <v>1</v>
      </c>
      <c r="N17" s="143" t="s">
        <v>9</v>
      </c>
      <c r="O17" s="132"/>
      <c r="P17" s="132"/>
      <c r="Q17" s="141" t="s">
        <v>1</v>
      </c>
      <c r="R17" s="141" t="s">
        <v>1</v>
      </c>
      <c r="S17" s="145" t="s">
        <v>1</v>
      </c>
      <c r="T17" s="144" t="s">
        <v>1</v>
      </c>
      <c r="U17" s="132"/>
    </row>
    <row r="18" spans="1:21">
      <c r="A18" s="146" t="s">
        <v>1</v>
      </c>
      <c r="B18" s="146" t="s">
        <v>1</v>
      </c>
      <c r="C18" s="147" t="s">
        <v>1</v>
      </c>
      <c r="D18" s="147" t="s">
        <v>1</v>
      </c>
      <c r="E18" s="148" t="s">
        <v>1</v>
      </c>
      <c r="F18" s="148" t="s">
        <v>1</v>
      </c>
      <c r="G18" s="146" t="s">
        <v>1</v>
      </c>
      <c r="H18" s="146" t="s">
        <v>1</v>
      </c>
      <c r="I18" s="149" t="s">
        <v>1</v>
      </c>
      <c r="J18" s="132"/>
      <c r="K18" s="149" t="s">
        <v>1</v>
      </c>
      <c r="L18" s="132"/>
      <c r="M18" s="147" t="s">
        <v>1</v>
      </c>
      <c r="N18" s="147" t="s">
        <v>1</v>
      </c>
      <c r="O18" s="148" t="s">
        <v>1</v>
      </c>
      <c r="P18" s="148" t="s">
        <v>1</v>
      </c>
      <c r="Q18" s="146" t="s">
        <v>1</v>
      </c>
      <c r="R18" s="146" t="s">
        <v>1</v>
      </c>
      <c r="S18" s="148" t="s">
        <v>1</v>
      </c>
      <c r="T18" s="149" t="s">
        <v>1</v>
      </c>
      <c r="U18" s="132"/>
    </row>
    <row r="19" spans="1:21">
      <c r="A19" s="150" t="s">
        <v>10</v>
      </c>
      <c r="B19" s="151" t="s">
        <v>11</v>
      </c>
      <c r="C19" s="152" t="s">
        <v>1</v>
      </c>
      <c r="D19" s="152" t="s">
        <v>12</v>
      </c>
      <c r="E19" s="153" t="s">
        <v>1</v>
      </c>
      <c r="F19" s="153" t="s">
        <v>13</v>
      </c>
      <c r="G19" s="152" t="s">
        <v>1</v>
      </c>
      <c r="H19" s="152" t="s">
        <v>491</v>
      </c>
      <c r="I19" s="154" t="s">
        <v>1</v>
      </c>
      <c r="J19" s="132"/>
      <c r="K19" s="193" t="s">
        <v>492</v>
      </c>
      <c r="L19" s="194"/>
      <c r="M19" s="152" t="s">
        <v>1</v>
      </c>
      <c r="N19" s="152" t="s">
        <v>12</v>
      </c>
      <c r="O19" s="153" t="s">
        <v>1</v>
      </c>
      <c r="P19" s="153" t="s">
        <v>13</v>
      </c>
      <c r="Q19" s="152" t="s">
        <v>1</v>
      </c>
      <c r="R19" s="152" t="s">
        <v>491</v>
      </c>
      <c r="S19" s="153" t="s">
        <v>1</v>
      </c>
      <c r="T19" s="193" t="s">
        <v>492</v>
      </c>
      <c r="U19" s="194"/>
    </row>
    <row r="20" spans="1:21">
      <c r="A20" s="155" t="s">
        <v>1</v>
      </c>
      <c r="B20" s="155" t="s">
        <v>1</v>
      </c>
      <c r="C20" s="155" t="s">
        <v>1</v>
      </c>
      <c r="D20" s="155" t="s">
        <v>1</v>
      </c>
      <c r="E20" s="156" t="s">
        <v>1</v>
      </c>
      <c r="F20" s="156" t="s">
        <v>1</v>
      </c>
      <c r="G20" s="155" t="s">
        <v>1</v>
      </c>
      <c r="H20" s="155" t="s">
        <v>1</v>
      </c>
      <c r="I20" s="157" t="s">
        <v>1</v>
      </c>
      <c r="J20" s="158"/>
      <c r="K20" s="157" t="s">
        <v>1</v>
      </c>
      <c r="L20" s="158"/>
      <c r="M20" s="155" t="s">
        <v>1</v>
      </c>
      <c r="N20" s="155" t="s">
        <v>1</v>
      </c>
      <c r="O20" s="159" t="s">
        <v>1</v>
      </c>
      <c r="P20" s="159" t="s">
        <v>1</v>
      </c>
      <c r="Q20" s="160" t="s">
        <v>1</v>
      </c>
      <c r="R20" s="160" t="s">
        <v>1</v>
      </c>
      <c r="S20" s="159" t="s">
        <v>1</v>
      </c>
      <c r="T20" s="195" t="s">
        <v>1</v>
      </c>
      <c r="U20" s="196"/>
    </row>
    <row r="21" spans="1:21">
      <c r="A21" s="161" t="s">
        <v>1</v>
      </c>
      <c r="B21" s="161" t="s">
        <v>1</v>
      </c>
      <c r="C21" s="161" t="s">
        <v>1</v>
      </c>
      <c r="D21" s="161" t="s">
        <v>1</v>
      </c>
      <c r="E21" s="162" t="s">
        <v>1</v>
      </c>
      <c r="F21" s="162" t="s">
        <v>1</v>
      </c>
      <c r="G21" s="161" t="s">
        <v>1</v>
      </c>
      <c r="H21" s="161" t="s">
        <v>1</v>
      </c>
      <c r="I21" s="163" t="s">
        <v>1</v>
      </c>
      <c r="J21" s="132"/>
      <c r="K21" s="163" t="s">
        <v>1</v>
      </c>
      <c r="L21" s="132"/>
      <c r="M21" s="161" t="s">
        <v>1</v>
      </c>
      <c r="N21" s="161" t="s">
        <v>1</v>
      </c>
      <c r="O21" s="164" t="s">
        <v>1</v>
      </c>
      <c r="P21" s="164" t="s">
        <v>1</v>
      </c>
      <c r="Q21" s="165" t="s">
        <v>1</v>
      </c>
      <c r="R21" s="165" t="s">
        <v>1</v>
      </c>
      <c r="S21" s="164" t="s">
        <v>1</v>
      </c>
      <c r="T21" s="197" t="s">
        <v>1</v>
      </c>
      <c r="U21" s="194"/>
    </row>
    <row r="22" spans="1:21">
      <c r="A22" s="166" t="s">
        <v>1</v>
      </c>
      <c r="B22" s="166" t="s">
        <v>1</v>
      </c>
      <c r="C22" s="166" t="s">
        <v>1</v>
      </c>
      <c r="D22" s="166" t="s">
        <v>1</v>
      </c>
      <c r="E22" s="166" t="s">
        <v>1</v>
      </c>
      <c r="F22" s="166" t="s">
        <v>1</v>
      </c>
      <c r="G22" s="166" t="s">
        <v>1</v>
      </c>
      <c r="H22" s="166" t="s">
        <v>1</v>
      </c>
      <c r="I22" s="167" t="s">
        <v>1</v>
      </c>
      <c r="J22" s="132"/>
      <c r="K22" s="167" t="s">
        <v>1</v>
      </c>
      <c r="L22" s="132"/>
      <c r="M22" s="166" t="s">
        <v>1</v>
      </c>
      <c r="N22" s="166" t="s">
        <v>1</v>
      </c>
      <c r="O22" s="168" t="s">
        <v>1</v>
      </c>
      <c r="P22" s="168" t="s">
        <v>1</v>
      </c>
      <c r="Q22" s="168" t="s">
        <v>1</v>
      </c>
      <c r="R22" s="168" t="s">
        <v>1</v>
      </c>
      <c r="S22" s="168" t="s">
        <v>1</v>
      </c>
      <c r="T22" s="198" t="s">
        <v>1</v>
      </c>
      <c r="U22" s="194"/>
    </row>
    <row r="23" spans="1:21">
      <c r="A23" s="169" t="s">
        <v>14</v>
      </c>
      <c r="B23" s="169" t="s">
        <v>15</v>
      </c>
      <c r="C23" s="170" t="s">
        <v>1</v>
      </c>
      <c r="D23" s="169" t="s">
        <v>1</v>
      </c>
      <c r="E23" s="170" t="s">
        <v>1</v>
      </c>
      <c r="F23" s="169" t="s">
        <v>1</v>
      </c>
      <c r="G23" s="170" t="s">
        <v>1</v>
      </c>
      <c r="H23" s="169" t="s">
        <v>1</v>
      </c>
      <c r="I23" s="171" t="s">
        <v>1</v>
      </c>
      <c r="J23" s="132"/>
      <c r="K23" s="172" t="s">
        <v>1</v>
      </c>
      <c r="L23" s="132"/>
      <c r="M23" s="170" t="s">
        <v>1</v>
      </c>
      <c r="N23" s="169" t="s">
        <v>1</v>
      </c>
      <c r="O23" s="170" t="s">
        <v>1</v>
      </c>
      <c r="P23" s="169" t="s">
        <v>1</v>
      </c>
      <c r="Q23" s="170" t="s">
        <v>1</v>
      </c>
      <c r="R23" s="169" t="s">
        <v>1</v>
      </c>
      <c r="S23" s="170" t="s">
        <v>1</v>
      </c>
      <c r="T23" s="199" t="s">
        <v>1</v>
      </c>
      <c r="U23" s="194"/>
    </row>
    <row r="24" spans="1:21">
      <c r="A24" s="173" t="s">
        <v>16</v>
      </c>
      <c r="B24" s="173" t="s">
        <v>17</v>
      </c>
      <c r="C24" s="170" t="s">
        <v>1</v>
      </c>
      <c r="D24" s="173" t="s">
        <v>1</v>
      </c>
      <c r="E24" s="170" t="s">
        <v>1</v>
      </c>
      <c r="F24" s="174">
        <v>160348205.80000001</v>
      </c>
      <c r="G24" s="170" t="s">
        <v>1</v>
      </c>
      <c r="H24" s="173" t="s">
        <v>1</v>
      </c>
      <c r="I24" s="171" t="s">
        <v>1</v>
      </c>
      <c r="J24" s="132"/>
      <c r="K24" s="175" t="s">
        <v>1</v>
      </c>
      <c r="L24" s="132"/>
      <c r="M24" s="170" t="s">
        <v>1</v>
      </c>
      <c r="N24" s="173" t="s">
        <v>1</v>
      </c>
      <c r="O24" s="170" t="s">
        <v>1</v>
      </c>
      <c r="P24" s="174">
        <v>160348205.80000001</v>
      </c>
      <c r="Q24" s="170" t="s">
        <v>1</v>
      </c>
      <c r="R24" s="173" t="s">
        <v>1</v>
      </c>
      <c r="S24" s="170" t="s">
        <v>1</v>
      </c>
      <c r="T24" s="200" t="s">
        <v>1</v>
      </c>
      <c r="U24" s="194"/>
    </row>
    <row r="25" spans="1:21">
      <c r="A25" s="169" t="s">
        <v>18</v>
      </c>
      <c r="B25" s="169" t="s">
        <v>19</v>
      </c>
      <c r="C25" s="170" t="s">
        <v>1</v>
      </c>
      <c r="D25" s="169" t="s">
        <v>1</v>
      </c>
      <c r="E25" s="170" t="s">
        <v>1</v>
      </c>
      <c r="F25" s="176">
        <v>160348205.80000001</v>
      </c>
      <c r="G25" s="170" t="s">
        <v>1</v>
      </c>
      <c r="H25" s="169" t="s">
        <v>1</v>
      </c>
      <c r="I25" s="171" t="s">
        <v>1</v>
      </c>
      <c r="J25" s="132"/>
      <c r="K25" s="172" t="s">
        <v>1</v>
      </c>
      <c r="L25" s="132"/>
      <c r="M25" s="170" t="s">
        <v>1</v>
      </c>
      <c r="N25" s="169" t="s">
        <v>1</v>
      </c>
      <c r="O25" s="170" t="s">
        <v>1</v>
      </c>
      <c r="P25" s="176">
        <v>160348205.80000001</v>
      </c>
      <c r="Q25" s="170" t="s">
        <v>1</v>
      </c>
      <c r="R25" s="169" t="s">
        <v>1</v>
      </c>
      <c r="S25" s="170" t="s">
        <v>1</v>
      </c>
      <c r="T25" s="199" t="s">
        <v>1</v>
      </c>
      <c r="U25" s="194"/>
    </row>
    <row r="26" spans="1:21">
      <c r="A26" s="177" t="s">
        <v>20</v>
      </c>
      <c r="B26" s="177" t="s">
        <v>21</v>
      </c>
      <c r="C26" s="178" t="s">
        <v>1</v>
      </c>
      <c r="D26" s="177" t="s">
        <v>1</v>
      </c>
      <c r="E26" s="178" t="s">
        <v>1</v>
      </c>
      <c r="F26" s="179">
        <v>136228166.40000001</v>
      </c>
      <c r="G26" s="178" t="s">
        <v>1</v>
      </c>
      <c r="H26" s="177" t="s">
        <v>1</v>
      </c>
      <c r="I26" s="180" t="s">
        <v>1</v>
      </c>
      <c r="J26" s="132"/>
      <c r="K26" s="181" t="s">
        <v>1</v>
      </c>
      <c r="L26" s="132"/>
      <c r="M26" s="178" t="s">
        <v>1</v>
      </c>
      <c r="N26" s="177" t="s">
        <v>1</v>
      </c>
      <c r="O26" s="178" t="s">
        <v>1</v>
      </c>
      <c r="P26" s="179">
        <v>136228166.40000001</v>
      </c>
      <c r="Q26" s="178" t="s">
        <v>1</v>
      </c>
      <c r="R26" s="177" t="s">
        <v>1</v>
      </c>
      <c r="S26" s="178" t="s">
        <v>1</v>
      </c>
      <c r="T26" s="201" t="s">
        <v>1</v>
      </c>
      <c r="U26" s="194"/>
    </row>
    <row r="27" spans="1:21">
      <c r="A27" s="182" t="s">
        <v>22</v>
      </c>
      <c r="B27" s="182" t="s">
        <v>23</v>
      </c>
      <c r="C27" s="178" t="s">
        <v>1</v>
      </c>
      <c r="D27" s="182" t="s">
        <v>1</v>
      </c>
      <c r="E27" s="178" t="s">
        <v>1</v>
      </c>
      <c r="F27" s="182" t="s">
        <v>1</v>
      </c>
      <c r="G27" s="178" t="s">
        <v>1</v>
      </c>
      <c r="H27" s="182" t="s">
        <v>1</v>
      </c>
      <c r="I27" s="180" t="s">
        <v>1</v>
      </c>
      <c r="J27" s="132"/>
      <c r="K27" s="183" t="s">
        <v>1</v>
      </c>
      <c r="L27" s="132"/>
      <c r="M27" s="178" t="s">
        <v>1</v>
      </c>
      <c r="N27" s="182" t="s">
        <v>1</v>
      </c>
      <c r="O27" s="178" t="s">
        <v>1</v>
      </c>
      <c r="P27" s="182" t="s">
        <v>1</v>
      </c>
      <c r="Q27" s="178" t="s">
        <v>1</v>
      </c>
      <c r="R27" s="182" t="s">
        <v>1</v>
      </c>
      <c r="S27" s="178" t="s">
        <v>1</v>
      </c>
      <c r="T27" s="202" t="s">
        <v>1</v>
      </c>
      <c r="U27" s="194"/>
    </row>
    <row r="28" spans="1:21">
      <c r="A28" s="177" t="s">
        <v>24</v>
      </c>
      <c r="B28" s="177" t="s">
        <v>25</v>
      </c>
      <c r="C28" s="178" t="s">
        <v>1</v>
      </c>
      <c r="D28" s="177" t="s">
        <v>1</v>
      </c>
      <c r="E28" s="178" t="s">
        <v>1</v>
      </c>
      <c r="F28" s="177" t="s">
        <v>1</v>
      </c>
      <c r="G28" s="178" t="s">
        <v>1</v>
      </c>
      <c r="H28" s="177" t="s">
        <v>1</v>
      </c>
      <c r="I28" s="180" t="s">
        <v>1</v>
      </c>
      <c r="J28" s="132"/>
      <c r="K28" s="181" t="s">
        <v>1</v>
      </c>
      <c r="L28" s="132"/>
      <c r="M28" s="178" t="s">
        <v>1</v>
      </c>
      <c r="N28" s="177" t="s">
        <v>1</v>
      </c>
      <c r="O28" s="178" t="s">
        <v>1</v>
      </c>
      <c r="P28" s="177" t="s">
        <v>1</v>
      </c>
      <c r="Q28" s="178" t="s">
        <v>1</v>
      </c>
      <c r="R28" s="177" t="s">
        <v>1</v>
      </c>
      <c r="S28" s="178" t="s">
        <v>1</v>
      </c>
      <c r="T28" s="201" t="s">
        <v>1</v>
      </c>
      <c r="U28" s="194"/>
    </row>
    <row r="29" spans="1:21">
      <c r="A29" s="182" t="s">
        <v>26</v>
      </c>
      <c r="B29" s="182" t="s">
        <v>27</v>
      </c>
      <c r="C29" s="178" t="s">
        <v>1</v>
      </c>
      <c r="D29" s="182" t="s">
        <v>1</v>
      </c>
      <c r="E29" s="178" t="s">
        <v>1</v>
      </c>
      <c r="F29" s="184">
        <v>315120.25</v>
      </c>
      <c r="G29" s="178" t="s">
        <v>1</v>
      </c>
      <c r="H29" s="182" t="s">
        <v>1</v>
      </c>
      <c r="I29" s="180" t="s">
        <v>1</v>
      </c>
      <c r="J29" s="132"/>
      <c r="K29" s="183" t="s">
        <v>1</v>
      </c>
      <c r="L29" s="132"/>
      <c r="M29" s="178" t="s">
        <v>1</v>
      </c>
      <c r="N29" s="182" t="s">
        <v>1</v>
      </c>
      <c r="O29" s="178" t="s">
        <v>1</v>
      </c>
      <c r="P29" s="184">
        <v>315120.25</v>
      </c>
      <c r="Q29" s="178" t="s">
        <v>1</v>
      </c>
      <c r="R29" s="182" t="s">
        <v>1</v>
      </c>
      <c r="S29" s="178" t="s">
        <v>1</v>
      </c>
      <c r="T29" s="202" t="s">
        <v>1</v>
      </c>
      <c r="U29" s="194"/>
    </row>
    <row r="30" spans="1:21">
      <c r="A30" s="177" t="s">
        <v>28</v>
      </c>
      <c r="B30" s="177" t="s">
        <v>29</v>
      </c>
      <c r="C30" s="178" t="s">
        <v>1</v>
      </c>
      <c r="D30" s="177" t="s">
        <v>1</v>
      </c>
      <c r="E30" s="178" t="s">
        <v>1</v>
      </c>
      <c r="F30" s="179">
        <v>80352</v>
      </c>
      <c r="G30" s="178" t="s">
        <v>1</v>
      </c>
      <c r="H30" s="177" t="s">
        <v>1</v>
      </c>
      <c r="I30" s="180" t="s">
        <v>1</v>
      </c>
      <c r="J30" s="132"/>
      <c r="K30" s="181" t="s">
        <v>1</v>
      </c>
      <c r="L30" s="132"/>
      <c r="M30" s="178" t="s">
        <v>1</v>
      </c>
      <c r="N30" s="177" t="s">
        <v>1</v>
      </c>
      <c r="O30" s="178" t="s">
        <v>1</v>
      </c>
      <c r="P30" s="179">
        <v>80352</v>
      </c>
      <c r="Q30" s="178" t="s">
        <v>1</v>
      </c>
      <c r="R30" s="177" t="s">
        <v>1</v>
      </c>
      <c r="S30" s="178" t="s">
        <v>1</v>
      </c>
      <c r="T30" s="201" t="s">
        <v>1</v>
      </c>
      <c r="U30" s="194"/>
    </row>
    <row r="31" spans="1:21">
      <c r="A31" s="182" t="s">
        <v>30</v>
      </c>
      <c r="B31" s="182" t="s">
        <v>31</v>
      </c>
      <c r="C31" s="178" t="s">
        <v>1</v>
      </c>
      <c r="D31" s="182" t="s">
        <v>1</v>
      </c>
      <c r="E31" s="178" t="s">
        <v>1</v>
      </c>
      <c r="F31" s="184">
        <v>1820452.1</v>
      </c>
      <c r="G31" s="178" t="s">
        <v>1</v>
      </c>
      <c r="H31" s="182" t="s">
        <v>1</v>
      </c>
      <c r="I31" s="180" t="s">
        <v>1</v>
      </c>
      <c r="J31" s="132"/>
      <c r="K31" s="183" t="s">
        <v>1</v>
      </c>
      <c r="L31" s="132"/>
      <c r="M31" s="178" t="s">
        <v>1</v>
      </c>
      <c r="N31" s="182" t="s">
        <v>1</v>
      </c>
      <c r="O31" s="178" t="s">
        <v>1</v>
      </c>
      <c r="P31" s="184">
        <v>1820452.1</v>
      </c>
      <c r="Q31" s="178" t="s">
        <v>1</v>
      </c>
      <c r="R31" s="182" t="s">
        <v>1</v>
      </c>
      <c r="S31" s="178" t="s">
        <v>1</v>
      </c>
      <c r="T31" s="202" t="s">
        <v>1</v>
      </c>
      <c r="U31" s="194"/>
    </row>
    <row r="32" spans="1:21">
      <c r="A32" s="177" t="s">
        <v>32</v>
      </c>
      <c r="B32" s="177" t="s">
        <v>33</v>
      </c>
      <c r="C32" s="178" t="s">
        <v>1</v>
      </c>
      <c r="D32" s="177" t="s">
        <v>1</v>
      </c>
      <c r="E32" s="178" t="s">
        <v>1</v>
      </c>
      <c r="F32" s="177" t="s">
        <v>1</v>
      </c>
      <c r="G32" s="178" t="s">
        <v>1</v>
      </c>
      <c r="H32" s="177" t="s">
        <v>1</v>
      </c>
      <c r="I32" s="180" t="s">
        <v>1</v>
      </c>
      <c r="J32" s="132"/>
      <c r="K32" s="181" t="s">
        <v>1</v>
      </c>
      <c r="L32" s="132"/>
      <c r="M32" s="178" t="s">
        <v>1</v>
      </c>
      <c r="N32" s="177" t="s">
        <v>1</v>
      </c>
      <c r="O32" s="178" t="s">
        <v>1</v>
      </c>
      <c r="P32" s="177" t="s">
        <v>1</v>
      </c>
      <c r="Q32" s="178" t="s">
        <v>1</v>
      </c>
      <c r="R32" s="177" t="s">
        <v>1</v>
      </c>
      <c r="S32" s="178" t="s">
        <v>1</v>
      </c>
      <c r="T32" s="201" t="s">
        <v>1</v>
      </c>
      <c r="U32" s="194"/>
    </row>
    <row r="33" spans="1:21">
      <c r="A33" s="182" t="s">
        <v>34</v>
      </c>
      <c r="B33" s="182" t="s">
        <v>35</v>
      </c>
      <c r="C33" s="178" t="s">
        <v>1</v>
      </c>
      <c r="D33" s="182" t="s">
        <v>1</v>
      </c>
      <c r="E33" s="178" t="s">
        <v>1</v>
      </c>
      <c r="F33" s="182" t="s">
        <v>1</v>
      </c>
      <c r="G33" s="178" t="s">
        <v>1</v>
      </c>
      <c r="H33" s="182" t="s">
        <v>1</v>
      </c>
      <c r="I33" s="180" t="s">
        <v>1</v>
      </c>
      <c r="J33" s="132"/>
      <c r="K33" s="183" t="s">
        <v>1</v>
      </c>
      <c r="L33" s="132"/>
      <c r="M33" s="178" t="s">
        <v>1</v>
      </c>
      <c r="N33" s="182" t="s">
        <v>1</v>
      </c>
      <c r="O33" s="178" t="s">
        <v>1</v>
      </c>
      <c r="P33" s="182" t="s">
        <v>1</v>
      </c>
      <c r="Q33" s="178" t="s">
        <v>1</v>
      </c>
      <c r="R33" s="182" t="s">
        <v>1</v>
      </c>
      <c r="S33" s="178" t="s">
        <v>1</v>
      </c>
      <c r="T33" s="202" t="s">
        <v>1</v>
      </c>
      <c r="U33" s="194"/>
    </row>
    <row r="34" spans="1:21">
      <c r="A34" s="177" t="s">
        <v>36</v>
      </c>
      <c r="B34" s="177" t="s">
        <v>37</v>
      </c>
      <c r="C34" s="178" t="s">
        <v>1</v>
      </c>
      <c r="D34" s="177" t="s">
        <v>1</v>
      </c>
      <c r="E34" s="178" t="s">
        <v>1</v>
      </c>
      <c r="F34" s="177" t="s">
        <v>1</v>
      </c>
      <c r="G34" s="178" t="s">
        <v>1</v>
      </c>
      <c r="H34" s="177" t="s">
        <v>1</v>
      </c>
      <c r="I34" s="180" t="s">
        <v>1</v>
      </c>
      <c r="J34" s="132"/>
      <c r="K34" s="181" t="s">
        <v>1</v>
      </c>
      <c r="L34" s="132"/>
      <c r="M34" s="178" t="s">
        <v>1</v>
      </c>
      <c r="N34" s="177" t="s">
        <v>1</v>
      </c>
      <c r="O34" s="178" t="s">
        <v>1</v>
      </c>
      <c r="P34" s="177" t="s">
        <v>1</v>
      </c>
      <c r="Q34" s="178" t="s">
        <v>1</v>
      </c>
      <c r="R34" s="177" t="s">
        <v>1</v>
      </c>
      <c r="S34" s="178" t="s">
        <v>1</v>
      </c>
      <c r="T34" s="201" t="s">
        <v>1</v>
      </c>
      <c r="U34" s="194"/>
    </row>
    <row r="35" spans="1:21">
      <c r="A35" s="182" t="s">
        <v>38</v>
      </c>
      <c r="B35" s="182" t="s">
        <v>39</v>
      </c>
      <c r="C35" s="178" t="s">
        <v>1</v>
      </c>
      <c r="D35" s="182" t="s">
        <v>1</v>
      </c>
      <c r="E35" s="178" t="s">
        <v>1</v>
      </c>
      <c r="F35" s="182" t="s">
        <v>1</v>
      </c>
      <c r="G35" s="178" t="s">
        <v>1</v>
      </c>
      <c r="H35" s="182" t="s">
        <v>1</v>
      </c>
      <c r="I35" s="180" t="s">
        <v>1</v>
      </c>
      <c r="J35" s="132"/>
      <c r="K35" s="183" t="s">
        <v>1</v>
      </c>
      <c r="L35" s="132"/>
      <c r="M35" s="178" t="s">
        <v>1</v>
      </c>
      <c r="N35" s="182" t="s">
        <v>1</v>
      </c>
      <c r="O35" s="178" t="s">
        <v>1</v>
      </c>
      <c r="P35" s="182" t="s">
        <v>1</v>
      </c>
      <c r="Q35" s="178" t="s">
        <v>1</v>
      </c>
      <c r="R35" s="182" t="s">
        <v>1</v>
      </c>
      <c r="S35" s="178" t="s">
        <v>1</v>
      </c>
      <c r="T35" s="202" t="s">
        <v>1</v>
      </c>
      <c r="U35" s="194"/>
    </row>
    <row r="36" spans="1:21">
      <c r="A36" s="177" t="s">
        <v>40</v>
      </c>
      <c r="B36" s="177" t="s">
        <v>41</v>
      </c>
      <c r="C36" s="178" t="s">
        <v>1</v>
      </c>
      <c r="D36" s="177" t="s">
        <v>1</v>
      </c>
      <c r="E36" s="178" t="s">
        <v>1</v>
      </c>
      <c r="F36" s="177" t="s">
        <v>1</v>
      </c>
      <c r="G36" s="178" t="s">
        <v>1</v>
      </c>
      <c r="H36" s="177" t="s">
        <v>1</v>
      </c>
      <c r="I36" s="180" t="s">
        <v>1</v>
      </c>
      <c r="J36" s="132"/>
      <c r="K36" s="181" t="s">
        <v>1</v>
      </c>
      <c r="L36" s="132"/>
      <c r="M36" s="178" t="s">
        <v>1</v>
      </c>
      <c r="N36" s="177" t="s">
        <v>1</v>
      </c>
      <c r="O36" s="178" t="s">
        <v>1</v>
      </c>
      <c r="P36" s="177" t="s">
        <v>1</v>
      </c>
      <c r="Q36" s="178" t="s">
        <v>1</v>
      </c>
      <c r="R36" s="177" t="s">
        <v>1</v>
      </c>
      <c r="S36" s="178" t="s">
        <v>1</v>
      </c>
      <c r="T36" s="201" t="s">
        <v>1</v>
      </c>
      <c r="U36" s="194"/>
    </row>
    <row r="37" spans="1:21">
      <c r="A37" s="182" t="s">
        <v>42</v>
      </c>
      <c r="B37" s="182" t="s">
        <v>43</v>
      </c>
      <c r="C37" s="178" t="s">
        <v>1</v>
      </c>
      <c r="D37" s="182" t="s">
        <v>1</v>
      </c>
      <c r="E37" s="178" t="s">
        <v>1</v>
      </c>
      <c r="F37" s="184">
        <v>16338550</v>
      </c>
      <c r="G37" s="178" t="s">
        <v>1</v>
      </c>
      <c r="H37" s="182" t="s">
        <v>1</v>
      </c>
      <c r="I37" s="180" t="s">
        <v>1</v>
      </c>
      <c r="J37" s="132"/>
      <c r="K37" s="183" t="s">
        <v>1</v>
      </c>
      <c r="L37" s="132"/>
      <c r="M37" s="178" t="s">
        <v>1</v>
      </c>
      <c r="N37" s="182" t="s">
        <v>1</v>
      </c>
      <c r="O37" s="178" t="s">
        <v>1</v>
      </c>
      <c r="P37" s="184">
        <v>16338550</v>
      </c>
      <c r="Q37" s="178" t="s">
        <v>1</v>
      </c>
      <c r="R37" s="182" t="s">
        <v>1</v>
      </c>
      <c r="S37" s="178" t="s">
        <v>1</v>
      </c>
      <c r="T37" s="202" t="s">
        <v>1</v>
      </c>
      <c r="U37" s="194"/>
    </row>
    <row r="38" spans="1:21">
      <c r="A38" s="177" t="s">
        <v>44</v>
      </c>
      <c r="B38" s="177" t="s">
        <v>45</v>
      </c>
      <c r="C38" s="178" t="s">
        <v>1</v>
      </c>
      <c r="D38" s="177" t="s">
        <v>1</v>
      </c>
      <c r="E38" s="178" t="s">
        <v>1</v>
      </c>
      <c r="F38" s="177" t="s">
        <v>1</v>
      </c>
      <c r="G38" s="178" t="s">
        <v>1</v>
      </c>
      <c r="H38" s="177" t="s">
        <v>1</v>
      </c>
      <c r="I38" s="180" t="s">
        <v>1</v>
      </c>
      <c r="J38" s="132"/>
      <c r="K38" s="181" t="s">
        <v>1</v>
      </c>
      <c r="L38" s="132"/>
      <c r="M38" s="178" t="s">
        <v>1</v>
      </c>
      <c r="N38" s="177" t="s">
        <v>1</v>
      </c>
      <c r="O38" s="178" t="s">
        <v>1</v>
      </c>
      <c r="P38" s="177" t="s">
        <v>1</v>
      </c>
      <c r="Q38" s="178" t="s">
        <v>1</v>
      </c>
      <c r="R38" s="177" t="s">
        <v>1</v>
      </c>
      <c r="S38" s="178" t="s">
        <v>1</v>
      </c>
      <c r="T38" s="201" t="s">
        <v>1</v>
      </c>
      <c r="U38" s="194"/>
    </row>
    <row r="39" spans="1:21">
      <c r="A39" s="182" t="s">
        <v>46</v>
      </c>
      <c r="B39" s="182" t="s">
        <v>47</v>
      </c>
      <c r="C39" s="178" t="s">
        <v>1</v>
      </c>
      <c r="D39" s="182" t="s">
        <v>1</v>
      </c>
      <c r="E39" s="178" t="s">
        <v>1</v>
      </c>
      <c r="F39" s="182" t="s">
        <v>1</v>
      </c>
      <c r="G39" s="178" t="s">
        <v>1</v>
      </c>
      <c r="H39" s="182" t="s">
        <v>1</v>
      </c>
      <c r="I39" s="180" t="s">
        <v>1</v>
      </c>
      <c r="J39" s="132"/>
      <c r="K39" s="183" t="s">
        <v>1</v>
      </c>
      <c r="L39" s="132"/>
      <c r="M39" s="178" t="s">
        <v>1</v>
      </c>
      <c r="N39" s="182" t="s">
        <v>1</v>
      </c>
      <c r="O39" s="178" t="s">
        <v>1</v>
      </c>
      <c r="P39" s="182" t="s">
        <v>1</v>
      </c>
      <c r="Q39" s="178" t="s">
        <v>1</v>
      </c>
      <c r="R39" s="182" t="s">
        <v>1</v>
      </c>
      <c r="S39" s="178" t="s">
        <v>1</v>
      </c>
      <c r="T39" s="202" t="s">
        <v>1</v>
      </c>
      <c r="U39" s="194"/>
    </row>
    <row r="40" spans="1:21">
      <c r="A40" s="177" t="s">
        <v>48</v>
      </c>
      <c r="B40" s="177" t="s">
        <v>49</v>
      </c>
      <c r="C40" s="178" t="s">
        <v>1</v>
      </c>
      <c r="D40" s="177" t="s">
        <v>1</v>
      </c>
      <c r="E40" s="178" t="s">
        <v>1</v>
      </c>
      <c r="F40" s="177" t="s">
        <v>1</v>
      </c>
      <c r="G40" s="178" t="s">
        <v>1</v>
      </c>
      <c r="H40" s="177" t="s">
        <v>1</v>
      </c>
      <c r="I40" s="180" t="s">
        <v>1</v>
      </c>
      <c r="J40" s="132"/>
      <c r="K40" s="181" t="s">
        <v>1</v>
      </c>
      <c r="L40" s="132"/>
      <c r="M40" s="178" t="s">
        <v>1</v>
      </c>
      <c r="N40" s="177" t="s">
        <v>1</v>
      </c>
      <c r="O40" s="178" t="s">
        <v>1</v>
      </c>
      <c r="P40" s="177" t="s">
        <v>1</v>
      </c>
      <c r="Q40" s="178" t="s">
        <v>1</v>
      </c>
      <c r="R40" s="177" t="s">
        <v>1</v>
      </c>
      <c r="S40" s="178" t="s">
        <v>1</v>
      </c>
      <c r="T40" s="201" t="s">
        <v>1</v>
      </c>
      <c r="U40" s="194"/>
    </row>
    <row r="41" spans="1:21">
      <c r="A41" s="182" t="s">
        <v>50</v>
      </c>
      <c r="B41" s="182" t="s">
        <v>51</v>
      </c>
      <c r="C41" s="178" t="s">
        <v>1</v>
      </c>
      <c r="D41" s="182" t="s">
        <v>1</v>
      </c>
      <c r="E41" s="178" t="s">
        <v>1</v>
      </c>
      <c r="F41" s="184">
        <v>4907000</v>
      </c>
      <c r="G41" s="178" t="s">
        <v>1</v>
      </c>
      <c r="H41" s="182" t="s">
        <v>1</v>
      </c>
      <c r="I41" s="180" t="s">
        <v>1</v>
      </c>
      <c r="J41" s="132"/>
      <c r="K41" s="183" t="s">
        <v>1</v>
      </c>
      <c r="L41" s="132"/>
      <c r="M41" s="178" t="s">
        <v>1</v>
      </c>
      <c r="N41" s="182" t="s">
        <v>1</v>
      </c>
      <c r="O41" s="178" t="s">
        <v>1</v>
      </c>
      <c r="P41" s="184">
        <v>4907000</v>
      </c>
      <c r="Q41" s="178" t="s">
        <v>1</v>
      </c>
      <c r="R41" s="182" t="s">
        <v>1</v>
      </c>
      <c r="S41" s="178" t="s">
        <v>1</v>
      </c>
      <c r="T41" s="202" t="s">
        <v>1</v>
      </c>
      <c r="U41" s="194"/>
    </row>
    <row r="42" spans="1:21">
      <c r="A42" s="177" t="s">
        <v>52</v>
      </c>
      <c r="B42" s="177" t="s">
        <v>53</v>
      </c>
      <c r="C42" s="178" t="s">
        <v>1</v>
      </c>
      <c r="D42" s="177" t="s">
        <v>1</v>
      </c>
      <c r="E42" s="178" t="s">
        <v>1</v>
      </c>
      <c r="F42" s="177" t="s">
        <v>1</v>
      </c>
      <c r="G42" s="178" t="s">
        <v>1</v>
      </c>
      <c r="H42" s="177" t="s">
        <v>1</v>
      </c>
      <c r="I42" s="180" t="s">
        <v>1</v>
      </c>
      <c r="J42" s="132"/>
      <c r="K42" s="181" t="s">
        <v>1</v>
      </c>
      <c r="L42" s="132"/>
      <c r="M42" s="178" t="s">
        <v>1</v>
      </c>
      <c r="N42" s="177" t="s">
        <v>1</v>
      </c>
      <c r="O42" s="178" t="s">
        <v>1</v>
      </c>
      <c r="P42" s="177" t="s">
        <v>1</v>
      </c>
      <c r="Q42" s="178" t="s">
        <v>1</v>
      </c>
      <c r="R42" s="177" t="s">
        <v>1</v>
      </c>
      <c r="S42" s="178" t="s">
        <v>1</v>
      </c>
      <c r="T42" s="201" t="s">
        <v>1</v>
      </c>
      <c r="U42" s="194"/>
    </row>
    <row r="43" spans="1:21">
      <c r="A43" s="182" t="s">
        <v>54</v>
      </c>
      <c r="B43" s="182" t="s">
        <v>55</v>
      </c>
      <c r="C43" s="178" t="s">
        <v>1</v>
      </c>
      <c r="D43" s="182" t="s">
        <v>1</v>
      </c>
      <c r="E43" s="178" t="s">
        <v>1</v>
      </c>
      <c r="F43" s="182" t="s">
        <v>1</v>
      </c>
      <c r="G43" s="178" t="s">
        <v>1</v>
      </c>
      <c r="H43" s="182" t="s">
        <v>1</v>
      </c>
      <c r="I43" s="180" t="s">
        <v>1</v>
      </c>
      <c r="J43" s="132"/>
      <c r="K43" s="183" t="s">
        <v>1</v>
      </c>
      <c r="L43" s="132"/>
      <c r="M43" s="178" t="s">
        <v>1</v>
      </c>
      <c r="N43" s="182" t="s">
        <v>1</v>
      </c>
      <c r="O43" s="178" t="s">
        <v>1</v>
      </c>
      <c r="P43" s="182" t="s">
        <v>1</v>
      </c>
      <c r="Q43" s="178" t="s">
        <v>1</v>
      </c>
      <c r="R43" s="182" t="s">
        <v>1</v>
      </c>
      <c r="S43" s="178" t="s">
        <v>1</v>
      </c>
      <c r="T43" s="202" t="s">
        <v>1</v>
      </c>
      <c r="U43" s="194"/>
    </row>
    <row r="44" spans="1:21">
      <c r="A44" s="177" t="s">
        <v>56</v>
      </c>
      <c r="B44" s="177" t="s">
        <v>57</v>
      </c>
      <c r="C44" s="178" t="s">
        <v>1</v>
      </c>
      <c r="D44" s="177" t="s">
        <v>1</v>
      </c>
      <c r="E44" s="178" t="s">
        <v>1</v>
      </c>
      <c r="F44" s="177" t="s">
        <v>1</v>
      </c>
      <c r="G44" s="178" t="s">
        <v>1</v>
      </c>
      <c r="H44" s="177" t="s">
        <v>1</v>
      </c>
      <c r="I44" s="180" t="s">
        <v>1</v>
      </c>
      <c r="J44" s="132"/>
      <c r="K44" s="181" t="s">
        <v>1</v>
      </c>
      <c r="L44" s="132"/>
      <c r="M44" s="178" t="s">
        <v>1</v>
      </c>
      <c r="N44" s="177" t="s">
        <v>1</v>
      </c>
      <c r="O44" s="178" t="s">
        <v>1</v>
      </c>
      <c r="P44" s="177" t="s">
        <v>1</v>
      </c>
      <c r="Q44" s="178" t="s">
        <v>1</v>
      </c>
      <c r="R44" s="177" t="s">
        <v>1</v>
      </c>
      <c r="S44" s="178" t="s">
        <v>1</v>
      </c>
      <c r="T44" s="201" t="s">
        <v>1</v>
      </c>
      <c r="U44" s="194"/>
    </row>
    <row r="45" spans="1:21">
      <c r="A45" s="182" t="s">
        <v>58</v>
      </c>
      <c r="B45" s="182" t="s">
        <v>59</v>
      </c>
      <c r="C45" s="178" t="s">
        <v>1</v>
      </c>
      <c r="D45" s="182" t="s">
        <v>1</v>
      </c>
      <c r="E45" s="178" t="s">
        <v>1</v>
      </c>
      <c r="F45" s="182" t="s">
        <v>1</v>
      </c>
      <c r="G45" s="178" t="s">
        <v>1</v>
      </c>
      <c r="H45" s="182" t="s">
        <v>1</v>
      </c>
      <c r="I45" s="180" t="s">
        <v>1</v>
      </c>
      <c r="J45" s="132"/>
      <c r="K45" s="183" t="s">
        <v>1</v>
      </c>
      <c r="L45" s="132"/>
      <c r="M45" s="178" t="s">
        <v>1</v>
      </c>
      <c r="N45" s="182" t="s">
        <v>1</v>
      </c>
      <c r="O45" s="178" t="s">
        <v>1</v>
      </c>
      <c r="P45" s="182" t="s">
        <v>1</v>
      </c>
      <c r="Q45" s="178" t="s">
        <v>1</v>
      </c>
      <c r="R45" s="182" t="s">
        <v>1</v>
      </c>
      <c r="S45" s="178" t="s">
        <v>1</v>
      </c>
      <c r="T45" s="202" t="s">
        <v>1</v>
      </c>
      <c r="U45" s="194"/>
    </row>
    <row r="46" spans="1:21">
      <c r="A46" s="177" t="s">
        <v>60</v>
      </c>
      <c r="B46" s="177" t="s">
        <v>61</v>
      </c>
      <c r="C46" s="178" t="s">
        <v>1</v>
      </c>
      <c r="D46" s="177" t="s">
        <v>1</v>
      </c>
      <c r="E46" s="178" t="s">
        <v>1</v>
      </c>
      <c r="F46" s="179">
        <v>497934.92</v>
      </c>
      <c r="G46" s="178" t="s">
        <v>1</v>
      </c>
      <c r="H46" s="177" t="s">
        <v>1</v>
      </c>
      <c r="I46" s="180" t="s">
        <v>1</v>
      </c>
      <c r="J46" s="132"/>
      <c r="K46" s="181" t="s">
        <v>1</v>
      </c>
      <c r="L46" s="132"/>
      <c r="M46" s="178" t="s">
        <v>1</v>
      </c>
      <c r="N46" s="177" t="s">
        <v>1</v>
      </c>
      <c r="O46" s="178" t="s">
        <v>1</v>
      </c>
      <c r="P46" s="179">
        <v>497934.92</v>
      </c>
      <c r="Q46" s="178" t="s">
        <v>1</v>
      </c>
      <c r="R46" s="177" t="s">
        <v>1</v>
      </c>
      <c r="S46" s="178" t="s">
        <v>1</v>
      </c>
      <c r="T46" s="201" t="s">
        <v>1</v>
      </c>
      <c r="U46" s="194"/>
    </row>
    <row r="47" spans="1:21">
      <c r="A47" s="182" t="s">
        <v>62</v>
      </c>
      <c r="B47" s="182" t="s">
        <v>63</v>
      </c>
      <c r="C47" s="178" t="s">
        <v>1</v>
      </c>
      <c r="D47" s="182" t="s">
        <v>1</v>
      </c>
      <c r="E47" s="178" t="s">
        <v>1</v>
      </c>
      <c r="F47" s="182" t="s">
        <v>1</v>
      </c>
      <c r="G47" s="178" t="s">
        <v>1</v>
      </c>
      <c r="H47" s="182" t="s">
        <v>1</v>
      </c>
      <c r="I47" s="180" t="s">
        <v>1</v>
      </c>
      <c r="J47" s="132"/>
      <c r="K47" s="183" t="s">
        <v>1</v>
      </c>
      <c r="L47" s="132"/>
      <c r="M47" s="178" t="s">
        <v>1</v>
      </c>
      <c r="N47" s="182" t="s">
        <v>1</v>
      </c>
      <c r="O47" s="178" t="s">
        <v>1</v>
      </c>
      <c r="P47" s="182" t="s">
        <v>1</v>
      </c>
      <c r="Q47" s="178" t="s">
        <v>1</v>
      </c>
      <c r="R47" s="182" t="s">
        <v>1</v>
      </c>
      <c r="S47" s="178" t="s">
        <v>1</v>
      </c>
      <c r="T47" s="202" t="s">
        <v>1</v>
      </c>
      <c r="U47" s="194"/>
    </row>
    <row r="48" spans="1:21">
      <c r="A48" s="177" t="s">
        <v>64</v>
      </c>
      <c r="B48" s="177" t="s">
        <v>65</v>
      </c>
      <c r="C48" s="178" t="s">
        <v>1</v>
      </c>
      <c r="D48" s="177" t="s">
        <v>1</v>
      </c>
      <c r="E48" s="178" t="s">
        <v>1</v>
      </c>
      <c r="F48" s="179">
        <v>65670.13</v>
      </c>
      <c r="G48" s="178" t="s">
        <v>1</v>
      </c>
      <c r="H48" s="177" t="s">
        <v>1</v>
      </c>
      <c r="I48" s="180" t="s">
        <v>1</v>
      </c>
      <c r="J48" s="132"/>
      <c r="K48" s="181" t="s">
        <v>1</v>
      </c>
      <c r="L48" s="132"/>
      <c r="M48" s="178" t="s">
        <v>1</v>
      </c>
      <c r="N48" s="177" t="s">
        <v>1</v>
      </c>
      <c r="O48" s="178" t="s">
        <v>1</v>
      </c>
      <c r="P48" s="179">
        <v>65670.13</v>
      </c>
      <c r="Q48" s="178" t="s">
        <v>1</v>
      </c>
      <c r="R48" s="177" t="s">
        <v>1</v>
      </c>
      <c r="S48" s="178" t="s">
        <v>1</v>
      </c>
      <c r="T48" s="201" t="s">
        <v>1</v>
      </c>
      <c r="U48" s="194"/>
    </row>
    <row r="49" spans="1:21">
      <c r="A49" s="182" t="s">
        <v>66</v>
      </c>
      <c r="B49" s="182" t="s">
        <v>67</v>
      </c>
      <c r="C49" s="178" t="s">
        <v>1</v>
      </c>
      <c r="D49" s="182" t="s">
        <v>1</v>
      </c>
      <c r="E49" s="178" t="s">
        <v>1</v>
      </c>
      <c r="F49" s="184">
        <v>94960</v>
      </c>
      <c r="G49" s="178" t="s">
        <v>1</v>
      </c>
      <c r="H49" s="182" t="s">
        <v>1</v>
      </c>
      <c r="I49" s="180" t="s">
        <v>1</v>
      </c>
      <c r="J49" s="132"/>
      <c r="K49" s="183" t="s">
        <v>1</v>
      </c>
      <c r="L49" s="132"/>
      <c r="M49" s="178" t="s">
        <v>1</v>
      </c>
      <c r="N49" s="182" t="s">
        <v>1</v>
      </c>
      <c r="O49" s="178" t="s">
        <v>1</v>
      </c>
      <c r="P49" s="184">
        <v>94960</v>
      </c>
      <c r="Q49" s="178" t="s">
        <v>1</v>
      </c>
      <c r="R49" s="182" t="s">
        <v>1</v>
      </c>
      <c r="S49" s="178" t="s">
        <v>1</v>
      </c>
      <c r="T49" s="202" t="s">
        <v>1</v>
      </c>
      <c r="U49" s="194"/>
    </row>
    <row r="50" spans="1:21">
      <c r="A50" s="173" t="s">
        <v>68</v>
      </c>
      <c r="B50" s="173" t="s">
        <v>69</v>
      </c>
      <c r="C50" s="170" t="s">
        <v>1</v>
      </c>
      <c r="D50" s="174">
        <v>107472353.81</v>
      </c>
      <c r="E50" s="170" t="s">
        <v>1</v>
      </c>
      <c r="F50" s="173" t="s">
        <v>1</v>
      </c>
      <c r="G50" s="170" t="s">
        <v>1</v>
      </c>
      <c r="H50" s="185">
        <v>58.1299199805499</v>
      </c>
      <c r="I50" s="171" t="s">
        <v>1</v>
      </c>
      <c r="J50" s="132"/>
      <c r="K50" s="186">
        <v>184883023.83000001</v>
      </c>
      <c r="L50" s="132"/>
      <c r="M50" s="170" t="s">
        <v>1</v>
      </c>
      <c r="N50" s="174">
        <v>107472353.81</v>
      </c>
      <c r="O50" s="170" t="s">
        <v>1</v>
      </c>
      <c r="P50" s="173" t="s">
        <v>1</v>
      </c>
      <c r="Q50" s="170" t="s">
        <v>1</v>
      </c>
      <c r="R50" s="185">
        <v>58.1299199805499</v>
      </c>
      <c r="S50" s="170" t="s">
        <v>1</v>
      </c>
      <c r="T50" s="203">
        <v>184883023.83000001</v>
      </c>
      <c r="U50" s="194"/>
    </row>
    <row r="51" spans="1:21">
      <c r="A51" s="169" t="s">
        <v>70</v>
      </c>
      <c r="B51" s="169" t="s">
        <v>71</v>
      </c>
      <c r="C51" s="170" t="s">
        <v>1</v>
      </c>
      <c r="D51" s="176">
        <v>12485878.08</v>
      </c>
      <c r="E51" s="170" t="s">
        <v>1</v>
      </c>
      <c r="F51" s="169" t="s">
        <v>1</v>
      </c>
      <c r="G51" s="170" t="s">
        <v>1</v>
      </c>
      <c r="H51" s="187">
        <v>81.001928724968678</v>
      </c>
      <c r="I51" s="171" t="s">
        <v>1</v>
      </c>
      <c r="J51" s="132"/>
      <c r="K51" s="188">
        <v>15414297.26</v>
      </c>
      <c r="L51" s="132"/>
      <c r="M51" s="170" t="s">
        <v>1</v>
      </c>
      <c r="N51" s="176">
        <v>12485878.08</v>
      </c>
      <c r="O51" s="170" t="s">
        <v>1</v>
      </c>
      <c r="P51" s="169" t="s">
        <v>1</v>
      </c>
      <c r="Q51" s="170" t="s">
        <v>1</v>
      </c>
      <c r="R51" s="187">
        <v>81.001928724968678</v>
      </c>
      <c r="S51" s="170" t="s">
        <v>1</v>
      </c>
      <c r="T51" s="204">
        <v>15414297.26</v>
      </c>
      <c r="U51" s="194"/>
    </row>
    <row r="52" spans="1:21">
      <c r="A52" s="177" t="s">
        <v>72</v>
      </c>
      <c r="B52" s="177" t="s">
        <v>73</v>
      </c>
      <c r="C52" s="178" t="s">
        <v>1</v>
      </c>
      <c r="D52" s="179">
        <v>1908300</v>
      </c>
      <c r="E52" s="178" t="s">
        <v>1</v>
      </c>
      <c r="F52" s="177" t="s">
        <v>1</v>
      </c>
      <c r="G52" s="178" t="s">
        <v>1</v>
      </c>
      <c r="H52" s="189">
        <v>133.44755244755245</v>
      </c>
      <c r="I52" s="180" t="s">
        <v>1</v>
      </c>
      <c r="J52" s="132"/>
      <c r="K52" s="190">
        <v>1430000</v>
      </c>
      <c r="L52" s="132"/>
      <c r="M52" s="178" t="s">
        <v>1</v>
      </c>
      <c r="N52" s="179">
        <v>1908300</v>
      </c>
      <c r="O52" s="178" t="s">
        <v>1</v>
      </c>
      <c r="P52" s="177" t="s">
        <v>1</v>
      </c>
      <c r="Q52" s="178" t="s">
        <v>1</v>
      </c>
      <c r="R52" s="189">
        <v>133.44755244755245</v>
      </c>
      <c r="S52" s="178" t="s">
        <v>1</v>
      </c>
      <c r="T52" s="205">
        <v>1430000</v>
      </c>
      <c r="U52" s="194"/>
    </row>
    <row r="53" spans="1:21">
      <c r="A53" s="182" t="s">
        <v>74</v>
      </c>
      <c r="B53" s="182" t="s">
        <v>75</v>
      </c>
      <c r="C53" s="178" t="s">
        <v>1</v>
      </c>
      <c r="D53" s="182" t="s">
        <v>1</v>
      </c>
      <c r="E53" s="178" t="s">
        <v>1</v>
      </c>
      <c r="F53" s="182" t="s">
        <v>1</v>
      </c>
      <c r="G53" s="178" t="s">
        <v>1</v>
      </c>
      <c r="H53" s="182" t="s">
        <v>1</v>
      </c>
      <c r="I53" s="180" t="s">
        <v>1</v>
      </c>
      <c r="J53" s="132"/>
      <c r="K53" s="191">
        <v>150000</v>
      </c>
      <c r="L53" s="132"/>
      <c r="M53" s="178" t="s">
        <v>1</v>
      </c>
      <c r="N53" s="182" t="s">
        <v>1</v>
      </c>
      <c r="O53" s="178" t="s">
        <v>1</v>
      </c>
      <c r="P53" s="182" t="s">
        <v>1</v>
      </c>
      <c r="Q53" s="178" t="s">
        <v>1</v>
      </c>
      <c r="R53" s="182" t="s">
        <v>1</v>
      </c>
      <c r="S53" s="178" t="s">
        <v>1</v>
      </c>
      <c r="T53" s="206">
        <v>150000</v>
      </c>
      <c r="U53" s="194"/>
    </row>
    <row r="54" spans="1:21">
      <c r="A54" s="177" t="s">
        <v>76</v>
      </c>
      <c r="B54" s="177" t="s">
        <v>77</v>
      </c>
      <c r="C54" s="178" t="s">
        <v>1</v>
      </c>
      <c r="D54" s="179">
        <v>95700</v>
      </c>
      <c r="E54" s="178" t="s">
        <v>1</v>
      </c>
      <c r="F54" s="177" t="s">
        <v>1</v>
      </c>
      <c r="G54" s="178" t="s">
        <v>1</v>
      </c>
      <c r="H54" s="189">
        <v>29.90625</v>
      </c>
      <c r="I54" s="180" t="s">
        <v>1</v>
      </c>
      <c r="J54" s="132"/>
      <c r="K54" s="190">
        <v>320000</v>
      </c>
      <c r="L54" s="132"/>
      <c r="M54" s="178" t="s">
        <v>1</v>
      </c>
      <c r="N54" s="179">
        <v>95700</v>
      </c>
      <c r="O54" s="178" t="s">
        <v>1</v>
      </c>
      <c r="P54" s="177" t="s">
        <v>1</v>
      </c>
      <c r="Q54" s="178" t="s">
        <v>1</v>
      </c>
      <c r="R54" s="189">
        <v>29.90625</v>
      </c>
      <c r="S54" s="178" t="s">
        <v>1</v>
      </c>
      <c r="T54" s="205">
        <v>320000</v>
      </c>
      <c r="U54" s="194"/>
    </row>
    <row r="55" spans="1:21">
      <c r="A55" s="182" t="s">
        <v>78</v>
      </c>
      <c r="B55" s="182" t="s">
        <v>79</v>
      </c>
      <c r="C55" s="178" t="s">
        <v>1</v>
      </c>
      <c r="D55" s="182" t="s">
        <v>1</v>
      </c>
      <c r="E55" s="178" t="s">
        <v>1</v>
      </c>
      <c r="F55" s="182" t="s">
        <v>1</v>
      </c>
      <c r="G55" s="178" t="s">
        <v>1</v>
      </c>
      <c r="H55" s="182" t="s">
        <v>1</v>
      </c>
      <c r="I55" s="180" t="s">
        <v>1</v>
      </c>
      <c r="J55" s="132"/>
      <c r="K55" s="183" t="s">
        <v>1</v>
      </c>
      <c r="L55" s="132"/>
      <c r="M55" s="178" t="s">
        <v>1</v>
      </c>
      <c r="N55" s="182" t="s">
        <v>1</v>
      </c>
      <c r="O55" s="178" t="s">
        <v>1</v>
      </c>
      <c r="P55" s="182" t="s">
        <v>1</v>
      </c>
      <c r="Q55" s="178" t="s">
        <v>1</v>
      </c>
      <c r="R55" s="182" t="s">
        <v>1</v>
      </c>
      <c r="S55" s="178" t="s">
        <v>1</v>
      </c>
      <c r="T55" s="202" t="s">
        <v>1</v>
      </c>
      <c r="U55" s="194"/>
    </row>
    <row r="56" spans="1:21">
      <c r="A56" s="177" t="s">
        <v>80</v>
      </c>
      <c r="B56" s="177" t="s">
        <v>81</v>
      </c>
      <c r="C56" s="178" t="s">
        <v>1</v>
      </c>
      <c r="D56" s="179">
        <v>3724378.15</v>
      </c>
      <c r="E56" s="178" t="s">
        <v>1</v>
      </c>
      <c r="F56" s="177" t="s">
        <v>1</v>
      </c>
      <c r="G56" s="178" t="s">
        <v>1</v>
      </c>
      <c r="H56" s="189">
        <v>77.022925721706301</v>
      </c>
      <c r="I56" s="180" t="s">
        <v>1</v>
      </c>
      <c r="J56" s="132"/>
      <c r="K56" s="190">
        <v>4835415.0599999996</v>
      </c>
      <c r="L56" s="132"/>
      <c r="M56" s="178" t="s">
        <v>1</v>
      </c>
      <c r="N56" s="179">
        <v>3724378.15</v>
      </c>
      <c r="O56" s="178" t="s">
        <v>1</v>
      </c>
      <c r="P56" s="177" t="s">
        <v>1</v>
      </c>
      <c r="Q56" s="178" t="s">
        <v>1</v>
      </c>
      <c r="R56" s="189">
        <v>77.022925721706301</v>
      </c>
      <c r="S56" s="178" t="s">
        <v>1</v>
      </c>
      <c r="T56" s="205">
        <v>4835415.0599999996</v>
      </c>
      <c r="U56" s="194"/>
    </row>
    <row r="57" spans="1:21">
      <c r="A57" s="182" t="s">
        <v>82</v>
      </c>
      <c r="B57" s="182" t="s">
        <v>83</v>
      </c>
      <c r="C57" s="178" t="s">
        <v>1</v>
      </c>
      <c r="D57" s="184">
        <v>2516990.54</v>
      </c>
      <c r="E57" s="178" t="s">
        <v>1</v>
      </c>
      <c r="F57" s="182" t="s">
        <v>1</v>
      </c>
      <c r="G57" s="178" t="s">
        <v>1</v>
      </c>
      <c r="H57" s="192">
        <v>101.20038094909701</v>
      </c>
      <c r="I57" s="180" t="s">
        <v>1</v>
      </c>
      <c r="J57" s="132"/>
      <c r="K57" s="191">
        <v>2487135.44</v>
      </c>
      <c r="L57" s="132"/>
      <c r="M57" s="178" t="s">
        <v>1</v>
      </c>
      <c r="N57" s="184">
        <v>2516990.54</v>
      </c>
      <c r="O57" s="178" t="s">
        <v>1</v>
      </c>
      <c r="P57" s="182" t="s">
        <v>1</v>
      </c>
      <c r="Q57" s="178" t="s">
        <v>1</v>
      </c>
      <c r="R57" s="192">
        <v>101.20038094909701</v>
      </c>
      <c r="S57" s="178" t="s">
        <v>1</v>
      </c>
      <c r="T57" s="206">
        <v>2487135.44</v>
      </c>
      <c r="U57" s="194"/>
    </row>
    <row r="58" spans="1:21">
      <c r="A58" s="177" t="s">
        <v>84</v>
      </c>
      <c r="B58" s="177" t="s">
        <v>85</v>
      </c>
      <c r="C58" s="178" t="s">
        <v>1</v>
      </c>
      <c r="D58" s="179">
        <v>1825891.98</v>
      </c>
      <c r="E58" s="178" t="s">
        <v>1</v>
      </c>
      <c r="F58" s="177" t="s">
        <v>1</v>
      </c>
      <c r="G58" s="178" t="s">
        <v>1</v>
      </c>
      <c r="H58" s="189">
        <v>76.114939207140807</v>
      </c>
      <c r="I58" s="180" t="s">
        <v>1</v>
      </c>
      <c r="J58" s="132"/>
      <c r="K58" s="190">
        <v>2398861.5099999998</v>
      </c>
      <c r="L58" s="132"/>
      <c r="M58" s="178" t="s">
        <v>1</v>
      </c>
      <c r="N58" s="179">
        <v>1825891.98</v>
      </c>
      <c r="O58" s="178" t="s">
        <v>1</v>
      </c>
      <c r="P58" s="177" t="s">
        <v>1</v>
      </c>
      <c r="Q58" s="178" t="s">
        <v>1</v>
      </c>
      <c r="R58" s="189">
        <v>76.114939207140807</v>
      </c>
      <c r="S58" s="178" t="s">
        <v>1</v>
      </c>
      <c r="T58" s="205">
        <v>2398861.5099999998</v>
      </c>
      <c r="U58" s="194"/>
    </row>
    <row r="59" spans="1:21">
      <c r="A59" s="182" t="s">
        <v>86</v>
      </c>
      <c r="B59" s="182" t="s">
        <v>87</v>
      </c>
      <c r="C59" s="178" t="s">
        <v>1</v>
      </c>
      <c r="D59" s="182" t="s">
        <v>1</v>
      </c>
      <c r="E59" s="178" t="s">
        <v>1</v>
      </c>
      <c r="F59" s="182" t="s">
        <v>1</v>
      </c>
      <c r="G59" s="178" t="s">
        <v>1</v>
      </c>
      <c r="H59" s="182" t="s">
        <v>1</v>
      </c>
      <c r="I59" s="180" t="s">
        <v>1</v>
      </c>
      <c r="J59" s="132"/>
      <c r="K59" s="183" t="s">
        <v>1</v>
      </c>
      <c r="L59" s="132"/>
      <c r="M59" s="178" t="s">
        <v>1</v>
      </c>
      <c r="N59" s="182" t="s">
        <v>1</v>
      </c>
      <c r="O59" s="178" t="s">
        <v>1</v>
      </c>
      <c r="P59" s="182" t="s">
        <v>1</v>
      </c>
      <c r="Q59" s="178" t="s">
        <v>1</v>
      </c>
      <c r="R59" s="182" t="s">
        <v>1</v>
      </c>
      <c r="S59" s="178" t="s">
        <v>1</v>
      </c>
      <c r="T59" s="202" t="s">
        <v>1</v>
      </c>
      <c r="U59" s="194"/>
    </row>
    <row r="60" spans="1:21">
      <c r="A60" s="177" t="s">
        <v>88</v>
      </c>
      <c r="B60" s="177" t="s">
        <v>89</v>
      </c>
      <c r="C60" s="178" t="s">
        <v>1</v>
      </c>
      <c r="D60" s="179">
        <v>442770</v>
      </c>
      <c r="E60" s="178" t="s">
        <v>1</v>
      </c>
      <c r="F60" s="177" t="s">
        <v>1</v>
      </c>
      <c r="G60" s="178" t="s">
        <v>1</v>
      </c>
      <c r="H60" s="189">
        <v>88.554000000000002</v>
      </c>
      <c r="I60" s="180" t="s">
        <v>1</v>
      </c>
      <c r="J60" s="132"/>
      <c r="K60" s="190">
        <v>500000</v>
      </c>
      <c r="L60" s="132"/>
      <c r="M60" s="178" t="s">
        <v>1</v>
      </c>
      <c r="N60" s="179">
        <v>442770</v>
      </c>
      <c r="O60" s="178" t="s">
        <v>1</v>
      </c>
      <c r="P60" s="177" t="s">
        <v>1</v>
      </c>
      <c r="Q60" s="178" t="s">
        <v>1</v>
      </c>
      <c r="R60" s="189">
        <v>88.554000000000002</v>
      </c>
      <c r="S60" s="178" t="s">
        <v>1</v>
      </c>
      <c r="T60" s="205">
        <v>500000</v>
      </c>
      <c r="U60" s="194"/>
    </row>
    <row r="61" spans="1:21">
      <c r="A61" s="182" t="s">
        <v>90</v>
      </c>
      <c r="B61" s="182" t="s">
        <v>91</v>
      </c>
      <c r="C61" s="178" t="s">
        <v>1</v>
      </c>
      <c r="D61" s="184">
        <v>1197897.4099999999</v>
      </c>
      <c r="E61" s="178" t="s">
        <v>1</v>
      </c>
      <c r="F61" s="182" t="s">
        <v>1</v>
      </c>
      <c r="G61" s="178" t="s">
        <v>1</v>
      </c>
      <c r="H61" s="192">
        <v>75.202994691551069</v>
      </c>
      <c r="I61" s="180" t="s">
        <v>1</v>
      </c>
      <c r="J61" s="132"/>
      <c r="K61" s="191">
        <v>1592885.25</v>
      </c>
      <c r="L61" s="132"/>
      <c r="M61" s="178" t="s">
        <v>1</v>
      </c>
      <c r="N61" s="184">
        <v>1197897.4099999999</v>
      </c>
      <c r="O61" s="178" t="s">
        <v>1</v>
      </c>
      <c r="P61" s="182" t="s">
        <v>1</v>
      </c>
      <c r="Q61" s="178" t="s">
        <v>1</v>
      </c>
      <c r="R61" s="192">
        <v>75.202994691551069</v>
      </c>
      <c r="S61" s="178" t="s">
        <v>1</v>
      </c>
      <c r="T61" s="206">
        <v>1592885.25</v>
      </c>
      <c r="U61" s="194"/>
    </row>
    <row r="62" spans="1:21">
      <c r="A62" s="177" t="s">
        <v>92</v>
      </c>
      <c r="B62" s="177" t="s">
        <v>93</v>
      </c>
      <c r="C62" s="178" t="s">
        <v>1</v>
      </c>
      <c r="D62" s="179">
        <v>773950</v>
      </c>
      <c r="E62" s="178" t="s">
        <v>1</v>
      </c>
      <c r="F62" s="177" t="s">
        <v>1</v>
      </c>
      <c r="G62" s="178" t="s">
        <v>1</v>
      </c>
      <c r="H62" s="189">
        <v>45.526470588235291</v>
      </c>
      <c r="I62" s="180" t="s">
        <v>1</v>
      </c>
      <c r="J62" s="132"/>
      <c r="K62" s="190">
        <v>1700000</v>
      </c>
      <c r="L62" s="132"/>
      <c r="M62" s="178" t="s">
        <v>1</v>
      </c>
      <c r="N62" s="179">
        <v>773950</v>
      </c>
      <c r="O62" s="178" t="s">
        <v>1</v>
      </c>
      <c r="P62" s="177" t="s">
        <v>1</v>
      </c>
      <c r="Q62" s="178" t="s">
        <v>1</v>
      </c>
      <c r="R62" s="189">
        <v>45.526470588235291</v>
      </c>
      <c r="S62" s="178" t="s">
        <v>1</v>
      </c>
      <c r="T62" s="205">
        <v>1700000</v>
      </c>
      <c r="U62" s="194"/>
    </row>
    <row r="63" spans="1:21">
      <c r="A63" s="169" t="s">
        <v>94</v>
      </c>
      <c r="B63" s="169" t="s">
        <v>95</v>
      </c>
      <c r="C63" s="170" t="s">
        <v>1</v>
      </c>
      <c r="D63" s="169" t="s">
        <v>1</v>
      </c>
      <c r="E63" s="170" t="s">
        <v>1</v>
      </c>
      <c r="F63" s="169" t="s">
        <v>1</v>
      </c>
      <c r="G63" s="170" t="s">
        <v>1</v>
      </c>
      <c r="H63" s="169" t="s">
        <v>1</v>
      </c>
      <c r="I63" s="171" t="s">
        <v>1</v>
      </c>
      <c r="J63" s="132"/>
      <c r="K63" s="172" t="s">
        <v>1</v>
      </c>
      <c r="L63" s="132"/>
      <c r="M63" s="170" t="s">
        <v>1</v>
      </c>
      <c r="N63" s="169" t="s">
        <v>1</v>
      </c>
      <c r="O63" s="170" t="s">
        <v>1</v>
      </c>
      <c r="P63" s="169" t="s">
        <v>1</v>
      </c>
      <c r="Q63" s="170" t="s">
        <v>1</v>
      </c>
      <c r="R63" s="169" t="s">
        <v>1</v>
      </c>
      <c r="S63" s="170" t="s">
        <v>1</v>
      </c>
      <c r="T63" s="199" t="s">
        <v>1</v>
      </c>
      <c r="U63" s="194"/>
    </row>
    <row r="64" spans="1:21">
      <c r="A64" s="177" t="s">
        <v>96</v>
      </c>
      <c r="B64" s="177" t="s">
        <v>97</v>
      </c>
      <c r="C64" s="178" t="s">
        <v>1</v>
      </c>
      <c r="D64" s="177" t="s">
        <v>1</v>
      </c>
      <c r="E64" s="178" t="s">
        <v>1</v>
      </c>
      <c r="F64" s="177" t="s">
        <v>1</v>
      </c>
      <c r="G64" s="178" t="s">
        <v>1</v>
      </c>
      <c r="H64" s="177" t="s">
        <v>1</v>
      </c>
      <c r="I64" s="180" t="s">
        <v>1</v>
      </c>
      <c r="J64" s="132"/>
      <c r="K64" s="181" t="s">
        <v>1</v>
      </c>
      <c r="L64" s="132"/>
      <c r="M64" s="178" t="s">
        <v>1</v>
      </c>
      <c r="N64" s="177" t="s">
        <v>1</v>
      </c>
      <c r="O64" s="178" t="s">
        <v>1</v>
      </c>
      <c r="P64" s="177" t="s">
        <v>1</v>
      </c>
      <c r="Q64" s="178" t="s">
        <v>1</v>
      </c>
      <c r="R64" s="177" t="s">
        <v>1</v>
      </c>
      <c r="S64" s="178" t="s">
        <v>1</v>
      </c>
      <c r="T64" s="201" t="s">
        <v>1</v>
      </c>
      <c r="U64" s="194"/>
    </row>
    <row r="65" spans="1:21">
      <c r="A65" s="182" t="s">
        <v>98</v>
      </c>
      <c r="B65" s="182" t="s">
        <v>99</v>
      </c>
      <c r="C65" s="178" t="s">
        <v>1</v>
      </c>
      <c r="D65" s="182" t="s">
        <v>1</v>
      </c>
      <c r="E65" s="178" t="s">
        <v>1</v>
      </c>
      <c r="F65" s="182" t="s">
        <v>1</v>
      </c>
      <c r="G65" s="178" t="s">
        <v>1</v>
      </c>
      <c r="H65" s="182" t="s">
        <v>1</v>
      </c>
      <c r="I65" s="180" t="s">
        <v>1</v>
      </c>
      <c r="J65" s="132"/>
      <c r="K65" s="183" t="s">
        <v>1</v>
      </c>
      <c r="L65" s="132"/>
      <c r="M65" s="178" t="s">
        <v>1</v>
      </c>
      <c r="N65" s="182" t="s">
        <v>1</v>
      </c>
      <c r="O65" s="178" t="s">
        <v>1</v>
      </c>
      <c r="P65" s="182" t="s">
        <v>1</v>
      </c>
      <c r="Q65" s="178" t="s">
        <v>1</v>
      </c>
      <c r="R65" s="182" t="s">
        <v>1</v>
      </c>
      <c r="S65" s="178" t="s">
        <v>1</v>
      </c>
      <c r="T65" s="202" t="s">
        <v>1</v>
      </c>
      <c r="U65" s="194"/>
    </row>
    <row r="66" spans="1:21">
      <c r="A66" s="177" t="s">
        <v>100</v>
      </c>
      <c r="B66" s="177" t="s">
        <v>77</v>
      </c>
      <c r="C66" s="178" t="s">
        <v>1</v>
      </c>
      <c r="D66" s="177" t="s">
        <v>1</v>
      </c>
      <c r="E66" s="178" t="s">
        <v>1</v>
      </c>
      <c r="F66" s="177" t="s">
        <v>1</v>
      </c>
      <c r="G66" s="178" t="s">
        <v>1</v>
      </c>
      <c r="H66" s="177" t="s">
        <v>1</v>
      </c>
      <c r="I66" s="180" t="s">
        <v>1</v>
      </c>
      <c r="J66" s="132"/>
      <c r="K66" s="181" t="s">
        <v>1</v>
      </c>
      <c r="L66" s="132"/>
      <c r="M66" s="178" t="s">
        <v>1</v>
      </c>
      <c r="N66" s="177" t="s">
        <v>1</v>
      </c>
      <c r="O66" s="178" t="s">
        <v>1</v>
      </c>
      <c r="P66" s="177" t="s">
        <v>1</v>
      </c>
      <c r="Q66" s="178" t="s">
        <v>1</v>
      </c>
      <c r="R66" s="177" t="s">
        <v>1</v>
      </c>
      <c r="S66" s="178" t="s">
        <v>1</v>
      </c>
      <c r="T66" s="201" t="s">
        <v>1</v>
      </c>
      <c r="U66" s="194"/>
    </row>
    <row r="67" spans="1:21">
      <c r="A67" s="182" t="s">
        <v>101</v>
      </c>
      <c r="B67" s="182" t="s">
        <v>79</v>
      </c>
      <c r="C67" s="178" t="s">
        <v>1</v>
      </c>
      <c r="D67" s="182" t="s">
        <v>1</v>
      </c>
      <c r="E67" s="178" t="s">
        <v>1</v>
      </c>
      <c r="F67" s="182" t="s">
        <v>1</v>
      </c>
      <c r="G67" s="178" t="s">
        <v>1</v>
      </c>
      <c r="H67" s="182" t="s">
        <v>1</v>
      </c>
      <c r="I67" s="180" t="s">
        <v>1</v>
      </c>
      <c r="J67" s="132"/>
      <c r="K67" s="183" t="s">
        <v>1</v>
      </c>
      <c r="L67" s="132"/>
      <c r="M67" s="178" t="s">
        <v>1</v>
      </c>
      <c r="N67" s="182" t="s">
        <v>1</v>
      </c>
      <c r="O67" s="178" t="s">
        <v>1</v>
      </c>
      <c r="P67" s="182" t="s">
        <v>1</v>
      </c>
      <c r="Q67" s="178" t="s">
        <v>1</v>
      </c>
      <c r="R67" s="182" t="s">
        <v>1</v>
      </c>
      <c r="S67" s="178" t="s">
        <v>1</v>
      </c>
      <c r="T67" s="202" t="s">
        <v>1</v>
      </c>
      <c r="U67" s="194"/>
    </row>
    <row r="68" spans="1:21">
      <c r="A68" s="173" t="s">
        <v>102</v>
      </c>
      <c r="B68" s="173" t="s">
        <v>103</v>
      </c>
      <c r="C68" s="170" t="s">
        <v>1</v>
      </c>
      <c r="D68" s="173" t="s">
        <v>1</v>
      </c>
      <c r="E68" s="170" t="s">
        <v>1</v>
      </c>
      <c r="F68" s="173" t="s">
        <v>1</v>
      </c>
      <c r="G68" s="170" t="s">
        <v>1</v>
      </c>
      <c r="H68" s="173" t="s">
        <v>1</v>
      </c>
      <c r="I68" s="171" t="s">
        <v>1</v>
      </c>
      <c r="J68" s="132"/>
      <c r="K68" s="175" t="s">
        <v>1</v>
      </c>
      <c r="L68" s="132"/>
      <c r="M68" s="170" t="s">
        <v>1</v>
      </c>
      <c r="N68" s="173" t="s">
        <v>1</v>
      </c>
      <c r="O68" s="170" t="s">
        <v>1</v>
      </c>
      <c r="P68" s="173" t="s">
        <v>1</v>
      </c>
      <c r="Q68" s="170" t="s">
        <v>1</v>
      </c>
      <c r="R68" s="173" t="s">
        <v>1</v>
      </c>
      <c r="S68" s="170" t="s">
        <v>1</v>
      </c>
      <c r="T68" s="200" t="s">
        <v>1</v>
      </c>
      <c r="U68" s="194"/>
    </row>
    <row r="69" spans="1:21">
      <c r="A69" s="182" t="s">
        <v>104</v>
      </c>
      <c r="B69" s="182" t="s">
        <v>97</v>
      </c>
      <c r="C69" s="178" t="s">
        <v>1</v>
      </c>
      <c r="D69" s="182" t="s">
        <v>1</v>
      </c>
      <c r="E69" s="178" t="s">
        <v>1</v>
      </c>
      <c r="F69" s="182" t="s">
        <v>1</v>
      </c>
      <c r="G69" s="178" t="s">
        <v>1</v>
      </c>
      <c r="H69" s="182" t="s">
        <v>1</v>
      </c>
      <c r="I69" s="180" t="s">
        <v>1</v>
      </c>
      <c r="J69" s="132"/>
      <c r="K69" s="183" t="s">
        <v>1</v>
      </c>
      <c r="L69" s="132"/>
      <c r="M69" s="178" t="s">
        <v>1</v>
      </c>
      <c r="N69" s="182" t="s">
        <v>1</v>
      </c>
      <c r="O69" s="178" t="s">
        <v>1</v>
      </c>
      <c r="P69" s="182" t="s">
        <v>1</v>
      </c>
      <c r="Q69" s="178" t="s">
        <v>1</v>
      </c>
      <c r="R69" s="182" t="s">
        <v>1</v>
      </c>
      <c r="S69" s="178" t="s">
        <v>1</v>
      </c>
      <c r="T69" s="202" t="s">
        <v>1</v>
      </c>
      <c r="U69" s="194"/>
    </row>
    <row r="70" spans="1:21">
      <c r="A70" s="177" t="s">
        <v>105</v>
      </c>
      <c r="B70" s="177" t="s">
        <v>99</v>
      </c>
      <c r="C70" s="178" t="s">
        <v>1</v>
      </c>
      <c r="D70" s="177" t="s">
        <v>1</v>
      </c>
      <c r="E70" s="178" t="s">
        <v>1</v>
      </c>
      <c r="F70" s="177" t="s">
        <v>1</v>
      </c>
      <c r="G70" s="178" t="s">
        <v>1</v>
      </c>
      <c r="H70" s="177" t="s">
        <v>1</v>
      </c>
      <c r="I70" s="180" t="s">
        <v>1</v>
      </c>
      <c r="J70" s="132"/>
      <c r="K70" s="181" t="s">
        <v>1</v>
      </c>
      <c r="L70" s="132"/>
      <c r="M70" s="178" t="s">
        <v>1</v>
      </c>
      <c r="N70" s="177" t="s">
        <v>1</v>
      </c>
      <c r="O70" s="178" t="s">
        <v>1</v>
      </c>
      <c r="P70" s="177" t="s">
        <v>1</v>
      </c>
      <c r="Q70" s="178" t="s">
        <v>1</v>
      </c>
      <c r="R70" s="177" t="s">
        <v>1</v>
      </c>
      <c r="S70" s="178" t="s">
        <v>1</v>
      </c>
      <c r="T70" s="201" t="s">
        <v>1</v>
      </c>
      <c r="U70" s="194"/>
    </row>
    <row r="71" spans="1:21">
      <c r="A71" s="182" t="s">
        <v>106</v>
      </c>
      <c r="B71" s="182" t="s">
        <v>107</v>
      </c>
      <c r="C71" s="178" t="s">
        <v>1</v>
      </c>
      <c r="D71" s="182" t="s">
        <v>1</v>
      </c>
      <c r="E71" s="178" t="s">
        <v>1</v>
      </c>
      <c r="F71" s="182" t="s">
        <v>1</v>
      </c>
      <c r="G71" s="178" t="s">
        <v>1</v>
      </c>
      <c r="H71" s="182" t="s">
        <v>1</v>
      </c>
      <c r="I71" s="180" t="s">
        <v>1</v>
      </c>
      <c r="J71" s="132"/>
      <c r="K71" s="183" t="s">
        <v>1</v>
      </c>
      <c r="L71" s="132"/>
      <c r="M71" s="178" t="s">
        <v>1</v>
      </c>
      <c r="N71" s="182" t="s">
        <v>1</v>
      </c>
      <c r="O71" s="178" t="s">
        <v>1</v>
      </c>
      <c r="P71" s="182" t="s">
        <v>1</v>
      </c>
      <c r="Q71" s="178" t="s">
        <v>1</v>
      </c>
      <c r="R71" s="182" t="s">
        <v>1</v>
      </c>
      <c r="S71" s="178" t="s">
        <v>1</v>
      </c>
      <c r="T71" s="202" t="s">
        <v>1</v>
      </c>
      <c r="U71" s="194"/>
    </row>
    <row r="72" spans="1:21">
      <c r="A72" s="177" t="s">
        <v>108</v>
      </c>
      <c r="B72" s="177" t="s">
        <v>79</v>
      </c>
      <c r="C72" s="178" t="s">
        <v>1</v>
      </c>
      <c r="D72" s="177" t="s">
        <v>1</v>
      </c>
      <c r="E72" s="178" t="s">
        <v>1</v>
      </c>
      <c r="F72" s="177" t="s">
        <v>1</v>
      </c>
      <c r="G72" s="178" t="s">
        <v>1</v>
      </c>
      <c r="H72" s="177" t="s">
        <v>1</v>
      </c>
      <c r="I72" s="180" t="s">
        <v>1</v>
      </c>
      <c r="J72" s="132"/>
      <c r="K72" s="181" t="s">
        <v>1</v>
      </c>
      <c r="L72" s="132"/>
      <c r="M72" s="178" t="s">
        <v>1</v>
      </c>
      <c r="N72" s="177" t="s">
        <v>1</v>
      </c>
      <c r="O72" s="178" t="s">
        <v>1</v>
      </c>
      <c r="P72" s="177" t="s">
        <v>1</v>
      </c>
      <c r="Q72" s="178" t="s">
        <v>1</v>
      </c>
      <c r="R72" s="177" t="s">
        <v>1</v>
      </c>
      <c r="S72" s="178" t="s">
        <v>1</v>
      </c>
      <c r="T72" s="201" t="s">
        <v>1</v>
      </c>
      <c r="U72" s="194"/>
    </row>
    <row r="73" spans="1:21">
      <c r="A73" s="182" t="s">
        <v>109</v>
      </c>
      <c r="B73" s="182" t="s">
        <v>81</v>
      </c>
      <c r="C73" s="178" t="s">
        <v>1</v>
      </c>
      <c r="D73" s="182" t="s">
        <v>1</v>
      </c>
      <c r="E73" s="178" t="s">
        <v>1</v>
      </c>
      <c r="F73" s="182" t="s">
        <v>1</v>
      </c>
      <c r="G73" s="178" t="s">
        <v>1</v>
      </c>
      <c r="H73" s="182" t="s">
        <v>1</v>
      </c>
      <c r="I73" s="180" t="s">
        <v>1</v>
      </c>
      <c r="J73" s="132"/>
      <c r="K73" s="183" t="s">
        <v>1</v>
      </c>
      <c r="L73" s="132"/>
      <c r="M73" s="178" t="s">
        <v>1</v>
      </c>
      <c r="N73" s="182" t="s">
        <v>1</v>
      </c>
      <c r="O73" s="178" t="s">
        <v>1</v>
      </c>
      <c r="P73" s="182" t="s">
        <v>1</v>
      </c>
      <c r="Q73" s="178" t="s">
        <v>1</v>
      </c>
      <c r="R73" s="182" t="s">
        <v>1</v>
      </c>
      <c r="S73" s="178" t="s">
        <v>1</v>
      </c>
      <c r="T73" s="202" t="s">
        <v>1</v>
      </c>
      <c r="U73" s="194"/>
    </row>
    <row r="74" spans="1:21">
      <c r="A74" s="177" t="s">
        <v>110</v>
      </c>
      <c r="B74" s="177" t="s">
        <v>111</v>
      </c>
      <c r="C74" s="178" t="s">
        <v>1</v>
      </c>
      <c r="D74" s="177" t="s">
        <v>1</v>
      </c>
      <c r="E74" s="178" t="s">
        <v>1</v>
      </c>
      <c r="F74" s="177" t="s">
        <v>1</v>
      </c>
      <c r="G74" s="178" t="s">
        <v>1</v>
      </c>
      <c r="H74" s="177" t="s">
        <v>1</v>
      </c>
      <c r="I74" s="180" t="s">
        <v>1</v>
      </c>
      <c r="J74" s="132"/>
      <c r="K74" s="181" t="s">
        <v>1</v>
      </c>
      <c r="L74" s="132"/>
      <c r="M74" s="178" t="s">
        <v>1</v>
      </c>
      <c r="N74" s="177" t="s">
        <v>1</v>
      </c>
      <c r="O74" s="178" t="s">
        <v>1</v>
      </c>
      <c r="P74" s="177" t="s">
        <v>1</v>
      </c>
      <c r="Q74" s="178" t="s">
        <v>1</v>
      </c>
      <c r="R74" s="177" t="s">
        <v>1</v>
      </c>
      <c r="S74" s="178" t="s">
        <v>1</v>
      </c>
      <c r="T74" s="201" t="s">
        <v>1</v>
      </c>
      <c r="U74" s="194"/>
    </row>
    <row r="75" spans="1:21">
      <c r="A75" s="182" t="s">
        <v>112</v>
      </c>
      <c r="B75" s="182" t="s">
        <v>113</v>
      </c>
      <c r="C75" s="178" t="s">
        <v>1</v>
      </c>
      <c r="D75" s="182" t="s">
        <v>1</v>
      </c>
      <c r="E75" s="178" t="s">
        <v>1</v>
      </c>
      <c r="F75" s="182" t="s">
        <v>1</v>
      </c>
      <c r="G75" s="178" t="s">
        <v>1</v>
      </c>
      <c r="H75" s="182" t="s">
        <v>1</v>
      </c>
      <c r="I75" s="180" t="s">
        <v>1</v>
      </c>
      <c r="J75" s="132"/>
      <c r="K75" s="183" t="s">
        <v>1</v>
      </c>
      <c r="L75" s="132"/>
      <c r="M75" s="178" t="s">
        <v>1</v>
      </c>
      <c r="N75" s="182" t="s">
        <v>1</v>
      </c>
      <c r="O75" s="178" t="s">
        <v>1</v>
      </c>
      <c r="P75" s="182" t="s">
        <v>1</v>
      </c>
      <c r="Q75" s="178" t="s">
        <v>1</v>
      </c>
      <c r="R75" s="182" t="s">
        <v>1</v>
      </c>
      <c r="S75" s="178" t="s">
        <v>1</v>
      </c>
      <c r="T75" s="202" t="s">
        <v>1</v>
      </c>
      <c r="U75" s="194"/>
    </row>
    <row r="76" spans="1:21" ht="19">
      <c r="A76" s="173" t="s">
        <v>114</v>
      </c>
      <c r="B76" s="173" t="s">
        <v>115</v>
      </c>
      <c r="C76" s="170" t="s">
        <v>1</v>
      </c>
      <c r="D76" s="174">
        <v>5937981.0599999996</v>
      </c>
      <c r="E76" s="170" t="s">
        <v>1</v>
      </c>
      <c r="F76" s="173" t="s">
        <v>1</v>
      </c>
      <c r="G76" s="170" t="s">
        <v>1</v>
      </c>
      <c r="H76" s="185">
        <v>58.291449660968169</v>
      </c>
      <c r="I76" s="171" t="s">
        <v>1</v>
      </c>
      <c r="J76" s="132"/>
      <c r="K76" s="186">
        <v>10186710.220000001</v>
      </c>
      <c r="L76" s="132"/>
      <c r="M76" s="170" t="s">
        <v>1</v>
      </c>
      <c r="N76" s="174">
        <v>5937981.0599999996</v>
      </c>
      <c r="O76" s="170" t="s">
        <v>1</v>
      </c>
      <c r="P76" s="173" t="s">
        <v>1</v>
      </c>
      <c r="Q76" s="170" t="s">
        <v>1</v>
      </c>
      <c r="R76" s="185">
        <v>58.291449660968169</v>
      </c>
      <c r="S76" s="170" t="s">
        <v>1</v>
      </c>
      <c r="T76" s="203">
        <v>10186710.220000001</v>
      </c>
      <c r="U76" s="194"/>
    </row>
    <row r="77" spans="1:21">
      <c r="A77" s="182" t="s">
        <v>116</v>
      </c>
      <c r="B77" s="182" t="s">
        <v>97</v>
      </c>
      <c r="C77" s="178" t="s">
        <v>1</v>
      </c>
      <c r="D77" s="184">
        <v>538900</v>
      </c>
      <c r="E77" s="178" t="s">
        <v>1</v>
      </c>
      <c r="F77" s="182" t="s">
        <v>1</v>
      </c>
      <c r="G77" s="178" t="s">
        <v>1</v>
      </c>
      <c r="H77" s="192">
        <v>182.67796610169492</v>
      </c>
      <c r="I77" s="180" t="s">
        <v>1</v>
      </c>
      <c r="J77" s="132"/>
      <c r="K77" s="191">
        <v>295000</v>
      </c>
      <c r="L77" s="132"/>
      <c r="M77" s="178" t="s">
        <v>1</v>
      </c>
      <c r="N77" s="184">
        <v>538900</v>
      </c>
      <c r="O77" s="178" t="s">
        <v>1</v>
      </c>
      <c r="P77" s="182" t="s">
        <v>1</v>
      </c>
      <c r="Q77" s="178" t="s">
        <v>1</v>
      </c>
      <c r="R77" s="192">
        <v>182.67796610169492</v>
      </c>
      <c r="S77" s="178" t="s">
        <v>1</v>
      </c>
      <c r="T77" s="206">
        <v>295000</v>
      </c>
      <c r="U77" s="194"/>
    </row>
    <row r="78" spans="1:21">
      <c r="A78" s="177" t="s">
        <v>117</v>
      </c>
      <c r="B78" s="177" t="s">
        <v>99</v>
      </c>
      <c r="C78" s="178" t="s">
        <v>1</v>
      </c>
      <c r="D78" s="179">
        <v>616688</v>
      </c>
      <c r="E78" s="178" t="s">
        <v>1</v>
      </c>
      <c r="F78" s="177" t="s">
        <v>1</v>
      </c>
      <c r="G78" s="178" t="s">
        <v>1</v>
      </c>
      <c r="H78" s="189">
        <v>32.219853709508882</v>
      </c>
      <c r="I78" s="180" t="s">
        <v>1</v>
      </c>
      <c r="J78" s="132"/>
      <c r="K78" s="190">
        <v>1914000</v>
      </c>
      <c r="L78" s="132"/>
      <c r="M78" s="178" t="s">
        <v>1</v>
      </c>
      <c r="N78" s="179">
        <v>616688</v>
      </c>
      <c r="O78" s="178" t="s">
        <v>1</v>
      </c>
      <c r="P78" s="177" t="s">
        <v>1</v>
      </c>
      <c r="Q78" s="178" t="s">
        <v>1</v>
      </c>
      <c r="R78" s="189">
        <v>32.219853709508882</v>
      </c>
      <c r="S78" s="178" t="s">
        <v>1</v>
      </c>
      <c r="T78" s="205">
        <v>1914000</v>
      </c>
      <c r="U78" s="194"/>
    </row>
    <row r="79" spans="1:21">
      <c r="A79" s="182" t="s">
        <v>118</v>
      </c>
      <c r="B79" s="182" t="s">
        <v>107</v>
      </c>
      <c r="C79" s="178" t="s">
        <v>1</v>
      </c>
      <c r="D79" s="184">
        <v>211710.02</v>
      </c>
      <c r="E79" s="178" t="s">
        <v>1</v>
      </c>
      <c r="F79" s="182" t="s">
        <v>1</v>
      </c>
      <c r="G79" s="178" t="s">
        <v>1</v>
      </c>
      <c r="H79" s="192">
        <v>88.212508333333332</v>
      </c>
      <c r="I79" s="180" t="s">
        <v>1</v>
      </c>
      <c r="J79" s="132"/>
      <c r="K79" s="191">
        <v>240000</v>
      </c>
      <c r="L79" s="132"/>
      <c r="M79" s="178" t="s">
        <v>1</v>
      </c>
      <c r="N79" s="184">
        <v>211710.02</v>
      </c>
      <c r="O79" s="178" t="s">
        <v>1</v>
      </c>
      <c r="P79" s="182" t="s">
        <v>1</v>
      </c>
      <c r="Q79" s="178" t="s">
        <v>1</v>
      </c>
      <c r="R79" s="192">
        <v>88.212508333333332</v>
      </c>
      <c r="S79" s="178" t="s">
        <v>1</v>
      </c>
      <c r="T79" s="206">
        <v>240000</v>
      </c>
      <c r="U79" s="194"/>
    </row>
    <row r="80" spans="1:21">
      <c r="A80" s="177" t="s">
        <v>119</v>
      </c>
      <c r="B80" s="177" t="s">
        <v>79</v>
      </c>
      <c r="C80" s="178" t="s">
        <v>1</v>
      </c>
      <c r="D80" s="179">
        <v>126672</v>
      </c>
      <c r="E80" s="178" t="s">
        <v>1</v>
      </c>
      <c r="F80" s="177" t="s">
        <v>1</v>
      </c>
      <c r="G80" s="178" t="s">
        <v>1</v>
      </c>
      <c r="H80" s="189">
        <v>22.989473684210527</v>
      </c>
      <c r="I80" s="180" t="s">
        <v>1</v>
      </c>
      <c r="J80" s="132"/>
      <c r="K80" s="190">
        <v>551000</v>
      </c>
      <c r="L80" s="132"/>
      <c r="M80" s="178" t="s">
        <v>1</v>
      </c>
      <c r="N80" s="179">
        <v>126672</v>
      </c>
      <c r="O80" s="178" t="s">
        <v>1</v>
      </c>
      <c r="P80" s="177" t="s">
        <v>1</v>
      </c>
      <c r="Q80" s="178" t="s">
        <v>1</v>
      </c>
      <c r="R80" s="189">
        <v>22.989473684210527</v>
      </c>
      <c r="S80" s="178" t="s">
        <v>1</v>
      </c>
      <c r="T80" s="205">
        <v>551000</v>
      </c>
      <c r="U80" s="194"/>
    </row>
    <row r="81" spans="1:21">
      <c r="A81" s="182" t="s">
        <v>120</v>
      </c>
      <c r="B81" s="182" t="s">
        <v>81</v>
      </c>
      <c r="C81" s="178" t="s">
        <v>1</v>
      </c>
      <c r="D81" s="184">
        <v>3164375.14</v>
      </c>
      <c r="E81" s="178" t="s">
        <v>1</v>
      </c>
      <c r="F81" s="182" t="s">
        <v>1</v>
      </c>
      <c r="G81" s="178" t="s">
        <v>1</v>
      </c>
      <c r="H81" s="192">
        <v>57.650141932434167</v>
      </c>
      <c r="I81" s="180" t="s">
        <v>1</v>
      </c>
      <c r="J81" s="132"/>
      <c r="K81" s="191">
        <v>5488928.6200000001</v>
      </c>
      <c r="L81" s="132"/>
      <c r="M81" s="178" t="s">
        <v>1</v>
      </c>
      <c r="N81" s="184">
        <v>3164375.14</v>
      </c>
      <c r="O81" s="178" t="s">
        <v>1</v>
      </c>
      <c r="P81" s="182" t="s">
        <v>1</v>
      </c>
      <c r="Q81" s="178" t="s">
        <v>1</v>
      </c>
      <c r="R81" s="192">
        <v>57.650141932434167</v>
      </c>
      <c r="S81" s="178" t="s">
        <v>1</v>
      </c>
      <c r="T81" s="206">
        <v>5488928.6200000001</v>
      </c>
      <c r="U81" s="194"/>
    </row>
    <row r="82" spans="1:21">
      <c r="A82" s="177" t="s">
        <v>121</v>
      </c>
      <c r="B82" s="177" t="s">
        <v>83</v>
      </c>
      <c r="C82" s="178" t="s">
        <v>1</v>
      </c>
      <c r="D82" s="179">
        <v>1279635.8999999999</v>
      </c>
      <c r="E82" s="178" t="s">
        <v>1</v>
      </c>
      <c r="F82" s="177" t="s">
        <v>1</v>
      </c>
      <c r="G82" s="178" t="s">
        <v>1</v>
      </c>
      <c r="H82" s="189">
        <v>75.371054792913299</v>
      </c>
      <c r="I82" s="180" t="s">
        <v>1</v>
      </c>
      <c r="J82" s="132"/>
      <c r="K82" s="190">
        <v>1697781.6</v>
      </c>
      <c r="L82" s="132"/>
      <c r="M82" s="178" t="s">
        <v>1</v>
      </c>
      <c r="N82" s="179">
        <v>1279635.8999999999</v>
      </c>
      <c r="O82" s="178" t="s">
        <v>1</v>
      </c>
      <c r="P82" s="177" t="s">
        <v>1</v>
      </c>
      <c r="Q82" s="178" t="s">
        <v>1</v>
      </c>
      <c r="R82" s="189">
        <v>75.371054792913299</v>
      </c>
      <c r="S82" s="178" t="s">
        <v>1</v>
      </c>
      <c r="T82" s="205">
        <v>1697781.6</v>
      </c>
      <c r="U82" s="194"/>
    </row>
    <row r="83" spans="1:21">
      <c r="A83" s="182" t="s">
        <v>122</v>
      </c>
      <c r="B83" s="182" t="s">
        <v>85</v>
      </c>
      <c r="C83" s="178" t="s">
        <v>1</v>
      </c>
      <c r="D83" s="182" t="s">
        <v>1</v>
      </c>
      <c r="E83" s="178" t="s">
        <v>1</v>
      </c>
      <c r="F83" s="182" t="s">
        <v>1</v>
      </c>
      <c r="G83" s="178" t="s">
        <v>1</v>
      </c>
      <c r="H83" s="182" t="s">
        <v>1</v>
      </c>
      <c r="I83" s="180" t="s">
        <v>1</v>
      </c>
      <c r="J83" s="132"/>
      <c r="K83" s="183" t="s">
        <v>1</v>
      </c>
      <c r="L83" s="132"/>
      <c r="M83" s="178" t="s">
        <v>1</v>
      </c>
      <c r="N83" s="182" t="s">
        <v>1</v>
      </c>
      <c r="O83" s="178" t="s">
        <v>1</v>
      </c>
      <c r="P83" s="182" t="s">
        <v>1</v>
      </c>
      <c r="Q83" s="178" t="s">
        <v>1</v>
      </c>
      <c r="R83" s="182" t="s">
        <v>1</v>
      </c>
      <c r="S83" s="178" t="s">
        <v>1</v>
      </c>
      <c r="T83" s="202" t="s">
        <v>1</v>
      </c>
      <c r="U83" s="194"/>
    </row>
    <row r="84" spans="1:21">
      <c r="A84" s="177" t="s">
        <v>123</v>
      </c>
      <c r="B84" s="177" t="s">
        <v>124</v>
      </c>
      <c r="C84" s="178" t="s">
        <v>1</v>
      </c>
      <c r="D84" s="177" t="s">
        <v>1</v>
      </c>
      <c r="E84" s="178" t="s">
        <v>1</v>
      </c>
      <c r="F84" s="177" t="s">
        <v>1</v>
      </c>
      <c r="G84" s="178" t="s">
        <v>1</v>
      </c>
      <c r="H84" s="177" t="s">
        <v>1</v>
      </c>
      <c r="I84" s="180" t="s">
        <v>1</v>
      </c>
      <c r="J84" s="132"/>
      <c r="K84" s="181" t="s">
        <v>1</v>
      </c>
      <c r="L84" s="132"/>
      <c r="M84" s="178" t="s">
        <v>1</v>
      </c>
      <c r="N84" s="177" t="s">
        <v>1</v>
      </c>
      <c r="O84" s="178" t="s">
        <v>1</v>
      </c>
      <c r="P84" s="177" t="s">
        <v>1</v>
      </c>
      <c r="Q84" s="178" t="s">
        <v>1</v>
      </c>
      <c r="R84" s="177" t="s">
        <v>1</v>
      </c>
      <c r="S84" s="178" t="s">
        <v>1</v>
      </c>
      <c r="T84" s="201" t="s">
        <v>1</v>
      </c>
      <c r="U84" s="194"/>
    </row>
    <row r="85" spans="1:21">
      <c r="A85" s="169" t="s">
        <v>125</v>
      </c>
      <c r="B85" s="169" t="s">
        <v>126</v>
      </c>
      <c r="C85" s="170" t="s">
        <v>1</v>
      </c>
      <c r="D85" s="176">
        <v>7335399.71</v>
      </c>
      <c r="E85" s="170" t="s">
        <v>1</v>
      </c>
      <c r="F85" s="169" t="s">
        <v>1</v>
      </c>
      <c r="G85" s="170" t="s">
        <v>1</v>
      </c>
      <c r="H85" s="187">
        <v>64.905773941039484</v>
      </c>
      <c r="I85" s="171" t="s">
        <v>1</v>
      </c>
      <c r="J85" s="132"/>
      <c r="K85" s="188">
        <v>11301613.5</v>
      </c>
      <c r="L85" s="132"/>
      <c r="M85" s="170" t="s">
        <v>1</v>
      </c>
      <c r="N85" s="176">
        <v>7335399.71</v>
      </c>
      <c r="O85" s="170" t="s">
        <v>1</v>
      </c>
      <c r="P85" s="169" t="s">
        <v>1</v>
      </c>
      <c r="Q85" s="170" t="s">
        <v>1</v>
      </c>
      <c r="R85" s="187">
        <v>64.905773941039484</v>
      </c>
      <c r="S85" s="170" t="s">
        <v>1</v>
      </c>
      <c r="T85" s="204">
        <v>11301613.5</v>
      </c>
      <c r="U85" s="194"/>
    </row>
    <row r="86" spans="1:21">
      <c r="A86" s="177" t="s">
        <v>127</v>
      </c>
      <c r="B86" s="177" t="s">
        <v>97</v>
      </c>
      <c r="C86" s="178" t="s">
        <v>1</v>
      </c>
      <c r="D86" s="179">
        <v>192000</v>
      </c>
      <c r="E86" s="178" t="s">
        <v>1</v>
      </c>
      <c r="F86" s="177" t="s">
        <v>1</v>
      </c>
      <c r="G86" s="178" t="s">
        <v>1</v>
      </c>
      <c r="H86" s="177" t="s">
        <v>1</v>
      </c>
      <c r="I86" s="180" t="s">
        <v>1</v>
      </c>
      <c r="J86" s="132"/>
      <c r="K86" s="181" t="s">
        <v>1</v>
      </c>
      <c r="L86" s="132"/>
      <c r="M86" s="178" t="s">
        <v>1</v>
      </c>
      <c r="N86" s="179">
        <v>192000</v>
      </c>
      <c r="O86" s="178" t="s">
        <v>1</v>
      </c>
      <c r="P86" s="177" t="s">
        <v>1</v>
      </c>
      <c r="Q86" s="178" t="s">
        <v>1</v>
      </c>
      <c r="R86" s="177" t="s">
        <v>1</v>
      </c>
      <c r="S86" s="178" t="s">
        <v>1</v>
      </c>
      <c r="T86" s="201" t="s">
        <v>1</v>
      </c>
      <c r="U86" s="194"/>
    </row>
    <row r="87" spans="1:21">
      <c r="A87" s="182" t="s">
        <v>128</v>
      </c>
      <c r="B87" s="182" t="s">
        <v>99</v>
      </c>
      <c r="C87" s="178" t="s">
        <v>1</v>
      </c>
      <c r="D87" s="184">
        <v>455995</v>
      </c>
      <c r="E87" s="178" t="s">
        <v>1</v>
      </c>
      <c r="F87" s="182" t="s">
        <v>1</v>
      </c>
      <c r="G87" s="178" t="s">
        <v>1</v>
      </c>
      <c r="H87" s="192">
        <v>91.198999999999998</v>
      </c>
      <c r="I87" s="180" t="s">
        <v>1</v>
      </c>
      <c r="J87" s="132"/>
      <c r="K87" s="191">
        <v>500000</v>
      </c>
      <c r="L87" s="132"/>
      <c r="M87" s="178" t="s">
        <v>1</v>
      </c>
      <c r="N87" s="184">
        <v>455995</v>
      </c>
      <c r="O87" s="178" t="s">
        <v>1</v>
      </c>
      <c r="P87" s="182" t="s">
        <v>1</v>
      </c>
      <c r="Q87" s="178" t="s">
        <v>1</v>
      </c>
      <c r="R87" s="192">
        <v>91.198999999999998</v>
      </c>
      <c r="S87" s="178" t="s">
        <v>1</v>
      </c>
      <c r="T87" s="206">
        <v>500000</v>
      </c>
      <c r="U87" s="194"/>
    </row>
    <row r="88" spans="1:21">
      <c r="A88" s="177" t="s">
        <v>129</v>
      </c>
      <c r="B88" s="177" t="s">
        <v>107</v>
      </c>
      <c r="C88" s="178" t="s">
        <v>1</v>
      </c>
      <c r="D88" s="179">
        <v>71145</v>
      </c>
      <c r="E88" s="178" t="s">
        <v>1</v>
      </c>
      <c r="F88" s="177" t="s">
        <v>1</v>
      </c>
      <c r="G88" s="178" t="s">
        <v>1</v>
      </c>
      <c r="H88" s="189">
        <v>7.1144999999999996</v>
      </c>
      <c r="I88" s="180" t="s">
        <v>1</v>
      </c>
      <c r="J88" s="132"/>
      <c r="K88" s="190">
        <v>1000000</v>
      </c>
      <c r="L88" s="132"/>
      <c r="M88" s="178" t="s">
        <v>1</v>
      </c>
      <c r="N88" s="179">
        <v>71145</v>
      </c>
      <c r="O88" s="178" t="s">
        <v>1</v>
      </c>
      <c r="P88" s="177" t="s">
        <v>1</v>
      </c>
      <c r="Q88" s="178" t="s">
        <v>1</v>
      </c>
      <c r="R88" s="189">
        <v>7.1144999999999996</v>
      </c>
      <c r="S88" s="178" t="s">
        <v>1</v>
      </c>
      <c r="T88" s="205">
        <v>1000000</v>
      </c>
      <c r="U88" s="194"/>
    </row>
    <row r="89" spans="1:21">
      <c r="A89" s="182" t="s">
        <v>130</v>
      </c>
      <c r="B89" s="182" t="s">
        <v>79</v>
      </c>
      <c r="C89" s="178" t="s">
        <v>1</v>
      </c>
      <c r="D89" s="184">
        <v>277581</v>
      </c>
      <c r="E89" s="178" t="s">
        <v>1</v>
      </c>
      <c r="F89" s="182" t="s">
        <v>1</v>
      </c>
      <c r="G89" s="178" t="s">
        <v>1</v>
      </c>
      <c r="H89" s="192">
        <v>55.516199999999998</v>
      </c>
      <c r="I89" s="180" t="s">
        <v>1</v>
      </c>
      <c r="J89" s="132"/>
      <c r="K89" s="191">
        <v>500000</v>
      </c>
      <c r="L89" s="132"/>
      <c r="M89" s="178" t="s">
        <v>1</v>
      </c>
      <c r="N89" s="184">
        <v>277581</v>
      </c>
      <c r="O89" s="178" t="s">
        <v>1</v>
      </c>
      <c r="P89" s="182" t="s">
        <v>1</v>
      </c>
      <c r="Q89" s="178" t="s">
        <v>1</v>
      </c>
      <c r="R89" s="192">
        <v>55.516199999999998</v>
      </c>
      <c r="S89" s="178" t="s">
        <v>1</v>
      </c>
      <c r="T89" s="206">
        <v>500000</v>
      </c>
      <c r="U89" s="194"/>
    </row>
    <row r="90" spans="1:21">
      <c r="A90" s="177" t="s">
        <v>131</v>
      </c>
      <c r="B90" s="177" t="s">
        <v>81</v>
      </c>
      <c r="C90" s="178" t="s">
        <v>1</v>
      </c>
      <c r="D90" s="179">
        <v>3513918.65</v>
      </c>
      <c r="E90" s="178" t="s">
        <v>1</v>
      </c>
      <c r="F90" s="177" t="s">
        <v>1</v>
      </c>
      <c r="G90" s="178" t="s">
        <v>1</v>
      </c>
      <c r="H90" s="189">
        <v>79.022709997481286</v>
      </c>
      <c r="I90" s="180" t="s">
        <v>1</v>
      </c>
      <c r="J90" s="132"/>
      <c r="K90" s="190">
        <v>4446720</v>
      </c>
      <c r="L90" s="132"/>
      <c r="M90" s="178" t="s">
        <v>1</v>
      </c>
      <c r="N90" s="179">
        <v>3513918.65</v>
      </c>
      <c r="O90" s="178" t="s">
        <v>1</v>
      </c>
      <c r="P90" s="177" t="s">
        <v>1</v>
      </c>
      <c r="Q90" s="178" t="s">
        <v>1</v>
      </c>
      <c r="R90" s="189">
        <v>79.022709997481286</v>
      </c>
      <c r="S90" s="178" t="s">
        <v>1</v>
      </c>
      <c r="T90" s="205">
        <v>4446720</v>
      </c>
      <c r="U90" s="194"/>
    </row>
    <row r="91" spans="1:21">
      <c r="A91" s="182" t="s">
        <v>132</v>
      </c>
      <c r="B91" s="182" t="s">
        <v>111</v>
      </c>
      <c r="C91" s="178" t="s">
        <v>1</v>
      </c>
      <c r="D91" s="184">
        <v>2068839.25</v>
      </c>
      <c r="E91" s="178" t="s">
        <v>1</v>
      </c>
      <c r="F91" s="182" t="s">
        <v>1</v>
      </c>
      <c r="G91" s="178" t="s">
        <v>1</v>
      </c>
      <c r="H91" s="192">
        <v>73.123148915429454</v>
      </c>
      <c r="I91" s="180" t="s">
        <v>1</v>
      </c>
      <c r="J91" s="132"/>
      <c r="K91" s="191">
        <v>2829253.5</v>
      </c>
      <c r="L91" s="132"/>
      <c r="M91" s="178" t="s">
        <v>1</v>
      </c>
      <c r="N91" s="184">
        <v>2068839.25</v>
      </c>
      <c r="O91" s="178" t="s">
        <v>1</v>
      </c>
      <c r="P91" s="182" t="s">
        <v>1</v>
      </c>
      <c r="Q91" s="178" t="s">
        <v>1</v>
      </c>
      <c r="R91" s="192">
        <v>73.123148915429454</v>
      </c>
      <c r="S91" s="178" t="s">
        <v>1</v>
      </c>
      <c r="T91" s="206">
        <v>2829253.5</v>
      </c>
      <c r="U91" s="194"/>
    </row>
    <row r="92" spans="1:21">
      <c r="A92" s="177" t="s">
        <v>133</v>
      </c>
      <c r="B92" s="177" t="s">
        <v>134</v>
      </c>
      <c r="C92" s="178" t="s">
        <v>1</v>
      </c>
      <c r="D92" s="177" t="s">
        <v>1</v>
      </c>
      <c r="E92" s="178" t="s">
        <v>1</v>
      </c>
      <c r="F92" s="177" t="s">
        <v>1</v>
      </c>
      <c r="G92" s="178" t="s">
        <v>1</v>
      </c>
      <c r="H92" s="177" t="s">
        <v>1</v>
      </c>
      <c r="I92" s="180" t="s">
        <v>1</v>
      </c>
      <c r="J92" s="132"/>
      <c r="K92" s="181" t="s">
        <v>1</v>
      </c>
      <c r="L92" s="132"/>
      <c r="M92" s="178" t="s">
        <v>1</v>
      </c>
      <c r="N92" s="177" t="s">
        <v>1</v>
      </c>
      <c r="O92" s="178" t="s">
        <v>1</v>
      </c>
      <c r="P92" s="177" t="s">
        <v>1</v>
      </c>
      <c r="Q92" s="178" t="s">
        <v>1</v>
      </c>
      <c r="R92" s="177" t="s">
        <v>1</v>
      </c>
      <c r="S92" s="178" t="s">
        <v>1</v>
      </c>
      <c r="T92" s="201" t="s">
        <v>1</v>
      </c>
      <c r="U92" s="194"/>
    </row>
    <row r="93" spans="1:21" ht="19">
      <c r="A93" s="182" t="s">
        <v>135</v>
      </c>
      <c r="B93" s="182" t="s">
        <v>136</v>
      </c>
      <c r="C93" s="178" t="s">
        <v>1</v>
      </c>
      <c r="D93" s="182" t="s">
        <v>1</v>
      </c>
      <c r="E93" s="178" t="s">
        <v>1</v>
      </c>
      <c r="F93" s="182" t="s">
        <v>1</v>
      </c>
      <c r="G93" s="178" t="s">
        <v>1</v>
      </c>
      <c r="H93" s="182" t="s">
        <v>1</v>
      </c>
      <c r="I93" s="180" t="s">
        <v>1</v>
      </c>
      <c r="J93" s="132"/>
      <c r="K93" s="183" t="s">
        <v>1</v>
      </c>
      <c r="L93" s="132"/>
      <c r="M93" s="178" t="s">
        <v>1</v>
      </c>
      <c r="N93" s="182" t="s">
        <v>1</v>
      </c>
      <c r="O93" s="178" t="s">
        <v>1</v>
      </c>
      <c r="P93" s="182" t="s">
        <v>1</v>
      </c>
      <c r="Q93" s="178" t="s">
        <v>1</v>
      </c>
      <c r="R93" s="182" t="s">
        <v>1</v>
      </c>
      <c r="S93" s="178" t="s">
        <v>1</v>
      </c>
      <c r="T93" s="202" t="s">
        <v>1</v>
      </c>
      <c r="U93" s="194"/>
    </row>
    <row r="94" spans="1:21">
      <c r="A94" s="177" t="s">
        <v>137</v>
      </c>
      <c r="B94" s="177" t="s">
        <v>138</v>
      </c>
      <c r="C94" s="178" t="s">
        <v>1</v>
      </c>
      <c r="D94" s="177" t="s">
        <v>1</v>
      </c>
      <c r="E94" s="178" t="s">
        <v>1</v>
      </c>
      <c r="F94" s="177" t="s">
        <v>1</v>
      </c>
      <c r="G94" s="178" t="s">
        <v>1</v>
      </c>
      <c r="H94" s="177" t="s">
        <v>1</v>
      </c>
      <c r="I94" s="180" t="s">
        <v>1</v>
      </c>
      <c r="J94" s="132"/>
      <c r="K94" s="181" t="s">
        <v>1</v>
      </c>
      <c r="L94" s="132"/>
      <c r="M94" s="178" t="s">
        <v>1</v>
      </c>
      <c r="N94" s="177" t="s">
        <v>1</v>
      </c>
      <c r="O94" s="178" t="s">
        <v>1</v>
      </c>
      <c r="P94" s="177" t="s">
        <v>1</v>
      </c>
      <c r="Q94" s="178" t="s">
        <v>1</v>
      </c>
      <c r="R94" s="177" t="s">
        <v>1</v>
      </c>
      <c r="S94" s="178" t="s">
        <v>1</v>
      </c>
      <c r="T94" s="201" t="s">
        <v>1</v>
      </c>
      <c r="U94" s="194"/>
    </row>
    <row r="95" spans="1:21" ht="19">
      <c r="A95" s="182" t="s">
        <v>139</v>
      </c>
      <c r="B95" s="182" t="s">
        <v>140</v>
      </c>
      <c r="C95" s="178" t="s">
        <v>1</v>
      </c>
      <c r="D95" s="182" t="s">
        <v>1</v>
      </c>
      <c r="E95" s="178" t="s">
        <v>1</v>
      </c>
      <c r="F95" s="182" t="s">
        <v>1</v>
      </c>
      <c r="G95" s="178" t="s">
        <v>1</v>
      </c>
      <c r="H95" s="182" t="s">
        <v>1</v>
      </c>
      <c r="I95" s="180" t="s">
        <v>1</v>
      </c>
      <c r="J95" s="132"/>
      <c r="K95" s="191">
        <v>1000000</v>
      </c>
      <c r="L95" s="132"/>
      <c r="M95" s="178" t="s">
        <v>1</v>
      </c>
      <c r="N95" s="182" t="s">
        <v>1</v>
      </c>
      <c r="O95" s="178" t="s">
        <v>1</v>
      </c>
      <c r="P95" s="182" t="s">
        <v>1</v>
      </c>
      <c r="Q95" s="178" t="s">
        <v>1</v>
      </c>
      <c r="R95" s="182" t="s">
        <v>1</v>
      </c>
      <c r="S95" s="178" t="s">
        <v>1</v>
      </c>
      <c r="T95" s="206">
        <v>1000000</v>
      </c>
      <c r="U95" s="194"/>
    </row>
    <row r="96" spans="1:21">
      <c r="A96" s="177" t="s">
        <v>141</v>
      </c>
      <c r="B96" s="177" t="s">
        <v>142</v>
      </c>
      <c r="C96" s="178" t="s">
        <v>1</v>
      </c>
      <c r="D96" s="179">
        <v>755920.81</v>
      </c>
      <c r="E96" s="178" t="s">
        <v>1</v>
      </c>
      <c r="F96" s="177" t="s">
        <v>1</v>
      </c>
      <c r="G96" s="178" t="s">
        <v>1</v>
      </c>
      <c r="H96" s="189">
        <v>73.702352677352678</v>
      </c>
      <c r="I96" s="180" t="s">
        <v>1</v>
      </c>
      <c r="J96" s="132"/>
      <c r="K96" s="190">
        <v>1025640</v>
      </c>
      <c r="L96" s="132"/>
      <c r="M96" s="178" t="s">
        <v>1</v>
      </c>
      <c r="N96" s="179">
        <v>755920.81</v>
      </c>
      <c r="O96" s="178" t="s">
        <v>1</v>
      </c>
      <c r="P96" s="177" t="s">
        <v>1</v>
      </c>
      <c r="Q96" s="178" t="s">
        <v>1</v>
      </c>
      <c r="R96" s="189">
        <v>73.702352677352678</v>
      </c>
      <c r="S96" s="178" t="s">
        <v>1</v>
      </c>
      <c r="T96" s="205">
        <v>1025640</v>
      </c>
      <c r="U96" s="194"/>
    </row>
    <row r="97" spans="1:21">
      <c r="A97" s="182" t="s">
        <v>143</v>
      </c>
      <c r="B97" s="182" t="s">
        <v>144</v>
      </c>
      <c r="C97" s="178" t="s">
        <v>1</v>
      </c>
      <c r="D97" s="182" t="s">
        <v>1</v>
      </c>
      <c r="E97" s="178" t="s">
        <v>1</v>
      </c>
      <c r="F97" s="182" t="s">
        <v>1</v>
      </c>
      <c r="G97" s="178" t="s">
        <v>1</v>
      </c>
      <c r="H97" s="182" t="s">
        <v>1</v>
      </c>
      <c r="I97" s="180" t="s">
        <v>1</v>
      </c>
      <c r="J97" s="132"/>
      <c r="K97" s="183" t="s">
        <v>1</v>
      </c>
      <c r="L97" s="132"/>
      <c r="M97" s="178" t="s">
        <v>1</v>
      </c>
      <c r="N97" s="182" t="s">
        <v>1</v>
      </c>
      <c r="O97" s="178" t="s">
        <v>1</v>
      </c>
      <c r="P97" s="182" t="s">
        <v>1</v>
      </c>
      <c r="Q97" s="178" t="s">
        <v>1</v>
      </c>
      <c r="R97" s="182" t="s">
        <v>1</v>
      </c>
      <c r="S97" s="178" t="s">
        <v>1</v>
      </c>
      <c r="T97" s="202" t="s">
        <v>1</v>
      </c>
      <c r="U97" s="194"/>
    </row>
    <row r="98" spans="1:21" ht="19">
      <c r="A98" s="177" t="s">
        <v>145</v>
      </c>
      <c r="B98" s="177" t="s">
        <v>146</v>
      </c>
      <c r="C98" s="178" t="s">
        <v>1</v>
      </c>
      <c r="D98" s="177" t="s">
        <v>1</v>
      </c>
      <c r="E98" s="178" t="s">
        <v>1</v>
      </c>
      <c r="F98" s="177" t="s">
        <v>1</v>
      </c>
      <c r="G98" s="178" t="s">
        <v>1</v>
      </c>
      <c r="H98" s="177" t="s">
        <v>1</v>
      </c>
      <c r="I98" s="180" t="s">
        <v>1</v>
      </c>
      <c r="J98" s="132"/>
      <c r="K98" s="181" t="s">
        <v>1</v>
      </c>
      <c r="L98" s="132"/>
      <c r="M98" s="178" t="s">
        <v>1</v>
      </c>
      <c r="N98" s="177" t="s">
        <v>1</v>
      </c>
      <c r="O98" s="178" t="s">
        <v>1</v>
      </c>
      <c r="P98" s="177" t="s">
        <v>1</v>
      </c>
      <c r="Q98" s="178" t="s">
        <v>1</v>
      </c>
      <c r="R98" s="177" t="s">
        <v>1</v>
      </c>
      <c r="S98" s="178" t="s">
        <v>1</v>
      </c>
      <c r="T98" s="201" t="s">
        <v>1</v>
      </c>
      <c r="U98" s="194"/>
    </row>
    <row r="99" spans="1:21">
      <c r="A99" s="182" t="s">
        <v>147</v>
      </c>
      <c r="B99" s="182" t="s">
        <v>148</v>
      </c>
      <c r="C99" s="178" t="s">
        <v>1</v>
      </c>
      <c r="D99" s="182" t="s">
        <v>1</v>
      </c>
      <c r="E99" s="178" t="s">
        <v>1</v>
      </c>
      <c r="F99" s="182" t="s">
        <v>1</v>
      </c>
      <c r="G99" s="178" t="s">
        <v>1</v>
      </c>
      <c r="H99" s="182" t="s">
        <v>1</v>
      </c>
      <c r="I99" s="180" t="s">
        <v>1</v>
      </c>
      <c r="J99" s="132"/>
      <c r="K99" s="183" t="s">
        <v>1</v>
      </c>
      <c r="L99" s="132"/>
      <c r="M99" s="178" t="s">
        <v>1</v>
      </c>
      <c r="N99" s="182" t="s">
        <v>1</v>
      </c>
      <c r="O99" s="178" t="s">
        <v>1</v>
      </c>
      <c r="P99" s="182" t="s">
        <v>1</v>
      </c>
      <c r="Q99" s="178" t="s">
        <v>1</v>
      </c>
      <c r="R99" s="182" t="s">
        <v>1</v>
      </c>
      <c r="S99" s="178" t="s">
        <v>1</v>
      </c>
      <c r="T99" s="202" t="s">
        <v>1</v>
      </c>
      <c r="U99" s="194"/>
    </row>
    <row r="100" spans="1:21" ht="19">
      <c r="A100" s="177" t="s">
        <v>149</v>
      </c>
      <c r="B100" s="177" t="s">
        <v>150</v>
      </c>
      <c r="C100" s="178" t="s">
        <v>1</v>
      </c>
      <c r="D100" s="177" t="s">
        <v>1</v>
      </c>
      <c r="E100" s="178" t="s">
        <v>1</v>
      </c>
      <c r="F100" s="177" t="s">
        <v>1</v>
      </c>
      <c r="G100" s="178" t="s">
        <v>1</v>
      </c>
      <c r="H100" s="177" t="s">
        <v>1</v>
      </c>
      <c r="I100" s="180" t="s">
        <v>1</v>
      </c>
      <c r="J100" s="132"/>
      <c r="K100" s="181" t="s">
        <v>1</v>
      </c>
      <c r="L100" s="132"/>
      <c r="M100" s="178" t="s">
        <v>1</v>
      </c>
      <c r="N100" s="177" t="s">
        <v>1</v>
      </c>
      <c r="O100" s="178" t="s">
        <v>1</v>
      </c>
      <c r="P100" s="177" t="s">
        <v>1</v>
      </c>
      <c r="Q100" s="178" t="s">
        <v>1</v>
      </c>
      <c r="R100" s="177" t="s">
        <v>1</v>
      </c>
      <c r="S100" s="178" t="s">
        <v>1</v>
      </c>
      <c r="T100" s="201" t="s">
        <v>1</v>
      </c>
      <c r="U100" s="194"/>
    </row>
    <row r="101" spans="1:21">
      <c r="A101" s="182" t="s">
        <v>151</v>
      </c>
      <c r="B101" s="182" t="s">
        <v>152</v>
      </c>
      <c r="C101" s="178" t="s">
        <v>1</v>
      </c>
      <c r="D101" s="182" t="s">
        <v>1</v>
      </c>
      <c r="E101" s="178" t="s">
        <v>1</v>
      </c>
      <c r="F101" s="182" t="s">
        <v>1</v>
      </c>
      <c r="G101" s="178" t="s">
        <v>1</v>
      </c>
      <c r="H101" s="182" t="s">
        <v>1</v>
      </c>
      <c r="I101" s="180" t="s">
        <v>1</v>
      </c>
      <c r="J101" s="132"/>
      <c r="K101" s="183" t="s">
        <v>1</v>
      </c>
      <c r="L101" s="132"/>
      <c r="M101" s="178" t="s">
        <v>1</v>
      </c>
      <c r="N101" s="182" t="s">
        <v>1</v>
      </c>
      <c r="O101" s="178" t="s">
        <v>1</v>
      </c>
      <c r="P101" s="182" t="s">
        <v>1</v>
      </c>
      <c r="Q101" s="178" t="s">
        <v>1</v>
      </c>
      <c r="R101" s="182" t="s">
        <v>1</v>
      </c>
      <c r="S101" s="178" t="s">
        <v>1</v>
      </c>
      <c r="T101" s="202" t="s">
        <v>1</v>
      </c>
      <c r="U101" s="194"/>
    </row>
    <row r="102" spans="1:21">
      <c r="A102" s="177" t="s">
        <v>153</v>
      </c>
      <c r="B102" s="177" t="s">
        <v>154</v>
      </c>
      <c r="C102" s="178" t="s">
        <v>1</v>
      </c>
      <c r="D102" s="177" t="s">
        <v>1</v>
      </c>
      <c r="E102" s="178" t="s">
        <v>1</v>
      </c>
      <c r="F102" s="177" t="s">
        <v>1</v>
      </c>
      <c r="G102" s="178" t="s">
        <v>1</v>
      </c>
      <c r="H102" s="177" t="s">
        <v>1</v>
      </c>
      <c r="I102" s="180" t="s">
        <v>1</v>
      </c>
      <c r="J102" s="132"/>
      <c r="K102" s="181" t="s">
        <v>1</v>
      </c>
      <c r="L102" s="132"/>
      <c r="M102" s="178" t="s">
        <v>1</v>
      </c>
      <c r="N102" s="177" t="s">
        <v>1</v>
      </c>
      <c r="O102" s="178" t="s">
        <v>1</v>
      </c>
      <c r="P102" s="177" t="s">
        <v>1</v>
      </c>
      <c r="Q102" s="178" t="s">
        <v>1</v>
      </c>
      <c r="R102" s="177" t="s">
        <v>1</v>
      </c>
      <c r="S102" s="178" t="s">
        <v>1</v>
      </c>
      <c r="T102" s="201" t="s">
        <v>1</v>
      </c>
      <c r="U102" s="194"/>
    </row>
    <row r="103" spans="1:21" ht="19">
      <c r="A103" s="169" t="s">
        <v>155</v>
      </c>
      <c r="B103" s="169" t="s">
        <v>156</v>
      </c>
      <c r="C103" s="170" t="s">
        <v>1</v>
      </c>
      <c r="D103" s="176">
        <v>36248268.409999996</v>
      </c>
      <c r="E103" s="170" t="s">
        <v>1</v>
      </c>
      <c r="F103" s="169" t="s">
        <v>1</v>
      </c>
      <c r="G103" s="170" t="s">
        <v>1</v>
      </c>
      <c r="H103" s="187">
        <v>63.895905415055722</v>
      </c>
      <c r="I103" s="171" t="s">
        <v>1</v>
      </c>
      <c r="J103" s="132"/>
      <c r="K103" s="188">
        <v>56730189.789999999</v>
      </c>
      <c r="L103" s="132"/>
      <c r="M103" s="170" t="s">
        <v>1</v>
      </c>
      <c r="N103" s="176">
        <v>36248268.409999996</v>
      </c>
      <c r="O103" s="170" t="s">
        <v>1</v>
      </c>
      <c r="P103" s="169" t="s">
        <v>1</v>
      </c>
      <c r="Q103" s="170" t="s">
        <v>1</v>
      </c>
      <c r="R103" s="187">
        <v>63.895905415055722</v>
      </c>
      <c r="S103" s="170" t="s">
        <v>1</v>
      </c>
      <c r="T103" s="204">
        <v>56730189.789999999</v>
      </c>
      <c r="U103" s="194"/>
    </row>
    <row r="104" spans="1:21">
      <c r="A104" s="177" t="s">
        <v>157</v>
      </c>
      <c r="B104" s="177" t="s">
        <v>73</v>
      </c>
      <c r="C104" s="178" t="s">
        <v>1</v>
      </c>
      <c r="D104" s="177" t="s">
        <v>1</v>
      </c>
      <c r="E104" s="178" t="s">
        <v>1</v>
      </c>
      <c r="F104" s="177" t="s">
        <v>1</v>
      </c>
      <c r="G104" s="178" t="s">
        <v>1</v>
      </c>
      <c r="H104" s="177" t="s">
        <v>1</v>
      </c>
      <c r="I104" s="180" t="s">
        <v>1</v>
      </c>
      <c r="J104" s="132"/>
      <c r="K104" s="181" t="s">
        <v>1</v>
      </c>
      <c r="L104" s="132"/>
      <c r="M104" s="178" t="s">
        <v>1</v>
      </c>
      <c r="N104" s="177" t="s">
        <v>1</v>
      </c>
      <c r="O104" s="178" t="s">
        <v>1</v>
      </c>
      <c r="P104" s="177" t="s">
        <v>1</v>
      </c>
      <c r="Q104" s="178" t="s">
        <v>1</v>
      </c>
      <c r="R104" s="177" t="s">
        <v>1</v>
      </c>
      <c r="S104" s="178" t="s">
        <v>1</v>
      </c>
      <c r="T104" s="201" t="s">
        <v>1</v>
      </c>
      <c r="U104" s="194"/>
    </row>
    <row r="105" spans="1:21">
      <c r="A105" s="182" t="s">
        <v>158</v>
      </c>
      <c r="B105" s="182" t="s">
        <v>77</v>
      </c>
      <c r="C105" s="178" t="s">
        <v>1</v>
      </c>
      <c r="D105" s="184">
        <v>192510.58</v>
      </c>
      <c r="E105" s="178" t="s">
        <v>1</v>
      </c>
      <c r="F105" s="182" t="s">
        <v>1</v>
      </c>
      <c r="G105" s="178" t="s">
        <v>1</v>
      </c>
      <c r="H105" s="192">
        <v>16.042548333333333</v>
      </c>
      <c r="I105" s="180" t="s">
        <v>1</v>
      </c>
      <c r="J105" s="132"/>
      <c r="K105" s="191">
        <v>1200000</v>
      </c>
      <c r="L105" s="132"/>
      <c r="M105" s="178" t="s">
        <v>1</v>
      </c>
      <c r="N105" s="184">
        <v>192510.58</v>
      </c>
      <c r="O105" s="178" t="s">
        <v>1</v>
      </c>
      <c r="P105" s="182" t="s">
        <v>1</v>
      </c>
      <c r="Q105" s="178" t="s">
        <v>1</v>
      </c>
      <c r="R105" s="192">
        <v>16.042548333333333</v>
      </c>
      <c r="S105" s="178" t="s">
        <v>1</v>
      </c>
      <c r="T105" s="206">
        <v>1200000</v>
      </c>
      <c r="U105" s="194"/>
    </row>
    <row r="106" spans="1:21">
      <c r="A106" s="177" t="s">
        <v>159</v>
      </c>
      <c r="B106" s="177" t="s">
        <v>160</v>
      </c>
      <c r="C106" s="178" t="s">
        <v>1</v>
      </c>
      <c r="D106" s="179">
        <v>6500</v>
      </c>
      <c r="E106" s="178" t="s">
        <v>1</v>
      </c>
      <c r="F106" s="177" t="s">
        <v>1</v>
      </c>
      <c r="G106" s="178" t="s">
        <v>1</v>
      </c>
      <c r="H106" s="189">
        <v>1.3</v>
      </c>
      <c r="I106" s="180" t="s">
        <v>1</v>
      </c>
      <c r="J106" s="132"/>
      <c r="K106" s="190">
        <v>500000</v>
      </c>
      <c r="L106" s="132"/>
      <c r="M106" s="178" t="s">
        <v>1</v>
      </c>
      <c r="N106" s="179">
        <v>6500</v>
      </c>
      <c r="O106" s="178" t="s">
        <v>1</v>
      </c>
      <c r="P106" s="177" t="s">
        <v>1</v>
      </c>
      <c r="Q106" s="178" t="s">
        <v>1</v>
      </c>
      <c r="R106" s="189">
        <v>1.3</v>
      </c>
      <c r="S106" s="178" t="s">
        <v>1</v>
      </c>
      <c r="T106" s="205">
        <v>500000</v>
      </c>
      <c r="U106" s="194"/>
    </row>
    <row r="107" spans="1:21">
      <c r="A107" s="182" t="s">
        <v>161</v>
      </c>
      <c r="B107" s="182" t="s">
        <v>162</v>
      </c>
      <c r="C107" s="178" t="s">
        <v>1</v>
      </c>
      <c r="D107" s="182" t="s">
        <v>1</v>
      </c>
      <c r="E107" s="178" t="s">
        <v>1</v>
      </c>
      <c r="F107" s="184">
        <v>151217.79999999999</v>
      </c>
      <c r="G107" s="178" t="s">
        <v>1</v>
      </c>
      <c r="H107" s="192">
        <v>-75.608900000000006</v>
      </c>
      <c r="I107" s="180" t="s">
        <v>1</v>
      </c>
      <c r="J107" s="132"/>
      <c r="K107" s="191">
        <v>200000</v>
      </c>
      <c r="L107" s="132"/>
      <c r="M107" s="178" t="s">
        <v>1</v>
      </c>
      <c r="N107" s="182" t="s">
        <v>1</v>
      </c>
      <c r="O107" s="178" t="s">
        <v>1</v>
      </c>
      <c r="P107" s="184">
        <v>151217.79999999999</v>
      </c>
      <c r="Q107" s="178" t="s">
        <v>1</v>
      </c>
      <c r="R107" s="192">
        <v>-75.608900000000006</v>
      </c>
      <c r="S107" s="178" t="s">
        <v>1</v>
      </c>
      <c r="T107" s="206">
        <v>200000</v>
      </c>
      <c r="U107" s="194"/>
    </row>
    <row r="108" spans="1:21">
      <c r="A108" s="177" t="s">
        <v>163</v>
      </c>
      <c r="B108" s="177" t="s">
        <v>164</v>
      </c>
      <c r="C108" s="178" t="s">
        <v>1</v>
      </c>
      <c r="D108" s="177" t="s">
        <v>1</v>
      </c>
      <c r="E108" s="178" t="s">
        <v>1</v>
      </c>
      <c r="F108" s="177" t="s">
        <v>1</v>
      </c>
      <c r="G108" s="178" t="s">
        <v>1</v>
      </c>
      <c r="H108" s="177" t="s">
        <v>1</v>
      </c>
      <c r="I108" s="180" t="s">
        <v>1</v>
      </c>
      <c r="J108" s="132"/>
      <c r="K108" s="181" t="s">
        <v>1</v>
      </c>
      <c r="L108" s="132"/>
      <c r="M108" s="178" t="s">
        <v>1</v>
      </c>
      <c r="N108" s="177" t="s">
        <v>1</v>
      </c>
      <c r="O108" s="178" t="s">
        <v>1</v>
      </c>
      <c r="P108" s="177" t="s">
        <v>1</v>
      </c>
      <c r="Q108" s="178" t="s">
        <v>1</v>
      </c>
      <c r="R108" s="177" t="s">
        <v>1</v>
      </c>
      <c r="S108" s="178" t="s">
        <v>1</v>
      </c>
      <c r="T108" s="201" t="s">
        <v>1</v>
      </c>
      <c r="U108" s="194"/>
    </row>
    <row r="109" spans="1:21">
      <c r="A109" s="182" t="s">
        <v>165</v>
      </c>
      <c r="B109" s="182" t="s">
        <v>166</v>
      </c>
      <c r="C109" s="178" t="s">
        <v>1</v>
      </c>
      <c r="D109" s="182" t="s">
        <v>1</v>
      </c>
      <c r="E109" s="178" t="s">
        <v>1</v>
      </c>
      <c r="F109" s="182" t="s">
        <v>1</v>
      </c>
      <c r="G109" s="178" t="s">
        <v>1</v>
      </c>
      <c r="H109" s="182" t="s">
        <v>1</v>
      </c>
      <c r="I109" s="180" t="s">
        <v>1</v>
      </c>
      <c r="J109" s="132"/>
      <c r="K109" s="183" t="s">
        <v>1</v>
      </c>
      <c r="L109" s="132"/>
      <c r="M109" s="178" t="s">
        <v>1</v>
      </c>
      <c r="N109" s="182" t="s">
        <v>1</v>
      </c>
      <c r="O109" s="178" t="s">
        <v>1</v>
      </c>
      <c r="P109" s="182" t="s">
        <v>1</v>
      </c>
      <c r="Q109" s="178" t="s">
        <v>1</v>
      </c>
      <c r="R109" s="182" t="s">
        <v>1</v>
      </c>
      <c r="S109" s="178" t="s">
        <v>1</v>
      </c>
      <c r="T109" s="202" t="s">
        <v>1</v>
      </c>
      <c r="U109" s="194"/>
    </row>
    <row r="110" spans="1:21">
      <c r="A110" s="177" t="s">
        <v>167</v>
      </c>
      <c r="B110" s="177" t="s">
        <v>168</v>
      </c>
      <c r="C110" s="178" t="s">
        <v>1</v>
      </c>
      <c r="D110" s="179">
        <v>660780.1</v>
      </c>
      <c r="E110" s="178" t="s">
        <v>1</v>
      </c>
      <c r="F110" s="177" t="s">
        <v>1</v>
      </c>
      <c r="G110" s="178" t="s">
        <v>1</v>
      </c>
      <c r="H110" s="189">
        <v>132.15602000000001</v>
      </c>
      <c r="I110" s="180" t="s">
        <v>1</v>
      </c>
      <c r="J110" s="132"/>
      <c r="K110" s="190">
        <v>500000</v>
      </c>
      <c r="L110" s="132"/>
      <c r="M110" s="178" t="s">
        <v>1</v>
      </c>
      <c r="N110" s="179">
        <v>660780.1</v>
      </c>
      <c r="O110" s="178" t="s">
        <v>1</v>
      </c>
      <c r="P110" s="177" t="s">
        <v>1</v>
      </c>
      <c r="Q110" s="178" t="s">
        <v>1</v>
      </c>
      <c r="R110" s="189">
        <v>132.15602000000001</v>
      </c>
      <c r="S110" s="178" t="s">
        <v>1</v>
      </c>
      <c r="T110" s="205">
        <v>500000</v>
      </c>
      <c r="U110" s="194"/>
    </row>
    <row r="111" spans="1:21">
      <c r="A111" s="182" t="s">
        <v>169</v>
      </c>
      <c r="B111" s="182" t="s">
        <v>170</v>
      </c>
      <c r="C111" s="178" t="s">
        <v>1</v>
      </c>
      <c r="D111" s="184">
        <v>8510425.0099999998</v>
      </c>
      <c r="E111" s="178" t="s">
        <v>1</v>
      </c>
      <c r="F111" s="182" t="s">
        <v>1</v>
      </c>
      <c r="G111" s="178" t="s">
        <v>1</v>
      </c>
      <c r="H111" s="192">
        <v>70.72596967833411</v>
      </c>
      <c r="I111" s="180" t="s">
        <v>1</v>
      </c>
      <c r="J111" s="132"/>
      <c r="K111" s="191">
        <v>12032956.279999999</v>
      </c>
      <c r="L111" s="132"/>
      <c r="M111" s="178" t="s">
        <v>1</v>
      </c>
      <c r="N111" s="184">
        <v>8510425.0099999998</v>
      </c>
      <c r="O111" s="178" t="s">
        <v>1</v>
      </c>
      <c r="P111" s="182" t="s">
        <v>1</v>
      </c>
      <c r="Q111" s="178" t="s">
        <v>1</v>
      </c>
      <c r="R111" s="192">
        <v>70.72596967833411</v>
      </c>
      <c r="S111" s="178" t="s">
        <v>1</v>
      </c>
      <c r="T111" s="206">
        <v>12032956.279999999</v>
      </c>
      <c r="U111" s="194"/>
    </row>
    <row r="112" spans="1:21">
      <c r="A112" s="177" t="s">
        <v>171</v>
      </c>
      <c r="B112" s="177" t="s">
        <v>172</v>
      </c>
      <c r="C112" s="178" t="s">
        <v>1</v>
      </c>
      <c r="D112" s="179">
        <v>1765641.09</v>
      </c>
      <c r="E112" s="178" t="s">
        <v>1</v>
      </c>
      <c r="F112" s="177" t="s">
        <v>1</v>
      </c>
      <c r="G112" s="178" t="s">
        <v>1</v>
      </c>
      <c r="H112" s="189">
        <v>76.054897280378768</v>
      </c>
      <c r="I112" s="180" t="s">
        <v>1</v>
      </c>
      <c r="J112" s="132"/>
      <c r="K112" s="190">
        <v>2321535.04</v>
      </c>
      <c r="L112" s="132"/>
      <c r="M112" s="178" t="s">
        <v>1</v>
      </c>
      <c r="N112" s="179">
        <v>1765641.09</v>
      </c>
      <c r="O112" s="178" t="s">
        <v>1</v>
      </c>
      <c r="P112" s="177" t="s">
        <v>1</v>
      </c>
      <c r="Q112" s="178" t="s">
        <v>1</v>
      </c>
      <c r="R112" s="189">
        <v>76.054897280378768</v>
      </c>
      <c r="S112" s="178" t="s">
        <v>1</v>
      </c>
      <c r="T112" s="205">
        <v>2321535.04</v>
      </c>
      <c r="U112" s="194"/>
    </row>
    <row r="113" spans="1:21">
      <c r="A113" s="182" t="s">
        <v>173</v>
      </c>
      <c r="B113" s="182" t="s">
        <v>174</v>
      </c>
      <c r="C113" s="178" t="s">
        <v>1</v>
      </c>
      <c r="D113" s="184">
        <v>217535.35999999999</v>
      </c>
      <c r="E113" s="178" t="s">
        <v>1</v>
      </c>
      <c r="F113" s="182" t="s">
        <v>1</v>
      </c>
      <c r="G113" s="178" t="s">
        <v>1</v>
      </c>
      <c r="H113" s="192">
        <v>54.344918169606927</v>
      </c>
      <c r="I113" s="180" t="s">
        <v>1</v>
      </c>
      <c r="J113" s="132"/>
      <c r="K113" s="191">
        <v>400286.48</v>
      </c>
      <c r="L113" s="132"/>
      <c r="M113" s="178" t="s">
        <v>1</v>
      </c>
      <c r="N113" s="184">
        <v>217535.35999999999</v>
      </c>
      <c r="O113" s="178" t="s">
        <v>1</v>
      </c>
      <c r="P113" s="182" t="s">
        <v>1</v>
      </c>
      <c r="Q113" s="178" t="s">
        <v>1</v>
      </c>
      <c r="R113" s="192">
        <v>54.344918169606927</v>
      </c>
      <c r="S113" s="178" t="s">
        <v>1</v>
      </c>
      <c r="T113" s="206">
        <v>400286.48</v>
      </c>
      <c r="U113" s="194"/>
    </row>
    <row r="114" spans="1:21">
      <c r="A114" s="177" t="s">
        <v>175</v>
      </c>
      <c r="B114" s="177" t="s">
        <v>176</v>
      </c>
      <c r="C114" s="178" t="s">
        <v>1</v>
      </c>
      <c r="D114" s="179">
        <v>239750</v>
      </c>
      <c r="E114" s="178" t="s">
        <v>1</v>
      </c>
      <c r="F114" s="177" t="s">
        <v>1</v>
      </c>
      <c r="G114" s="178" t="s">
        <v>1</v>
      </c>
      <c r="H114" s="177" t="s">
        <v>1</v>
      </c>
      <c r="I114" s="180" t="s">
        <v>1</v>
      </c>
      <c r="J114" s="132"/>
      <c r="K114" s="181" t="s">
        <v>1</v>
      </c>
      <c r="L114" s="132"/>
      <c r="M114" s="178" t="s">
        <v>1</v>
      </c>
      <c r="N114" s="179">
        <v>239750</v>
      </c>
      <c r="O114" s="178" t="s">
        <v>1</v>
      </c>
      <c r="P114" s="177" t="s">
        <v>1</v>
      </c>
      <c r="Q114" s="178" t="s">
        <v>1</v>
      </c>
      <c r="R114" s="177" t="s">
        <v>1</v>
      </c>
      <c r="S114" s="178" t="s">
        <v>1</v>
      </c>
      <c r="T114" s="201" t="s">
        <v>1</v>
      </c>
      <c r="U114" s="194"/>
    </row>
    <row r="115" spans="1:21">
      <c r="A115" s="182" t="s">
        <v>177</v>
      </c>
      <c r="B115" s="182" t="s">
        <v>87</v>
      </c>
      <c r="C115" s="178" t="s">
        <v>1</v>
      </c>
      <c r="D115" s="182" t="s">
        <v>1</v>
      </c>
      <c r="E115" s="178" t="s">
        <v>1</v>
      </c>
      <c r="F115" s="182" t="s">
        <v>1</v>
      </c>
      <c r="G115" s="178" t="s">
        <v>1</v>
      </c>
      <c r="H115" s="182" t="s">
        <v>1</v>
      </c>
      <c r="I115" s="180" t="s">
        <v>1</v>
      </c>
      <c r="J115" s="132"/>
      <c r="K115" s="183" t="s">
        <v>1</v>
      </c>
      <c r="L115" s="132"/>
      <c r="M115" s="178" t="s">
        <v>1</v>
      </c>
      <c r="N115" s="182" t="s">
        <v>1</v>
      </c>
      <c r="O115" s="178" t="s">
        <v>1</v>
      </c>
      <c r="P115" s="182" t="s">
        <v>1</v>
      </c>
      <c r="Q115" s="178" t="s">
        <v>1</v>
      </c>
      <c r="R115" s="182" t="s">
        <v>1</v>
      </c>
      <c r="S115" s="178" t="s">
        <v>1</v>
      </c>
      <c r="T115" s="202" t="s">
        <v>1</v>
      </c>
      <c r="U115" s="194"/>
    </row>
    <row r="116" spans="1:21">
      <c r="A116" s="177" t="s">
        <v>178</v>
      </c>
      <c r="B116" s="177" t="s">
        <v>179</v>
      </c>
      <c r="C116" s="178" t="s">
        <v>1</v>
      </c>
      <c r="D116" s="177" t="s">
        <v>1</v>
      </c>
      <c r="E116" s="178" t="s">
        <v>1</v>
      </c>
      <c r="F116" s="177" t="s">
        <v>1</v>
      </c>
      <c r="G116" s="178" t="s">
        <v>1</v>
      </c>
      <c r="H116" s="177" t="s">
        <v>1</v>
      </c>
      <c r="I116" s="180" t="s">
        <v>1</v>
      </c>
      <c r="J116" s="132"/>
      <c r="K116" s="181" t="s">
        <v>1</v>
      </c>
      <c r="L116" s="132"/>
      <c r="M116" s="178" t="s">
        <v>1</v>
      </c>
      <c r="N116" s="177" t="s">
        <v>1</v>
      </c>
      <c r="O116" s="178" t="s">
        <v>1</v>
      </c>
      <c r="P116" s="177" t="s">
        <v>1</v>
      </c>
      <c r="Q116" s="178" t="s">
        <v>1</v>
      </c>
      <c r="R116" s="177" t="s">
        <v>1</v>
      </c>
      <c r="S116" s="178" t="s">
        <v>1</v>
      </c>
      <c r="T116" s="201" t="s">
        <v>1</v>
      </c>
      <c r="U116" s="194"/>
    </row>
    <row r="117" spans="1:21">
      <c r="A117" s="182" t="s">
        <v>180</v>
      </c>
      <c r="B117" s="182" t="s">
        <v>181</v>
      </c>
      <c r="C117" s="178" t="s">
        <v>1</v>
      </c>
      <c r="D117" s="182" t="s">
        <v>1</v>
      </c>
      <c r="E117" s="178" t="s">
        <v>1</v>
      </c>
      <c r="F117" s="182" t="s">
        <v>1</v>
      </c>
      <c r="G117" s="178" t="s">
        <v>1</v>
      </c>
      <c r="H117" s="182" t="s">
        <v>1</v>
      </c>
      <c r="I117" s="180" t="s">
        <v>1</v>
      </c>
      <c r="J117" s="132"/>
      <c r="K117" s="183" t="s">
        <v>1</v>
      </c>
      <c r="L117" s="132"/>
      <c r="M117" s="178" t="s">
        <v>1</v>
      </c>
      <c r="N117" s="182" t="s">
        <v>1</v>
      </c>
      <c r="O117" s="178" t="s">
        <v>1</v>
      </c>
      <c r="P117" s="182" t="s">
        <v>1</v>
      </c>
      <c r="Q117" s="178" t="s">
        <v>1</v>
      </c>
      <c r="R117" s="182" t="s">
        <v>1</v>
      </c>
      <c r="S117" s="178" t="s">
        <v>1</v>
      </c>
      <c r="T117" s="202" t="s">
        <v>1</v>
      </c>
      <c r="U117" s="194"/>
    </row>
    <row r="118" spans="1:21">
      <c r="A118" s="177" t="s">
        <v>182</v>
      </c>
      <c r="B118" s="177" t="s">
        <v>183</v>
      </c>
      <c r="C118" s="178" t="s">
        <v>1</v>
      </c>
      <c r="D118" s="177" t="s">
        <v>1</v>
      </c>
      <c r="E118" s="178" t="s">
        <v>1</v>
      </c>
      <c r="F118" s="177" t="s">
        <v>1</v>
      </c>
      <c r="G118" s="178" t="s">
        <v>1</v>
      </c>
      <c r="H118" s="177" t="s">
        <v>1</v>
      </c>
      <c r="I118" s="180" t="s">
        <v>1</v>
      </c>
      <c r="J118" s="132"/>
      <c r="K118" s="181" t="s">
        <v>1</v>
      </c>
      <c r="L118" s="132"/>
      <c r="M118" s="178" t="s">
        <v>1</v>
      </c>
      <c r="N118" s="177" t="s">
        <v>1</v>
      </c>
      <c r="O118" s="178" t="s">
        <v>1</v>
      </c>
      <c r="P118" s="177" t="s">
        <v>1</v>
      </c>
      <c r="Q118" s="178" t="s">
        <v>1</v>
      </c>
      <c r="R118" s="177" t="s">
        <v>1</v>
      </c>
      <c r="S118" s="178" t="s">
        <v>1</v>
      </c>
      <c r="T118" s="201" t="s">
        <v>1</v>
      </c>
      <c r="U118" s="194"/>
    </row>
    <row r="119" spans="1:21">
      <c r="A119" s="169" t="s">
        <v>184</v>
      </c>
      <c r="B119" s="169" t="s">
        <v>185</v>
      </c>
      <c r="C119" s="170" t="s">
        <v>1</v>
      </c>
      <c r="D119" s="176">
        <v>24806344.07</v>
      </c>
      <c r="E119" s="170" t="s">
        <v>1</v>
      </c>
      <c r="F119" s="169" t="s">
        <v>1</v>
      </c>
      <c r="G119" s="170" t="s">
        <v>1</v>
      </c>
      <c r="H119" s="187">
        <v>62.681202349246853</v>
      </c>
      <c r="I119" s="171" t="s">
        <v>1</v>
      </c>
      <c r="J119" s="132"/>
      <c r="K119" s="188">
        <v>39575411.990000002</v>
      </c>
      <c r="L119" s="132"/>
      <c r="M119" s="170" t="s">
        <v>1</v>
      </c>
      <c r="N119" s="176">
        <v>24806344.07</v>
      </c>
      <c r="O119" s="170" t="s">
        <v>1</v>
      </c>
      <c r="P119" s="169" t="s">
        <v>1</v>
      </c>
      <c r="Q119" s="170" t="s">
        <v>1</v>
      </c>
      <c r="R119" s="187">
        <v>62.681202349246853</v>
      </c>
      <c r="S119" s="170" t="s">
        <v>1</v>
      </c>
      <c r="T119" s="204">
        <v>39575411.990000002</v>
      </c>
      <c r="U119" s="194"/>
    </row>
    <row r="120" spans="1:21">
      <c r="A120" s="177" t="s">
        <v>186</v>
      </c>
      <c r="B120" s="177" t="s">
        <v>187</v>
      </c>
      <c r="C120" s="178" t="s">
        <v>1</v>
      </c>
      <c r="D120" s="177" t="s">
        <v>1</v>
      </c>
      <c r="E120" s="178" t="s">
        <v>1</v>
      </c>
      <c r="F120" s="177" t="s">
        <v>1</v>
      </c>
      <c r="G120" s="178" t="s">
        <v>1</v>
      </c>
      <c r="H120" s="177" t="s">
        <v>1</v>
      </c>
      <c r="I120" s="180" t="s">
        <v>1</v>
      </c>
      <c r="J120" s="132"/>
      <c r="K120" s="181" t="s">
        <v>1</v>
      </c>
      <c r="L120" s="132"/>
      <c r="M120" s="178" t="s">
        <v>1</v>
      </c>
      <c r="N120" s="177" t="s">
        <v>1</v>
      </c>
      <c r="O120" s="178" t="s">
        <v>1</v>
      </c>
      <c r="P120" s="177" t="s">
        <v>1</v>
      </c>
      <c r="Q120" s="178" t="s">
        <v>1</v>
      </c>
      <c r="R120" s="177" t="s">
        <v>1</v>
      </c>
      <c r="S120" s="178" t="s">
        <v>1</v>
      </c>
      <c r="T120" s="201" t="s">
        <v>1</v>
      </c>
      <c r="U120" s="194"/>
    </row>
    <row r="121" spans="1:21">
      <c r="A121" s="182" t="s">
        <v>188</v>
      </c>
      <c r="B121" s="182" t="s">
        <v>189</v>
      </c>
      <c r="C121" s="178" t="s">
        <v>1</v>
      </c>
      <c r="D121" s="184">
        <v>590560</v>
      </c>
      <c r="E121" s="178" t="s">
        <v>1</v>
      </c>
      <c r="F121" s="182" t="s">
        <v>1</v>
      </c>
      <c r="G121" s="178" t="s">
        <v>1</v>
      </c>
      <c r="H121" s="192">
        <v>10.087502111669345</v>
      </c>
      <c r="I121" s="180" t="s">
        <v>1</v>
      </c>
      <c r="J121" s="132"/>
      <c r="K121" s="191">
        <v>5854373</v>
      </c>
      <c r="L121" s="132"/>
      <c r="M121" s="178" t="s">
        <v>1</v>
      </c>
      <c r="N121" s="184">
        <v>590560</v>
      </c>
      <c r="O121" s="178" t="s">
        <v>1</v>
      </c>
      <c r="P121" s="182" t="s">
        <v>1</v>
      </c>
      <c r="Q121" s="178" t="s">
        <v>1</v>
      </c>
      <c r="R121" s="192">
        <v>10.087502111669345</v>
      </c>
      <c r="S121" s="178" t="s">
        <v>1</v>
      </c>
      <c r="T121" s="206">
        <v>5854373</v>
      </c>
      <c r="U121" s="194"/>
    </row>
    <row r="122" spans="1:21">
      <c r="A122" s="177" t="s">
        <v>190</v>
      </c>
      <c r="B122" s="177" t="s">
        <v>191</v>
      </c>
      <c r="C122" s="178" t="s">
        <v>1</v>
      </c>
      <c r="D122" s="179">
        <v>877603</v>
      </c>
      <c r="E122" s="178" t="s">
        <v>1</v>
      </c>
      <c r="F122" s="177" t="s">
        <v>1</v>
      </c>
      <c r="G122" s="178" t="s">
        <v>1</v>
      </c>
      <c r="H122" s="189">
        <v>125.37185714285714</v>
      </c>
      <c r="I122" s="180" t="s">
        <v>1</v>
      </c>
      <c r="J122" s="132"/>
      <c r="K122" s="190">
        <v>700000</v>
      </c>
      <c r="L122" s="132"/>
      <c r="M122" s="178" t="s">
        <v>1</v>
      </c>
      <c r="N122" s="179">
        <v>877603</v>
      </c>
      <c r="O122" s="178" t="s">
        <v>1</v>
      </c>
      <c r="P122" s="177" t="s">
        <v>1</v>
      </c>
      <c r="Q122" s="178" t="s">
        <v>1</v>
      </c>
      <c r="R122" s="189">
        <v>125.37185714285714</v>
      </c>
      <c r="S122" s="178" t="s">
        <v>1</v>
      </c>
      <c r="T122" s="205">
        <v>700000</v>
      </c>
      <c r="U122" s="194"/>
    </row>
    <row r="123" spans="1:21">
      <c r="A123" s="182" t="s">
        <v>192</v>
      </c>
      <c r="B123" s="182" t="s">
        <v>193</v>
      </c>
      <c r="C123" s="178" t="s">
        <v>1</v>
      </c>
      <c r="D123" s="184">
        <v>194377.5</v>
      </c>
      <c r="E123" s="178" t="s">
        <v>1</v>
      </c>
      <c r="F123" s="182" t="s">
        <v>1</v>
      </c>
      <c r="G123" s="178" t="s">
        <v>1</v>
      </c>
      <c r="H123" s="192">
        <v>38.875500000000002</v>
      </c>
      <c r="I123" s="180" t="s">
        <v>1</v>
      </c>
      <c r="J123" s="132"/>
      <c r="K123" s="191">
        <v>500000</v>
      </c>
      <c r="L123" s="132"/>
      <c r="M123" s="178" t="s">
        <v>1</v>
      </c>
      <c r="N123" s="184">
        <v>194377.5</v>
      </c>
      <c r="O123" s="178" t="s">
        <v>1</v>
      </c>
      <c r="P123" s="182" t="s">
        <v>1</v>
      </c>
      <c r="Q123" s="178" t="s">
        <v>1</v>
      </c>
      <c r="R123" s="192">
        <v>38.875500000000002</v>
      </c>
      <c r="S123" s="178" t="s">
        <v>1</v>
      </c>
      <c r="T123" s="206">
        <v>500000</v>
      </c>
      <c r="U123" s="194"/>
    </row>
    <row r="124" spans="1:21">
      <c r="A124" s="177" t="s">
        <v>194</v>
      </c>
      <c r="B124" s="177" t="s">
        <v>195</v>
      </c>
      <c r="C124" s="178" t="s">
        <v>1</v>
      </c>
      <c r="D124" s="177" t="s">
        <v>1</v>
      </c>
      <c r="E124" s="178" t="s">
        <v>1</v>
      </c>
      <c r="F124" s="177" t="s">
        <v>1</v>
      </c>
      <c r="G124" s="178" t="s">
        <v>1</v>
      </c>
      <c r="H124" s="177" t="s">
        <v>1</v>
      </c>
      <c r="I124" s="180" t="s">
        <v>1</v>
      </c>
      <c r="J124" s="132"/>
      <c r="K124" s="190">
        <v>500000</v>
      </c>
      <c r="L124" s="132"/>
      <c r="M124" s="178" t="s">
        <v>1</v>
      </c>
      <c r="N124" s="177" t="s">
        <v>1</v>
      </c>
      <c r="O124" s="178" t="s">
        <v>1</v>
      </c>
      <c r="P124" s="177" t="s">
        <v>1</v>
      </c>
      <c r="Q124" s="178" t="s">
        <v>1</v>
      </c>
      <c r="R124" s="177" t="s">
        <v>1</v>
      </c>
      <c r="S124" s="178" t="s">
        <v>1</v>
      </c>
      <c r="T124" s="205">
        <v>500000</v>
      </c>
      <c r="U124" s="194"/>
    </row>
    <row r="125" spans="1:21">
      <c r="A125" s="182" t="s">
        <v>196</v>
      </c>
      <c r="B125" s="182" t="s">
        <v>197</v>
      </c>
      <c r="C125" s="178" t="s">
        <v>1</v>
      </c>
      <c r="D125" s="184">
        <v>85300</v>
      </c>
      <c r="E125" s="178" t="s">
        <v>1</v>
      </c>
      <c r="F125" s="182" t="s">
        <v>1</v>
      </c>
      <c r="G125" s="178" t="s">
        <v>1</v>
      </c>
      <c r="H125" s="192">
        <v>85.3</v>
      </c>
      <c r="I125" s="180" t="s">
        <v>1</v>
      </c>
      <c r="J125" s="132"/>
      <c r="K125" s="191">
        <v>100000</v>
      </c>
      <c r="L125" s="132"/>
      <c r="M125" s="178" t="s">
        <v>1</v>
      </c>
      <c r="N125" s="184">
        <v>85300</v>
      </c>
      <c r="O125" s="178" t="s">
        <v>1</v>
      </c>
      <c r="P125" s="182" t="s">
        <v>1</v>
      </c>
      <c r="Q125" s="178" t="s">
        <v>1</v>
      </c>
      <c r="R125" s="192">
        <v>85.3</v>
      </c>
      <c r="S125" s="178" t="s">
        <v>1</v>
      </c>
      <c r="T125" s="206">
        <v>100000</v>
      </c>
      <c r="U125" s="194"/>
    </row>
    <row r="126" spans="1:21">
      <c r="A126" s="177" t="s">
        <v>198</v>
      </c>
      <c r="B126" s="177" t="s">
        <v>199</v>
      </c>
      <c r="C126" s="178" t="s">
        <v>1</v>
      </c>
      <c r="D126" s="179">
        <v>1225990</v>
      </c>
      <c r="E126" s="178" t="s">
        <v>1</v>
      </c>
      <c r="F126" s="177" t="s">
        <v>1</v>
      </c>
      <c r="G126" s="178" t="s">
        <v>1</v>
      </c>
      <c r="H126" s="189">
        <v>27.635958868521417</v>
      </c>
      <c r="I126" s="180" t="s">
        <v>1</v>
      </c>
      <c r="J126" s="132"/>
      <c r="K126" s="190">
        <v>4436213</v>
      </c>
      <c r="L126" s="132"/>
      <c r="M126" s="178" t="s">
        <v>1</v>
      </c>
      <c r="N126" s="179">
        <v>1225990</v>
      </c>
      <c r="O126" s="178" t="s">
        <v>1</v>
      </c>
      <c r="P126" s="177" t="s">
        <v>1</v>
      </c>
      <c r="Q126" s="178" t="s">
        <v>1</v>
      </c>
      <c r="R126" s="189">
        <v>27.635958868521417</v>
      </c>
      <c r="S126" s="178" t="s">
        <v>1</v>
      </c>
      <c r="T126" s="205">
        <v>4436213</v>
      </c>
      <c r="U126" s="194"/>
    </row>
    <row r="127" spans="1:21">
      <c r="A127" s="182" t="s">
        <v>200</v>
      </c>
      <c r="B127" s="182" t="s">
        <v>201</v>
      </c>
      <c r="C127" s="178" t="s">
        <v>1</v>
      </c>
      <c r="D127" s="184">
        <v>2729617.75</v>
      </c>
      <c r="E127" s="178" t="s">
        <v>1</v>
      </c>
      <c r="F127" s="182" t="s">
        <v>1</v>
      </c>
      <c r="G127" s="178" t="s">
        <v>1</v>
      </c>
      <c r="H127" s="192">
        <v>55.044756958580699</v>
      </c>
      <c r="I127" s="180" t="s">
        <v>1</v>
      </c>
      <c r="J127" s="132"/>
      <c r="K127" s="191">
        <v>4958905.99</v>
      </c>
      <c r="L127" s="132"/>
      <c r="M127" s="178" t="s">
        <v>1</v>
      </c>
      <c r="N127" s="184">
        <v>2729617.75</v>
      </c>
      <c r="O127" s="178" t="s">
        <v>1</v>
      </c>
      <c r="P127" s="182" t="s">
        <v>1</v>
      </c>
      <c r="Q127" s="178" t="s">
        <v>1</v>
      </c>
      <c r="R127" s="192">
        <v>55.044756958580699</v>
      </c>
      <c r="S127" s="178" t="s">
        <v>1</v>
      </c>
      <c r="T127" s="206">
        <v>4958905.99</v>
      </c>
      <c r="U127" s="194"/>
    </row>
    <row r="128" spans="1:21">
      <c r="A128" s="177" t="s">
        <v>202</v>
      </c>
      <c r="B128" s="177" t="s">
        <v>203</v>
      </c>
      <c r="C128" s="178" t="s">
        <v>1</v>
      </c>
      <c r="D128" s="179">
        <v>12995672.439999999</v>
      </c>
      <c r="E128" s="178" t="s">
        <v>1</v>
      </c>
      <c r="F128" s="177" t="s">
        <v>1</v>
      </c>
      <c r="G128" s="178" t="s">
        <v>1</v>
      </c>
      <c r="H128" s="189">
        <v>99.966711076923076</v>
      </c>
      <c r="I128" s="180" t="s">
        <v>1</v>
      </c>
      <c r="J128" s="132"/>
      <c r="K128" s="190">
        <v>13000000</v>
      </c>
      <c r="L128" s="132"/>
      <c r="M128" s="178" t="s">
        <v>1</v>
      </c>
      <c r="N128" s="179">
        <v>12995672.439999999</v>
      </c>
      <c r="O128" s="178" t="s">
        <v>1</v>
      </c>
      <c r="P128" s="177" t="s">
        <v>1</v>
      </c>
      <c r="Q128" s="178" t="s">
        <v>1</v>
      </c>
      <c r="R128" s="189">
        <v>99.966711076923076</v>
      </c>
      <c r="S128" s="178" t="s">
        <v>1</v>
      </c>
      <c r="T128" s="205">
        <v>13000000</v>
      </c>
      <c r="U128" s="194"/>
    </row>
    <row r="129" spans="1:21">
      <c r="A129" s="182" t="s">
        <v>204</v>
      </c>
      <c r="B129" s="182" t="s">
        <v>205</v>
      </c>
      <c r="C129" s="178" t="s">
        <v>1</v>
      </c>
      <c r="D129" s="184">
        <v>3264721.02</v>
      </c>
      <c r="E129" s="178" t="s">
        <v>1</v>
      </c>
      <c r="F129" s="182" t="s">
        <v>1</v>
      </c>
      <c r="G129" s="178" t="s">
        <v>1</v>
      </c>
      <c r="H129" s="192">
        <v>57.41117688022284</v>
      </c>
      <c r="I129" s="180" t="s">
        <v>1</v>
      </c>
      <c r="J129" s="132"/>
      <c r="K129" s="191">
        <v>5686560</v>
      </c>
      <c r="L129" s="132"/>
      <c r="M129" s="178" t="s">
        <v>1</v>
      </c>
      <c r="N129" s="184">
        <v>3264721.02</v>
      </c>
      <c r="O129" s="178" t="s">
        <v>1</v>
      </c>
      <c r="P129" s="182" t="s">
        <v>1</v>
      </c>
      <c r="Q129" s="178" t="s">
        <v>1</v>
      </c>
      <c r="R129" s="192">
        <v>57.41117688022284</v>
      </c>
      <c r="S129" s="178" t="s">
        <v>1</v>
      </c>
      <c r="T129" s="206">
        <v>5686560</v>
      </c>
      <c r="U129" s="194"/>
    </row>
    <row r="130" spans="1:21">
      <c r="A130" s="177" t="s">
        <v>206</v>
      </c>
      <c r="B130" s="177" t="s">
        <v>207</v>
      </c>
      <c r="C130" s="178" t="s">
        <v>1</v>
      </c>
      <c r="D130" s="179">
        <v>2842502.36</v>
      </c>
      <c r="E130" s="178" t="s">
        <v>1</v>
      </c>
      <c r="F130" s="177" t="s">
        <v>1</v>
      </c>
      <c r="G130" s="178" t="s">
        <v>1</v>
      </c>
      <c r="H130" s="189">
        <v>74.03583826471079</v>
      </c>
      <c r="I130" s="180" t="s">
        <v>1</v>
      </c>
      <c r="J130" s="132"/>
      <c r="K130" s="190">
        <v>3839360</v>
      </c>
      <c r="L130" s="132"/>
      <c r="M130" s="178" t="s">
        <v>1</v>
      </c>
      <c r="N130" s="179">
        <v>2842502.36</v>
      </c>
      <c r="O130" s="178" t="s">
        <v>1</v>
      </c>
      <c r="P130" s="177" t="s">
        <v>1</v>
      </c>
      <c r="Q130" s="178" t="s">
        <v>1</v>
      </c>
      <c r="R130" s="189">
        <v>74.03583826471079</v>
      </c>
      <c r="S130" s="178" t="s">
        <v>1</v>
      </c>
      <c r="T130" s="205">
        <v>3839360</v>
      </c>
      <c r="U130" s="194"/>
    </row>
    <row r="131" spans="1:21" ht="19">
      <c r="A131" s="169" t="s">
        <v>208</v>
      </c>
      <c r="B131" s="169" t="s">
        <v>209</v>
      </c>
      <c r="C131" s="170" t="s">
        <v>1</v>
      </c>
      <c r="D131" s="176">
        <v>16845117.620000001</v>
      </c>
      <c r="E131" s="170" t="s">
        <v>1</v>
      </c>
      <c r="F131" s="169" t="s">
        <v>1</v>
      </c>
      <c r="G131" s="170" t="s">
        <v>1</v>
      </c>
      <c r="H131" s="187">
        <v>50.044179358529107</v>
      </c>
      <c r="I131" s="171" t="s">
        <v>1</v>
      </c>
      <c r="J131" s="132"/>
      <c r="K131" s="188">
        <v>33660493.259999998</v>
      </c>
      <c r="L131" s="132"/>
      <c r="M131" s="170" t="s">
        <v>1</v>
      </c>
      <c r="N131" s="176">
        <v>16845117.620000001</v>
      </c>
      <c r="O131" s="170" t="s">
        <v>1</v>
      </c>
      <c r="P131" s="169" t="s">
        <v>1</v>
      </c>
      <c r="Q131" s="170" t="s">
        <v>1</v>
      </c>
      <c r="R131" s="187">
        <v>50.044179358529107</v>
      </c>
      <c r="S131" s="170" t="s">
        <v>1</v>
      </c>
      <c r="T131" s="204">
        <v>33660493.259999998</v>
      </c>
      <c r="U131" s="194"/>
    </row>
    <row r="132" spans="1:21">
      <c r="A132" s="177" t="s">
        <v>210</v>
      </c>
      <c r="B132" s="177" t="s">
        <v>211</v>
      </c>
      <c r="C132" s="178" t="s">
        <v>1</v>
      </c>
      <c r="D132" s="179">
        <v>4734790.42</v>
      </c>
      <c r="E132" s="178" t="s">
        <v>1</v>
      </c>
      <c r="F132" s="177" t="s">
        <v>1</v>
      </c>
      <c r="G132" s="178" t="s">
        <v>1</v>
      </c>
      <c r="H132" s="189">
        <v>47.347904200000002</v>
      </c>
      <c r="I132" s="180" t="s">
        <v>1</v>
      </c>
      <c r="J132" s="132"/>
      <c r="K132" s="190">
        <v>10000000</v>
      </c>
      <c r="L132" s="132"/>
      <c r="M132" s="178" t="s">
        <v>1</v>
      </c>
      <c r="N132" s="179">
        <v>4734790.42</v>
      </c>
      <c r="O132" s="178" t="s">
        <v>1</v>
      </c>
      <c r="P132" s="177" t="s">
        <v>1</v>
      </c>
      <c r="Q132" s="178" t="s">
        <v>1</v>
      </c>
      <c r="R132" s="189">
        <v>47.347904200000002</v>
      </c>
      <c r="S132" s="178" t="s">
        <v>1</v>
      </c>
      <c r="T132" s="205">
        <v>10000000</v>
      </c>
      <c r="U132" s="194"/>
    </row>
    <row r="133" spans="1:21">
      <c r="A133" s="182" t="s">
        <v>212</v>
      </c>
      <c r="B133" s="182" t="s">
        <v>213</v>
      </c>
      <c r="C133" s="178" t="s">
        <v>1</v>
      </c>
      <c r="D133" s="184">
        <v>798671.17</v>
      </c>
      <c r="E133" s="178" t="s">
        <v>1</v>
      </c>
      <c r="F133" s="182" t="s">
        <v>1</v>
      </c>
      <c r="G133" s="178" t="s">
        <v>1</v>
      </c>
      <c r="H133" s="192">
        <v>66.555930833333335</v>
      </c>
      <c r="I133" s="180" t="s">
        <v>1</v>
      </c>
      <c r="J133" s="132"/>
      <c r="K133" s="191">
        <v>1200000</v>
      </c>
      <c r="L133" s="132"/>
      <c r="M133" s="178" t="s">
        <v>1</v>
      </c>
      <c r="N133" s="184">
        <v>798671.17</v>
      </c>
      <c r="O133" s="178" t="s">
        <v>1</v>
      </c>
      <c r="P133" s="182" t="s">
        <v>1</v>
      </c>
      <c r="Q133" s="178" t="s">
        <v>1</v>
      </c>
      <c r="R133" s="192">
        <v>66.555930833333335</v>
      </c>
      <c r="S133" s="178" t="s">
        <v>1</v>
      </c>
      <c r="T133" s="206">
        <v>1200000</v>
      </c>
      <c r="U133" s="194"/>
    </row>
    <row r="134" spans="1:21">
      <c r="A134" s="177" t="s">
        <v>214</v>
      </c>
      <c r="B134" s="177" t="s">
        <v>215</v>
      </c>
      <c r="C134" s="178" t="s">
        <v>1</v>
      </c>
      <c r="D134" s="179">
        <v>51295.199999999997</v>
      </c>
      <c r="E134" s="178" t="s">
        <v>1</v>
      </c>
      <c r="F134" s="177" t="s">
        <v>1</v>
      </c>
      <c r="G134" s="178" t="s">
        <v>1</v>
      </c>
      <c r="H134" s="189">
        <v>10.259040000000001</v>
      </c>
      <c r="I134" s="180" t="s">
        <v>1</v>
      </c>
      <c r="J134" s="132"/>
      <c r="K134" s="190">
        <v>500000</v>
      </c>
      <c r="L134" s="132"/>
      <c r="M134" s="178" t="s">
        <v>1</v>
      </c>
      <c r="N134" s="179">
        <v>51295.199999999997</v>
      </c>
      <c r="O134" s="178" t="s">
        <v>1</v>
      </c>
      <c r="P134" s="177" t="s">
        <v>1</v>
      </c>
      <c r="Q134" s="178" t="s">
        <v>1</v>
      </c>
      <c r="R134" s="189">
        <v>10.259040000000001</v>
      </c>
      <c r="S134" s="178" t="s">
        <v>1</v>
      </c>
      <c r="T134" s="205">
        <v>500000</v>
      </c>
      <c r="U134" s="194"/>
    </row>
    <row r="135" spans="1:21">
      <c r="A135" s="182" t="s">
        <v>216</v>
      </c>
      <c r="B135" s="182" t="s">
        <v>217</v>
      </c>
      <c r="C135" s="178" t="s">
        <v>1</v>
      </c>
      <c r="D135" s="182" t="s">
        <v>1</v>
      </c>
      <c r="E135" s="178" t="s">
        <v>1</v>
      </c>
      <c r="F135" s="182" t="s">
        <v>1</v>
      </c>
      <c r="G135" s="178" t="s">
        <v>1</v>
      </c>
      <c r="H135" s="182" t="s">
        <v>1</v>
      </c>
      <c r="I135" s="180" t="s">
        <v>1</v>
      </c>
      <c r="J135" s="132"/>
      <c r="K135" s="183" t="s">
        <v>1</v>
      </c>
      <c r="L135" s="132"/>
      <c r="M135" s="178" t="s">
        <v>1</v>
      </c>
      <c r="N135" s="182" t="s">
        <v>1</v>
      </c>
      <c r="O135" s="178" t="s">
        <v>1</v>
      </c>
      <c r="P135" s="182" t="s">
        <v>1</v>
      </c>
      <c r="Q135" s="178" t="s">
        <v>1</v>
      </c>
      <c r="R135" s="182" t="s">
        <v>1</v>
      </c>
      <c r="S135" s="178" t="s">
        <v>1</v>
      </c>
      <c r="T135" s="202" t="s">
        <v>1</v>
      </c>
      <c r="U135" s="194"/>
    </row>
    <row r="136" spans="1:21">
      <c r="A136" s="177" t="s">
        <v>218</v>
      </c>
      <c r="B136" s="177" t="s">
        <v>219</v>
      </c>
      <c r="C136" s="178" t="s">
        <v>1</v>
      </c>
      <c r="D136" s="179">
        <v>62596</v>
      </c>
      <c r="E136" s="178" t="s">
        <v>1</v>
      </c>
      <c r="F136" s="177" t="s">
        <v>1</v>
      </c>
      <c r="G136" s="178" t="s">
        <v>1</v>
      </c>
      <c r="H136" s="189">
        <v>62.595999999999997</v>
      </c>
      <c r="I136" s="180" t="s">
        <v>1</v>
      </c>
      <c r="J136" s="132"/>
      <c r="K136" s="190">
        <v>100000</v>
      </c>
      <c r="L136" s="132"/>
      <c r="M136" s="178" t="s">
        <v>1</v>
      </c>
      <c r="N136" s="179">
        <v>62596</v>
      </c>
      <c r="O136" s="178" t="s">
        <v>1</v>
      </c>
      <c r="P136" s="177" t="s">
        <v>1</v>
      </c>
      <c r="Q136" s="178" t="s">
        <v>1</v>
      </c>
      <c r="R136" s="189">
        <v>62.595999999999997</v>
      </c>
      <c r="S136" s="178" t="s">
        <v>1</v>
      </c>
      <c r="T136" s="205">
        <v>100000</v>
      </c>
      <c r="U136" s="194"/>
    </row>
    <row r="137" spans="1:21">
      <c r="A137" s="182" t="s">
        <v>220</v>
      </c>
      <c r="B137" s="182" t="s">
        <v>221</v>
      </c>
      <c r="C137" s="178" t="s">
        <v>1</v>
      </c>
      <c r="D137" s="184">
        <v>69600</v>
      </c>
      <c r="E137" s="178" t="s">
        <v>1</v>
      </c>
      <c r="F137" s="182" t="s">
        <v>1</v>
      </c>
      <c r="G137" s="178" t="s">
        <v>1</v>
      </c>
      <c r="H137" s="192">
        <v>34.799999999999997</v>
      </c>
      <c r="I137" s="180" t="s">
        <v>1</v>
      </c>
      <c r="J137" s="132"/>
      <c r="K137" s="191">
        <v>200000</v>
      </c>
      <c r="L137" s="132"/>
      <c r="M137" s="178" t="s">
        <v>1</v>
      </c>
      <c r="N137" s="184">
        <v>69600</v>
      </c>
      <c r="O137" s="178" t="s">
        <v>1</v>
      </c>
      <c r="P137" s="182" t="s">
        <v>1</v>
      </c>
      <c r="Q137" s="178" t="s">
        <v>1</v>
      </c>
      <c r="R137" s="192">
        <v>34.799999999999997</v>
      </c>
      <c r="S137" s="178" t="s">
        <v>1</v>
      </c>
      <c r="T137" s="206">
        <v>200000</v>
      </c>
      <c r="U137" s="194"/>
    </row>
    <row r="138" spans="1:21">
      <c r="A138" s="177" t="s">
        <v>222</v>
      </c>
      <c r="B138" s="177" t="s">
        <v>223</v>
      </c>
      <c r="C138" s="178" t="s">
        <v>1</v>
      </c>
      <c r="D138" s="179">
        <v>234710</v>
      </c>
      <c r="E138" s="178" t="s">
        <v>1</v>
      </c>
      <c r="F138" s="177" t="s">
        <v>1</v>
      </c>
      <c r="G138" s="178" t="s">
        <v>1</v>
      </c>
      <c r="H138" s="177" t="s">
        <v>1</v>
      </c>
      <c r="I138" s="180" t="s">
        <v>1</v>
      </c>
      <c r="J138" s="132"/>
      <c r="K138" s="181" t="s">
        <v>1</v>
      </c>
      <c r="L138" s="132"/>
      <c r="M138" s="178" t="s">
        <v>1</v>
      </c>
      <c r="N138" s="179">
        <v>234710</v>
      </c>
      <c r="O138" s="178" t="s">
        <v>1</v>
      </c>
      <c r="P138" s="177" t="s">
        <v>1</v>
      </c>
      <c r="Q138" s="178" t="s">
        <v>1</v>
      </c>
      <c r="R138" s="177" t="s">
        <v>1</v>
      </c>
      <c r="S138" s="178" t="s">
        <v>1</v>
      </c>
      <c r="T138" s="201" t="s">
        <v>1</v>
      </c>
      <c r="U138" s="194"/>
    </row>
    <row r="139" spans="1:21">
      <c r="A139" s="182" t="s">
        <v>224</v>
      </c>
      <c r="B139" s="182" t="s">
        <v>225</v>
      </c>
      <c r="C139" s="178" t="s">
        <v>1</v>
      </c>
      <c r="D139" s="184">
        <v>325623.52</v>
      </c>
      <c r="E139" s="178" t="s">
        <v>1</v>
      </c>
      <c r="F139" s="182" t="s">
        <v>1</v>
      </c>
      <c r="G139" s="178" t="s">
        <v>1</v>
      </c>
      <c r="H139" s="192">
        <v>35.812516978372166</v>
      </c>
      <c r="I139" s="180" t="s">
        <v>1</v>
      </c>
      <c r="J139" s="132"/>
      <c r="K139" s="191">
        <v>909245</v>
      </c>
      <c r="L139" s="132"/>
      <c r="M139" s="178" t="s">
        <v>1</v>
      </c>
      <c r="N139" s="184">
        <v>325623.52</v>
      </c>
      <c r="O139" s="178" t="s">
        <v>1</v>
      </c>
      <c r="P139" s="182" t="s">
        <v>1</v>
      </c>
      <c r="Q139" s="178" t="s">
        <v>1</v>
      </c>
      <c r="R139" s="192">
        <v>35.812516978372166</v>
      </c>
      <c r="S139" s="178" t="s">
        <v>1</v>
      </c>
      <c r="T139" s="206">
        <v>909245</v>
      </c>
      <c r="U139" s="194"/>
    </row>
    <row r="140" spans="1:21">
      <c r="A140" s="177" t="s">
        <v>226</v>
      </c>
      <c r="B140" s="177" t="s">
        <v>227</v>
      </c>
      <c r="C140" s="178" t="s">
        <v>1</v>
      </c>
      <c r="D140" s="179">
        <v>88000</v>
      </c>
      <c r="E140" s="178" t="s">
        <v>1</v>
      </c>
      <c r="F140" s="177" t="s">
        <v>1</v>
      </c>
      <c r="G140" s="178" t="s">
        <v>1</v>
      </c>
      <c r="H140" s="189">
        <v>9.7777777777777786</v>
      </c>
      <c r="I140" s="180" t="s">
        <v>1</v>
      </c>
      <c r="J140" s="132"/>
      <c r="K140" s="190">
        <v>900000</v>
      </c>
      <c r="L140" s="132"/>
      <c r="M140" s="178" t="s">
        <v>1</v>
      </c>
      <c r="N140" s="179">
        <v>88000</v>
      </c>
      <c r="O140" s="178" t="s">
        <v>1</v>
      </c>
      <c r="P140" s="177" t="s">
        <v>1</v>
      </c>
      <c r="Q140" s="178" t="s">
        <v>1</v>
      </c>
      <c r="R140" s="189">
        <v>9.7777777777777786</v>
      </c>
      <c r="S140" s="178" t="s">
        <v>1</v>
      </c>
      <c r="T140" s="205">
        <v>900000</v>
      </c>
      <c r="U140" s="194"/>
    </row>
    <row r="141" spans="1:21">
      <c r="A141" s="182" t="s">
        <v>228</v>
      </c>
      <c r="B141" s="182" t="s">
        <v>229</v>
      </c>
      <c r="C141" s="178" t="s">
        <v>1</v>
      </c>
      <c r="D141" s="184">
        <v>396901.65</v>
      </c>
      <c r="E141" s="178" t="s">
        <v>1</v>
      </c>
      <c r="F141" s="182" t="s">
        <v>1</v>
      </c>
      <c r="G141" s="178" t="s">
        <v>1</v>
      </c>
      <c r="H141" s="192">
        <v>61.061792307692308</v>
      </c>
      <c r="I141" s="180" t="s">
        <v>1</v>
      </c>
      <c r="J141" s="132"/>
      <c r="K141" s="191">
        <v>650000</v>
      </c>
      <c r="L141" s="132"/>
      <c r="M141" s="178" t="s">
        <v>1</v>
      </c>
      <c r="N141" s="184">
        <v>396901.65</v>
      </c>
      <c r="O141" s="178" t="s">
        <v>1</v>
      </c>
      <c r="P141" s="182" t="s">
        <v>1</v>
      </c>
      <c r="Q141" s="178" t="s">
        <v>1</v>
      </c>
      <c r="R141" s="192">
        <v>61.061792307692308</v>
      </c>
      <c r="S141" s="178" t="s">
        <v>1</v>
      </c>
      <c r="T141" s="206">
        <v>650000</v>
      </c>
      <c r="U141" s="194"/>
    </row>
    <row r="142" spans="1:21">
      <c r="A142" s="177" t="s">
        <v>230</v>
      </c>
      <c r="B142" s="177" t="s">
        <v>231</v>
      </c>
      <c r="C142" s="178" t="s">
        <v>1</v>
      </c>
      <c r="D142" s="179">
        <v>549695.75</v>
      </c>
      <c r="E142" s="178" t="s">
        <v>1</v>
      </c>
      <c r="F142" s="177" t="s">
        <v>1</v>
      </c>
      <c r="G142" s="178" t="s">
        <v>1</v>
      </c>
      <c r="H142" s="189">
        <v>73.292766666666665</v>
      </c>
      <c r="I142" s="180" t="s">
        <v>1</v>
      </c>
      <c r="J142" s="132"/>
      <c r="K142" s="190">
        <v>750000</v>
      </c>
      <c r="L142" s="132"/>
      <c r="M142" s="178" t="s">
        <v>1</v>
      </c>
      <c r="N142" s="179">
        <v>549695.75</v>
      </c>
      <c r="O142" s="178" t="s">
        <v>1</v>
      </c>
      <c r="P142" s="177" t="s">
        <v>1</v>
      </c>
      <c r="Q142" s="178" t="s">
        <v>1</v>
      </c>
      <c r="R142" s="189">
        <v>73.292766666666665</v>
      </c>
      <c r="S142" s="178" t="s">
        <v>1</v>
      </c>
      <c r="T142" s="205">
        <v>750000</v>
      </c>
      <c r="U142" s="194"/>
    </row>
    <row r="143" spans="1:21">
      <c r="A143" s="182" t="s">
        <v>232</v>
      </c>
      <c r="B143" s="182" t="s">
        <v>233</v>
      </c>
      <c r="C143" s="178" t="s">
        <v>1</v>
      </c>
      <c r="D143" s="184">
        <v>60000</v>
      </c>
      <c r="E143" s="178" t="s">
        <v>1</v>
      </c>
      <c r="F143" s="182" t="s">
        <v>1</v>
      </c>
      <c r="G143" s="178" t="s">
        <v>1</v>
      </c>
      <c r="H143" s="192">
        <v>10</v>
      </c>
      <c r="I143" s="180" t="s">
        <v>1</v>
      </c>
      <c r="J143" s="132"/>
      <c r="K143" s="191">
        <v>600000</v>
      </c>
      <c r="L143" s="132"/>
      <c r="M143" s="178" t="s">
        <v>1</v>
      </c>
      <c r="N143" s="184">
        <v>60000</v>
      </c>
      <c r="O143" s="178" t="s">
        <v>1</v>
      </c>
      <c r="P143" s="182" t="s">
        <v>1</v>
      </c>
      <c r="Q143" s="178" t="s">
        <v>1</v>
      </c>
      <c r="R143" s="192">
        <v>10</v>
      </c>
      <c r="S143" s="178" t="s">
        <v>1</v>
      </c>
      <c r="T143" s="206">
        <v>600000</v>
      </c>
      <c r="U143" s="194"/>
    </row>
    <row r="144" spans="1:21">
      <c r="A144" s="177" t="s">
        <v>234</v>
      </c>
      <c r="B144" s="177" t="s">
        <v>235</v>
      </c>
      <c r="C144" s="178" t="s">
        <v>1</v>
      </c>
      <c r="D144" s="179">
        <v>50300</v>
      </c>
      <c r="E144" s="178" t="s">
        <v>1</v>
      </c>
      <c r="F144" s="177" t="s">
        <v>1</v>
      </c>
      <c r="G144" s="178" t="s">
        <v>1</v>
      </c>
      <c r="H144" s="189">
        <v>50.3</v>
      </c>
      <c r="I144" s="180" t="s">
        <v>1</v>
      </c>
      <c r="J144" s="132"/>
      <c r="K144" s="190">
        <v>100000</v>
      </c>
      <c r="L144" s="132"/>
      <c r="M144" s="178" t="s">
        <v>1</v>
      </c>
      <c r="N144" s="179">
        <v>50300</v>
      </c>
      <c r="O144" s="178" t="s">
        <v>1</v>
      </c>
      <c r="P144" s="177" t="s">
        <v>1</v>
      </c>
      <c r="Q144" s="178" t="s">
        <v>1</v>
      </c>
      <c r="R144" s="189">
        <v>50.3</v>
      </c>
      <c r="S144" s="178" t="s">
        <v>1</v>
      </c>
      <c r="T144" s="205">
        <v>100000</v>
      </c>
      <c r="U144" s="194"/>
    </row>
    <row r="145" spans="1:21">
      <c r="A145" s="182" t="s">
        <v>236</v>
      </c>
      <c r="B145" s="182" t="s">
        <v>237</v>
      </c>
      <c r="C145" s="178" t="s">
        <v>1</v>
      </c>
      <c r="D145" s="184">
        <v>945726.94</v>
      </c>
      <c r="E145" s="178" t="s">
        <v>1</v>
      </c>
      <c r="F145" s="182" t="s">
        <v>1</v>
      </c>
      <c r="G145" s="178" t="s">
        <v>1</v>
      </c>
      <c r="H145" s="192">
        <v>85.975176363636365</v>
      </c>
      <c r="I145" s="180" t="s">
        <v>1</v>
      </c>
      <c r="J145" s="132"/>
      <c r="K145" s="191">
        <v>1100000</v>
      </c>
      <c r="L145" s="132"/>
      <c r="M145" s="178" t="s">
        <v>1</v>
      </c>
      <c r="N145" s="184">
        <v>945726.94</v>
      </c>
      <c r="O145" s="178" t="s">
        <v>1</v>
      </c>
      <c r="P145" s="182" t="s">
        <v>1</v>
      </c>
      <c r="Q145" s="178" t="s">
        <v>1</v>
      </c>
      <c r="R145" s="192">
        <v>85.975176363636365</v>
      </c>
      <c r="S145" s="178" t="s">
        <v>1</v>
      </c>
      <c r="T145" s="206">
        <v>1100000</v>
      </c>
      <c r="U145" s="194"/>
    </row>
    <row r="146" spans="1:21">
      <c r="A146" s="177" t="s">
        <v>238</v>
      </c>
      <c r="B146" s="177" t="s">
        <v>239</v>
      </c>
      <c r="C146" s="178" t="s">
        <v>1</v>
      </c>
      <c r="D146" s="177" t="s">
        <v>1</v>
      </c>
      <c r="E146" s="178" t="s">
        <v>1</v>
      </c>
      <c r="F146" s="177" t="s">
        <v>1</v>
      </c>
      <c r="G146" s="178" t="s">
        <v>1</v>
      </c>
      <c r="H146" s="177" t="s">
        <v>1</v>
      </c>
      <c r="I146" s="180" t="s">
        <v>1</v>
      </c>
      <c r="J146" s="132"/>
      <c r="K146" s="190">
        <v>400000</v>
      </c>
      <c r="L146" s="132"/>
      <c r="M146" s="178" t="s">
        <v>1</v>
      </c>
      <c r="N146" s="177" t="s">
        <v>1</v>
      </c>
      <c r="O146" s="178" t="s">
        <v>1</v>
      </c>
      <c r="P146" s="177" t="s">
        <v>1</v>
      </c>
      <c r="Q146" s="178" t="s">
        <v>1</v>
      </c>
      <c r="R146" s="177" t="s">
        <v>1</v>
      </c>
      <c r="S146" s="178" t="s">
        <v>1</v>
      </c>
      <c r="T146" s="205">
        <v>400000</v>
      </c>
      <c r="U146" s="194"/>
    </row>
    <row r="147" spans="1:21">
      <c r="A147" s="182" t="s">
        <v>240</v>
      </c>
      <c r="B147" s="182" t="s">
        <v>241</v>
      </c>
      <c r="C147" s="178" t="s">
        <v>1</v>
      </c>
      <c r="D147" s="184">
        <v>2145876.16</v>
      </c>
      <c r="E147" s="178" t="s">
        <v>1</v>
      </c>
      <c r="F147" s="182" t="s">
        <v>1</v>
      </c>
      <c r="G147" s="178" t="s">
        <v>1</v>
      </c>
      <c r="H147" s="192">
        <v>44.705753333333334</v>
      </c>
      <c r="I147" s="180" t="s">
        <v>1</v>
      </c>
      <c r="J147" s="132"/>
      <c r="K147" s="191">
        <v>4800000</v>
      </c>
      <c r="L147" s="132"/>
      <c r="M147" s="178" t="s">
        <v>1</v>
      </c>
      <c r="N147" s="184">
        <v>2145876.16</v>
      </c>
      <c r="O147" s="178" t="s">
        <v>1</v>
      </c>
      <c r="P147" s="182" t="s">
        <v>1</v>
      </c>
      <c r="Q147" s="178" t="s">
        <v>1</v>
      </c>
      <c r="R147" s="192">
        <v>44.705753333333334</v>
      </c>
      <c r="S147" s="178" t="s">
        <v>1</v>
      </c>
      <c r="T147" s="206">
        <v>4800000</v>
      </c>
      <c r="U147" s="194"/>
    </row>
    <row r="148" spans="1:21">
      <c r="A148" s="177" t="s">
        <v>242</v>
      </c>
      <c r="B148" s="177" t="s">
        <v>243</v>
      </c>
      <c r="C148" s="178" t="s">
        <v>1</v>
      </c>
      <c r="D148" s="179">
        <v>3421520</v>
      </c>
      <c r="E148" s="178" t="s">
        <v>1</v>
      </c>
      <c r="F148" s="177" t="s">
        <v>1</v>
      </c>
      <c r="G148" s="178" t="s">
        <v>1</v>
      </c>
      <c r="H148" s="189">
        <v>47.834009979417722</v>
      </c>
      <c r="I148" s="180" t="s">
        <v>1</v>
      </c>
      <c r="J148" s="132"/>
      <c r="K148" s="190">
        <v>7152902.2999999998</v>
      </c>
      <c r="L148" s="132"/>
      <c r="M148" s="178" t="s">
        <v>1</v>
      </c>
      <c r="N148" s="179">
        <v>3421520</v>
      </c>
      <c r="O148" s="178" t="s">
        <v>1</v>
      </c>
      <c r="P148" s="177" t="s">
        <v>1</v>
      </c>
      <c r="Q148" s="178" t="s">
        <v>1</v>
      </c>
      <c r="R148" s="189">
        <v>47.834009979417722</v>
      </c>
      <c r="S148" s="178" t="s">
        <v>1</v>
      </c>
      <c r="T148" s="205">
        <v>7152902.2999999998</v>
      </c>
      <c r="U148" s="194"/>
    </row>
    <row r="149" spans="1:21">
      <c r="A149" s="182" t="s">
        <v>244</v>
      </c>
      <c r="B149" s="182" t="s">
        <v>245</v>
      </c>
      <c r="C149" s="178" t="s">
        <v>1</v>
      </c>
      <c r="D149" s="184">
        <v>2473447.56</v>
      </c>
      <c r="E149" s="178" t="s">
        <v>1</v>
      </c>
      <c r="F149" s="182" t="s">
        <v>1</v>
      </c>
      <c r="G149" s="178" t="s">
        <v>1</v>
      </c>
      <c r="H149" s="192">
        <v>76.578688030250547</v>
      </c>
      <c r="I149" s="180" t="s">
        <v>1</v>
      </c>
      <c r="J149" s="132"/>
      <c r="K149" s="191">
        <v>3229942.46</v>
      </c>
      <c r="L149" s="132"/>
      <c r="M149" s="178" t="s">
        <v>1</v>
      </c>
      <c r="N149" s="184">
        <v>2473447.56</v>
      </c>
      <c r="O149" s="178" t="s">
        <v>1</v>
      </c>
      <c r="P149" s="182" t="s">
        <v>1</v>
      </c>
      <c r="Q149" s="178" t="s">
        <v>1</v>
      </c>
      <c r="R149" s="192">
        <v>76.578688030250547</v>
      </c>
      <c r="S149" s="178" t="s">
        <v>1</v>
      </c>
      <c r="T149" s="206">
        <v>3229942.46</v>
      </c>
      <c r="U149" s="194"/>
    </row>
    <row r="150" spans="1:21">
      <c r="A150" s="177" t="s">
        <v>246</v>
      </c>
      <c r="B150" s="177" t="s">
        <v>247</v>
      </c>
      <c r="C150" s="178" t="s">
        <v>1</v>
      </c>
      <c r="D150" s="179">
        <v>422289.25</v>
      </c>
      <c r="E150" s="178" t="s">
        <v>1</v>
      </c>
      <c r="F150" s="177" t="s">
        <v>1</v>
      </c>
      <c r="G150" s="178" t="s">
        <v>1</v>
      </c>
      <c r="H150" s="189">
        <v>39.525258949451214</v>
      </c>
      <c r="I150" s="180" t="s">
        <v>1</v>
      </c>
      <c r="J150" s="132"/>
      <c r="K150" s="190">
        <v>1068403.5</v>
      </c>
      <c r="L150" s="132"/>
      <c r="M150" s="178" t="s">
        <v>1</v>
      </c>
      <c r="N150" s="179">
        <v>422289.25</v>
      </c>
      <c r="O150" s="178" t="s">
        <v>1</v>
      </c>
      <c r="P150" s="177" t="s">
        <v>1</v>
      </c>
      <c r="Q150" s="178" t="s">
        <v>1</v>
      </c>
      <c r="R150" s="189">
        <v>39.525258949451214</v>
      </c>
      <c r="S150" s="178" t="s">
        <v>1</v>
      </c>
      <c r="T150" s="205">
        <v>1068403.5</v>
      </c>
      <c r="U150" s="194"/>
    </row>
    <row r="151" spans="1:21">
      <c r="A151" s="182" t="s">
        <v>248</v>
      </c>
      <c r="B151" s="182" t="s">
        <v>249</v>
      </c>
      <c r="C151" s="178" t="s">
        <v>1</v>
      </c>
      <c r="D151" s="184">
        <v>14074</v>
      </c>
      <c r="E151" s="178" t="s">
        <v>1</v>
      </c>
      <c r="F151" s="182" t="s">
        <v>1</v>
      </c>
      <c r="G151" s="178" t="s">
        <v>1</v>
      </c>
      <c r="H151" s="182" t="s">
        <v>1</v>
      </c>
      <c r="I151" s="180" t="s">
        <v>1</v>
      </c>
      <c r="J151" s="132"/>
      <c r="K151" s="183" t="s">
        <v>1</v>
      </c>
      <c r="L151" s="132"/>
      <c r="M151" s="178" t="s">
        <v>1</v>
      </c>
      <c r="N151" s="184">
        <v>14074</v>
      </c>
      <c r="O151" s="178" t="s">
        <v>1</v>
      </c>
      <c r="P151" s="182" t="s">
        <v>1</v>
      </c>
      <c r="Q151" s="178" t="s">
        <v>1</v>
      </c>
      <c r="R151" s="182" t="s">
        <v>1</v>
      </c>
      <c r="S151" s="178" t="s">
        <v>1</v>
      </c>
      <c r="T151" s="202" t="s">
        <v>1</v>
      </c>
      <c r="U151" s="194"/>
    </row>
    <row r="152" spans="1:21" ht="19">
      <c r="A152" s="173" t="s">
        <v>250</v>
      </c>
      <c r="B152" s="173" t="s">
        <v>251</v>
      </c>
      <c r="C152" s="170" t="s">
        <v>1</v>
      </c>
      <c r="D152" s="174">
        <v>4253340.38</v>
      </c>
      <c r="E152" s="170" t="s">
        <v>1</v>
      </c>
      <c r="F152" s="173" t="s">
        <v>1</v>
      </c>
      <c r="G152" s="170" t="s">
        <v>1</v>
      </c>
      <c r="H152" s="185">
        <v>74.94798140005166</v>
      </c>
      <c r="I152" s="171" t="s">
        <v>1</v>
      </c>
      <c r="J152" s="132"/>
      <c r="K152" s="186">
        <v>5675056.6200000001</v>
      </c>
      <c r="L152" s="132"/>
      <c r="M152" s="170" t="s">
        <v>1</v>
      </c>
      <c r="N152" s="174">
        <v>4253340.38</v>
      </c>
      <c r="O152" s="170" t="s">
        <v>1</v>
      </c>
      <c r="P152" s="173" t="s">
        <v>1</v>
      </c>
      <c r="Q152" s="170" t="s">
        <v>1</v>
      </c>
      <c r="R152" s="185">
        <v>74.94798140005166</v>
      </c>
      <c r="S152" s="170" t="s">
        <v>1</v>
      </c>
      <c r="T152" s="203">
        <v>5675056.6200000001</v>
      </c>
      <c r="U152" s="194"/>
    </row>
    <row r="153" spans="1:21">
      <c r="A153" s="182" t="s">
        <v>252</v>
      </c>
      <c r="B153" s="182" t="s">
        <v>73</v>
      </c>
      <c r="C153" s="178" t="s">
        <v>1</v>
      </c>
      <c r="D153" s="182" t="s">
        <v>1</v>
      </c>
      <c r="E153" s="178" t="s">
        <v>1</v>
      </c>
      <c r="F153" s="182" t="s">
        <v>1</v>
      </c>
      <c r="G153" s="178" t="s">
        <v>1</v>
      </c>
      <c r="H153" s="182" t="s">
        <v>1</v>
      </c>
      <c r="I153" s="180" t="s">
        <v>1</v>
      </c>
      <c r="J153" s="132"/>
      <c r="K153" s="183" t="s">
        <v>1</v>
      </c>
      <c r="L153" s="132"/>
      <c r="M153" s="178" t="s">
        <v>1</v>
      </c>
      <c r="N153" s="182" t="s">
        <v>1</v>
      </c>
      <c r="O153" s="178" t="s">
        <v>1</v>
      </c>
      <c r="P153" s="182" t="s">
        <v>1</v>
      </c>
      <c r="Q153" s="178" t="s">
        <v>1</v>
      </c>
      <c r="R153" s="182" t="s">
        <v>1</v>
      </c>
      <c r="S153" s="178" t="s">
        <v>1</v>
      </c>
      <c r="T153" s="202" t="s">
        <v>1</v>
      </c>
      <c r="U153" s="194"/>
    </row>
    <row r="154" spans="1:21">
      <c r="A154" s="177" t="s">
        <v>253</v>
      </c>
      <c r="B154" s="177" t="s">
        <v>75</v>
      </c>
      <c r="C154" s="178" t="s">
        <v>1</v>
      </c>
      <c r="D154" s="177" t="s">
        <v>1</v>
      </c>
      <c r="E154" s="178" t="s">
        <v>1</v>
      </c>
      <c r="F154" s="177" t="s">
        <v>1</v>
      </c>
      <c r="G154" s="178" t="s">
        <v>1</v>
      </c>
      <c r="H154" s="177" t="s">
        <v>1</v>
      </c>
      <c r="I154" s="180" t="s">
        <v>1</v>
      </c>
      <c r="J154" s="132"/>
      <c r="K154" s="181" t="s">
        <v>1</v>
      </c>
      <c r="L154" s="132"/>
      <c r="M154" s="178" t="s">
        <v>1</v>
      </c>
      <c r="N154" s="177" t="s">
        <v>1</v>
      </c>
      <c r="O154" s="178" t="s">
        <v>1</v>
      </c>
      <c r="P154" s="177" t="s">
        <v>1</v>
      </c>
      <c r="Q154" s="178" t="s">
        <v>1</v>
      </c>
      <c r="R154" s="177" t="s">
        <v>1</v>
      </c>
      <c r="S154" s="178" t="s">
        <v>1</v>
      </c>
      <c r="T154" s="201" t="s">
        <v>1</v>
      </c>
      <c r="U154" s="194"/>
    </row>
    <row r="155" spans="1:21">
      <c r="A155" s="182" t="s">
        <v>254</v>
      </c>
      <c r="B155" s="182" t="s">
        <v>77</v>
      </c>
      <c r="C155" s="178" t="s">
        <v>1</v>
      </c>
      <c r="D155" s="182" t="s">
        <v>1</v>
      </c>
      <c r="E155" s="178" t="s">
        <v>1</v>
      </c>
      <c r="F155" s="182" t="s">
        <v>1</v>
      </c>
      <c r="G155" s="178" t="s">
        <v>1</v>
      </c>
      <c r="H155" s="182" t="s">
        <v>1</v>
      </c>
      <c r="I155" s="180" t="s">
        <v>1</v>
      </c>
      <c r="J155" s="132"/>
      <c r="K155" s="183" t="s">
        <v>1</v>
      </c>
      <c r="L155" s="132"/>
      <c r="M155" s="178" t="s">
        <v>1</v>
      </c>
      <c r="N155" s="182" t="s">
        <v>1</v>
      </c>
      <c r="O155" s="178" t="s">
        <v>1</v>
      </c>
      <c r="P155" s="182" t="s">
        <v>1</v>
      </c>
      <c r="Q155" s="178" t="s">
        <v>1</v>
      </c>
      <c r="R155" s="182" t="s">
        <v>1</v>
      </c>
      <c r="S155" s="178" t="s">
        <v>1</v>
      </c>
      <c r="T155" s="202" t="s">
        <v>1</v>
      </c>
      <c r="U155" s="194"/>
    </row>
    <row r="156" spans="1:21">
      <c r="A156" s="177" t="s">
        <v>255</v>
      </c>
      <c r="B156" s="177" t="s">
        <v>256</v>
      </c>
      <c r="C156" s="178" t="s">
        <v>1</v>
      </c>
      <c r="D156" s="179">
        <v>10000</v>
      </c>
      <c r="E156" s="178" t="s">
        <v>1</v>
      </c>
      <c r="F156" s="177" t="s">
        <v>1</v>
      </c>
      <c r="G156" s="178" t="s">
        <v>1</v>
      </c>
      <c r="H156" s="189">
        <v>10</v>
      </c>
      <c r="I156" s="180" t="s">
        <v>1</v>
      </c>
      <c r="J156" s="132"/>
      <c r="K156" s="190">
        <v>100000</v>
      </c>
      <c r="L156" s="132"/>
      <c r="M156" s="178" t="s">
        <v>1</v>
      </c>
      <c r="N156" s="179">
        <v>10000</v>
      </c>
      <c r="O156" s="178" t="s">
        <v>1</v>
      </c>
      <c r="P156" s="177" t="s">
        <v>1</v>
      </c>
      <c r="Q156" s="178" t="s">
        <v>1</v>
      </c>
      <c r="R156" s="189">
        <v>10</v>
      </c>
      <c r="S156" s="178" t="s">
        <v>1</v>
      </c>
      <c r="T156" s="205">
        <v>100000</v>
      </c>
      <c r="U156" s="194"/>
    </row>
    <row r="157" spans="1:21">
      <c r="A157" s="182" t="s">
        <v>257</v>
      </c>
      <c r="B157" s="182" t="s">
        <v>258</v>
      </c>
      <c r="C157" s="178" t="s">
        <v>1</v>
      </c>
      <c r="D157" s="182" t="s">
        <v>1</v>
      </c>
      <c r="E157" s="178" t="s">
        <v>1</v>
      </c>
      <c r="F157" s="182" t="s">
        <v>1</v>
      </c>
      <c r="G157" s="178" t="s">
        <v>1</v>
      </c>
      <c r="H157" s="182" t="s">
        <v>1</v>
      </c>
      <c r="I157" s="180" t="s">
        <v>1</v>
      </c>
      <c r="J157" s="132"/>
      <c r="K157" s="183" t="s">
        <v>1</v>
      </c>
      <c r="L157" s="132"/>
      <c r="M157" s="178" t="s">
        <v>1</v>
      </c>
      <c r="N157" s="182" t="s">
        <v>1</v>
      </c>
      <c r="O157" s="178" t="s">
        <v>1</v>
      </c>
      <c r="P157" s="182" t="s">
        <v>1</v>
      </c>
      <c r="Q157" s="178" t="s">
        <v>1</v>
      </c>
      <c r="R157" s="182" t="s">
        <v>1</v>
      </c>
      <c r="S157" s="178" t="s">
        <v>1</v>
      </c>
      <c r="T157" s="202" t="s">
        <v>1</v>
      </c>
      <c r="U157" s="194"/>
    </row>
    <row r="158" spans="1:21">
      <c r="A158" s="177" t="s">
        <v>259</v>
      </c>
      <c r="B158" s="177" t="s">
        <v>260</v>
      </c>
      <c r="C158" s="178" t="s">
        <v>1</v>
      </c>
      <c r="D158" s="179">
        <v>63800</v>
      </c>
      <c r="E158" s="178" t="s">
        <v>1</v>
      </c>
      <c r="F158" s="177" t="s">
        <v>1</v>
      </c>
      <c r="G158" s="178" t="s">
        <v>1</v>
      </c>
      <c r="H158" s="189">
        <v>63.8</v>
      </c>
      <c r="I158" s="180" t="s">
        <v>1</v>
      </c>
      <c r="J158" s="132"/>
      <c r="K158" s="190">
        <v>100000</v>
      </c>
      <c r="L158" s="132"/>
      <c r="M158" s="178" t="s">
        <v>1</v>
      </c>
      <c r="N158" s="179">
        <v>63800</v>
      </c>
      <c r="O158" s="178" t="s">
        <v>1</v>
      </c>
      <c r="P158" s="177" t="s">
        <v>1</v>
      </c>
      <c r="Q158" s="178" t="s">
        <v>1</v>
      </c>
      <c r="R158" s="189">
        <v>63.8</v>
      </c>
      <c r="S158" s="178" t="s">
        <v>1</v>
      </c>
      <c r="T158" s="205">
        <v>100000</v>
      </c>
      <c r="U158" s="194"/>
    </row>
    <row r="159" spans="1:21">
      <c r="A159" s="182" t="s">
        <v>261</v>
      </c>
      <c r="B159" s="182" t="s">
        <v>81</v>
      </c>
      <c r="C159" s="178" t="s">
        <v>1</v>
      </c>
      <c r="D159" s="184">
        <v>3031620.38</v>
      </c>
      <c r="E159" s="178" t="s">
        <v>1</v>
      </c>
      <c r="F159" s="182" t="s">
        <v>1</v>
      </c>
      <c r="G159" s="178" t="s">
        <v>1</v>
      </c>
      <c r="H159" s="192">
        <v>76.82151920187286</v>
      </c>
      <c r="I159" s="180" t="s">
        <v>1</v>
      </c>
      <c r="J159" s="132"/>
      <c r="K159" s="191">
        <v>3946316.62</v>
      </c>
      <c r="L159" s="132"/>
      <c r="M159" s="178" t="s">
        <v>1</v>
      </c>
      <c r="N159" s="184">
        <v>3031620.38</v>
      </c>
      <c r="O159" s="178" t="s">
        <v>1</v>
      </c>
      <c r="P159" s="182" t="s">
        <v>1</v>
      </c>
      <c r="Q159" s="178" t="s">
        <v>1</v>
      </c>
      <c r="R159" s="192">
        <v>76.82151920187286</v>
      </c>
      <c r="S159" s="178" t="s">
        <v>1</v>
      </c>
      <c r="T159" s="206">
        <v>3946316.62</v>
      </c>
      <c r="U159" s="194"/>
    </row>
    <row r="160" spans="1:21">
      <c r="A160" s="177" t="s">
        <v>262</v>
      </c>
      <c r="B160" s="177" t="s">
        <v>83</v>
      </c>
      <c r="C160" s="178" t="s">
        <v>1</v>
      </c>
      <c r="D160" s="177" t="s">
        <v>1</v>
      </c>
      <c r="E160" s="178" t="s">
        <v>1</v>
      </c>
      <c r="F160" s="177" t="s">
        <v>1</v>
      </c>
      <c r="G160" s="178" t="s">
        <v>1</v>
      </c>
      <c r="H160" s="177" t="s">
        <v>1</v>
      </c>
      <c r="I160" s="180" t="s">
        <v>1</v>
      </c>
      <c r="J160" s="132"/>
      <c r="K160" s="190">
        <v>1528740</v>
      </c>
      <c r="L160" s="132"/>
      <c r="M160" s="178" t="s">
        <v>1</v>
      </c>
      <c r="N160" s="177" t="s">
        <v>1</v>
      </c>
      <c r="O160" s="178" t="s">
        <v>1</v>
      </c>
      <c r="P160" s="177" t="s">
        <v>1</v>
      </c>
      <c r="Q160" s="178" t="s">
        <v>1</v>
      </c>
      <c r="R160" s="177" t="s">
        <v>1</v>
      </c>
      <c r="S160" s="178" t="s">
        <v>1</v>
      </c>
      <c r="T160" s="205">
        <v>1528740</v>
      </c>
      <c r="U160" s="194"/>
    </row>
    <row r="161" spans="1:21">
      <c r="A161" s="182" t="s">
        <v>263</v>
      </c>
      <c r="B161" s="182" t="s">
        <v>85</v>
      </c>
      <c r="C161" s="178" t="s">
        <v>1</v>
      </c>
      <c r="D161" s="184">
        <v>1147920</v>
      </c>
      <c r="E161" s="178" t="s">
        <v>1</v>
      </c>
      <c r="F161" s="182" t="s">
        <v>1</v>
      </c>
      <c r="G161" s="178" t="s">
        <v>1</v>
      </c>
      <c r="H161" s="182" t="s">
        <v>1</v>
      </c>
      <c r="I161" s="180" t="s">
        <v>1</v>
      </c>
      <c r="J161" s="132"/>
      <c r="K161" s="183" t="s">
        <v>1</v>
      </c>
      <c r="L161" s="132"/>
      <c r="M161" s="178" t="s">
        <v>1</v>
      </c>
      <c r="N161" s="184">
        <v>1147920</v>
      </c>
      <c r="O161" s="178" t="s">
        <v>1</v>
      </c>
      <c r="P161" s="182" t="s">
        <v>1</v>
      </c>
      <c r="Q161" s="178" t="s">
        <v>1</v>
      </c>
      <c r="R161" s="182" t="s">
        <v>1</v>
      </c>
      <c r="S161" s="178" t="s">
        <v>1</v>
      </c>
      <c r="T161" s="202" t="s">
        <v>1</v>
      </c>
      <c r="U161" s="194"/>
    </row>
    <row r="162" spans="1:21">
      <c r="A162" s="173" t="s">
        <v>264</v>
      </c>
      <c r="B162" s="173" t="s">
        <v>265</v>
      </c>
      <c r="C162" s="170" t="s">
        <v>1</v>
      </c>
      <c r="D162" s="174">
        <v>24283293.350000001</v>
      </c>
      <c r="E162" s="170" t="s">
        <v>1</v>
      </c>
      <c r="F162" s="173" t="s">
        <v>1</v>
      </c>
      <c r="G162" s="170" t="s">
        <v>1</v>
      </c>
      <c r="H162" s="185">
        <v>46.775403831099268</v>
      </c>
      <c r="I162" s="171" t="s">
        <v>1</v>
      </c>
      <c r="J162" s="132"/>
      <c r="K162" s="186">
        <v>51914663.18</v>
      </c>
      <c r="L162" s="132"/>
      <c r="M162" s="170" t="s">
        <v>1</v>
      </c>
      <c r="N162" s="174">
        <v>24283293.350000001</v>
      </c>
      <c r="O162" s="170" t="s">
        <v>1</v>
      </c>
      <c r="P162" s="173" t="s">
        <v>1</v>
      </c>
      <c r="Q162" s="170" t="s">
        <v>1</v>
      </c>
      <c r="R162" s="185">
        <v>46.775403831099268</v>
      </c>
      <c r="S162" s="170" t="s">
        <v>1</v>
      </c>
      <c r="T162" s="203">
        <v>51914663.18</v>
      </c>
      <c r="U162" s="194"/>
    </row>
    <row r="163" spans="1:21">
      <c r="A163" s="182" t="s">
        <v>266</v>
      </c>
      <c r="B163" s="182" t="s">
        <v>97</v>
      </c>
      <c r="C163" s="178" t="s">
        <v>1</v>
      </c>
      <c r="D163" s="184">
        <v>15115017.119999999</v>
      </c>
      <c r="E163" s="178" t="s">
        <v>1</v>
      </c>
      <c r="F163" s="182" t="s">
        <v>1</v>
      </c>
      <c r="G163" s="178" t="s">
        <v>1</v>
      </c>
      <c r="H163" s="192">
        <v>67.177853866666666</v>
      </c>
      <c r="I163" s="180" t="s">
        <v>1</v>
      </c>
      <c r="J163" s="132"/>
      <c r="K163" s="191">
        <v>22500000</v>
      </c>
      <c r="L163" s="132"/>
      <c r="M163" s="178" t="s">
        <v>1</v>
      </c>
      <c r="N163" s="184">
        <v>15115017.119999999</v>
      </c>
      <c r="O163" s="178" t="s">
        <v>1</v>
      </c>
      <c r="P163" s="182" t="s">
        <v>1</v>
      </c>
      <c r="Q163" s="178" t="s">
        <v>1</v>
      </c>
      <c r="R163" s="192">
        <v>67.177853866666666</v>
      </c>
      <c r="S163" s="178" t="s">
        <v>1</v>
      </c>
      <c r="T163" s="206">
        <v>22500000</v>
      </c>
      <c r="U163" s="194"/>
    </row>
    <row r="164" spans="1:21">
      <c r="A164" s="177" t="s">
        <v>267</v>
      </c>
      <c r="B164" s="177" t="s">
        <v>268</v>
      </c>
      <c r="C164" s="178" t="s">
        <v>1</v>
      </c>
      <c r="D164" s="179">
        <v>1078090</v>
      </c>
      <c r="E164" s="178" t="s">
        <v>1</v>
      </c>
      <c r="F164" s="177" t="s">
        <v>1</v>
      </c>
      <c r="G164" s="178" t="s">
        <v>1</v>
      </c>
      <c r="H164" s="189">
        <v>21.561800000000002</v>
      </c>
      <c r="I164" s="180" t="s">
        <v>1</v>
      </c>
      <c r="J164" s="132"/>
      <c r="K164" s="190">
        <v>5000000</v>
      </c>
      <c r="L164" s="132"/>
      <c r="M164" s="178" t="s">
        <v>1</v>
      </c>
      <c r="N164" s="179">
        <v>1078090</v>
      </c>
      <c r="O164" s="178" t="s">
        <v>1</v>
      </c>
      <c r="P164" s="177" t="s">
        <v>1</v>
      </c>
      <c r="Q164" s="178" t="s">
        <v>1</v>
      </c>
      <c r="R164" s="189">
        <v>21.561800000000002</v>
      </c>
      <c r="S164" s="178" t="s">
        <v>1</v>
      </c>
      <c r="T164" s="205">
        <v>5000000</v>
      </c>
      <c r="U164" s="194"/>
    </row>
    <row r="165" spans="1:21">
      <c r="A165" s="182" t="s">
        <v>269</v>
      </c>
      <c r="B165" s="182" t="s">
        <v>107</v>
      </c>
      <c r="C165" s="178" t="s">
        <v>1</v>
      </c>
      <c r="D165" s="184">
        <v>485819</v>
      </c>
      <c r="E165" s="178" t="s">
        <v>1</v>
      </c>
      <c r="F165" s="182" t="s">
        <v>1</v>
      </c>
      <c r="G165" s="178" t="s">
        <v>1</v>
      </c>
      <c r="H165" s="192">
        <v>4.555807822948239</v>
      </c>
      <c r="I165" s="180" t="s">
        <v>1</v>
      </c>
      <c r="J165" s="132"/>
      <c r="K165" s="191">
        <v>10663729</v>
      </c>
      <c r="L165" s="132"/>
      <c r="M165" s="178" t="s">
        <v>1</v>
      </c>
      <c r="N165" s="184">
        <v>485819</v>
      </c>
      <c r="O165" s="178" t="s">
        <v>1</v>
      </c>
      <c r="P165" s="182" t="s">
        <v>1</v>
      </c>
      <c r="Q165" s="178" t="s">
        <v>1</v>
      </c>
      <c r="R165" s="192">
        <v>4.555807822948239</v>
      </c>
      <c r="S165" s="178" t="s">
        <v>1</v>
      </c>
      <c r="T165" s="206">
        <v>10663729</v>
      </c>
      <c r="U165" s="194"/>
    </row>
    <row r="166" spans="1:21">
      <c r="A166" s="177" t="s">
        <v>270</v>
      </c>
      <c r="B166" s="177" t="s">
        <v>79</v>
      </c>
      <c r="C166" s="178" t="s">
        <v>1</v>
      </c>
      <c r="D166" s="177" t="s">
        <v>1</v>
      </c>
      <c r="E166" s="178" t="s">
        <v>1</v>
      </c>
      <c r="F166" s="177" t="s">
        <v>1</v>
      </c>
      <c r="G166" s="178" t="s">
        <v>1</v>
      </c>
      <c r="H166" s="177" t="s">
        <v>1</v>
      </c>
      <c r="I166" s="180" t="s">
        <v>1</v>
      </c>
      <c r="J166" s="132"/>
      <c r="K166" s="190">
        <v>707416</v>
      </c>
      <c r="L166" s="132"/>
      <c r="M166" s="178" t="s">
        <v>1</v>
      </c>
      <c r="N166" s="177" t="s">
        <v>1</v>
      </c>
      <c r="O166" s="178" t="s">
        <v>1</v>
      </c>
      <c r="P166" s="177" t="s">
        <v>1</v>
      </c>
      <c r="Q166" s="178" t="s">
        <v>1</v>
      </c>
      <c r="R166" s="177" t="s">
        <v>1</v>
      </c>
      <c r="S166" s="178" t="s">
        <v>1</v>
      </c>
      <c r="T166" s="205">
        <v>707416</v>
      </c>
      <c r="U166" s="194"/>
    </row>
    <row r="167" spans="1:21">
      <c r="A167" s="182" t="s">
        <v>271</v>
      </c>
      <c r="B167" s="182" t="s">
        <v>81</v>
      </c>
      <c r="C167" s="178" t="s">
        <v>1</v>
      </c>
      <c r="D167" s="184">
        <v>3164375.14</v>
      </c>
      <c r="E167" s="178" t="s">
        <v>1</v>
      </c>
      <c r="F167" s="182" t="s">
        <v>1</v>
      </c>
      <c r="G167" s="178" t="s">
        <v>1</v>
      </c>
      <c r="H167" s="192">
        <v>57.923668883990565</v>
      </c>
      <c r="I167" s="180" t="s">
        <v>1</v>
      </c>
      <c r="J167" s="132"/>
      <c r="K167" s="191">
        <v>5463008.8200000003</v>
      </c>
      <c r="L167" s="132"/>
      <c r="M167" s="178" t="s">
        <v>1</v>
      </c>
      <c r="N167" s="184">
        <v>3164375.14</v>
      </c>
      <c r="O167" s="178" t="s">
        <v>1</v>
      </c>
      <c r="P167" s="182" t="s">
        <v>1</v>
      </c>
      <c r="Q167" s="178" t="s">
        <v>1</v>
      </c>
      <c r="R167" s="192">
        <v>57.923668883990565</v>
      </c>
      <c r="S167" s="178" t="s">
        <v>1</v>
      </c>
      <c r="T167" s="206">
        <v>5463008.8200000003</v>
      </c>
      <c r="U167" s="194"/>
    </row>
    <row r="168" spans="1:21">
      <c r="A168" s="177" t="s">
        <v>272</v>
      </c>
      <c r="B168" s="177" t="s">
        <v>83</v>
      </c>
      <c r="C168" s="178" t="s">
        <v>1</v>
      </c>
      <c r="D168" s="179">
        <v>1646138.25</v>
      </c>
      <c r="E168" s="178" t="s">
        <v>1</v>
      </c>
      <c r="F168" s="177" t="s">
        <v>1</v>
      </c>
      <c r="G168" s="178" t="s">
        <v>1</v>
      </c>
      <c r="H168" s="189">
        <v>55.308973624572779</v>
      </c>
      <c r="I168" s="180" t="s">
        <v>1</v>
      </c>
      <c r="J168" s="132"/>
      <c r="K168" s="190">
        <v>2976258.9</v>
      </c>
      <c r="L168" s="132"/>
      <c r="M168" s="178" t="s">
        <v>1</v>
      </c>
      <c r="N168" s="179">
        <v>1646138.25</v>
      </c>
      <c r="O168" s="178" t="s">
        <v>1</v>
      </c>
      <c r="P168" s="177" t="s">
        <v>1</v>
      </c>
      <c r="Q168" s="178" t="s">
        <v>1</v>
      </c>
      <c r="R168" s="189">
        <v>55.308973624572779</v>
      </c>
      <c r="S168" s="178" t="s">
        <v>1</v>
      </c>
      <c r="T168" s="205">
        <v>2976258.9</v>
      </c>
      <c r="U168" s="194"/>
    </row>
    <row r="169" spans="1:21">
      <c r="A169" s="182" t="s">
        <v>273</v>
      </c>
      <c r="B169" s="182" t="s">
        <v>85</v>
      </c>
      <c r="C169" s="178" t="s">
        <v>1</v>
      </c>
      <c r="D169" s="184">
        <v>1501601.68</v>
      </c>
      <c r="E169" s="178" t="s">
        <v>1</v>
      </c>
      <c r="F169" s="182" t="s">
        <v>1</v>
      </c>
      <c r="G169" s="178" t="s">
        <v>1</v>
      </c>
      <c r="H169" s="192">
        <v>59.912525416811121</v>
      </c>
      <c r="I169" s="180" t="s">
        <v>1</v>
      </c>
      <c r="J169" s="132"/>
      <c r="K169" s="191">
        <v>2506323.46</v>
      </c>
      <c r="L169" s="132"/>
      <c r="M169" s="178" t="s">
        <v>1</v>
      </c>
      <c r="N169" s="184">
        <v>1501601.68</v>
      </c>
      <c r="O169" s="178" t="s">
        <v>1</v>
      </c>
      <c r="P169" s="182" t="s">
        <v>1</v>
      </c>
      <c r="Q169" s="178" t="s">
        <v>1</v>
      </c>
      <c r="R169" s="192">
        <v>59.912525416811121</v>
      </c>
      <c r="S169" s="178" t="s">
        <v>1</v>
      </c>
      <c r="T169" s="206">
        <v>2506323.46</v>
      </c>
      <c r="U169" s="194"/>
    </row>
    <row r="170" spans="1:21">
      <c r="A170" s="177" t="s">
        <v>274</v>
      </c>
      <c r="B170" s="177" t="s">
        <v>91</v>
      </c>
      <c r="C170" s="178" t="s">
        <v>1</v>
      </c>
      <c r="D170" s="179">
        <v>1292252.1599999999</v>
      </c>
      <c r="E170" s="178" t="s">
        <v>1</v>
      </c>
      <c r="F170" s="177" t="s">
        <v>1</v>
      </c>
      <c r="G170" s="178" t="s">
        <v>1</v>
      </c>
      <c r="H170" s="189">
        <v>61.596621808099137</v>
      </c>
      <c r="I170" s="180" t="s">
        <v>1</v>
      </c>
      <c r="J170" s="132"/>
      <c r="K170" s="190">
        <v>2097927</v>
      </c>
      <c r="L170" s="132"/>
      <c r="M170" s="178" t="s">
        <v>1</v>
      </c>
      <c r="N170" s="179">
        <v>1292252.1599999999</v>
      </c>
      <c r="O170" s="178" t="s">
        <v>1</v>
      </c>
      <c r="P170" s="177" t="s">
        <v>1</v>
      </c>
      <c r="Q170" s="178" t="s">
        <v>1</v>
      </c>
      <c r="R170" s="189">
        <v>61.596621808099137</v>
      </c>
      <c r="S170" s="178" t="s">
        <v>1</v>
      </c>
      <c r="T170" s="205">
        <v>2097927</v>
      </c>
      <c r="U170" s="194"/>
    </row>
    <row r="171" spans="1:21">
      <c r="A171" s="182" t="s">
        <v>275</v>
      </c>
      <c r="B171" s="182" t="s">
        <v>276</v>
      </c>
      <c r="C171" s="178" t="s">
        <v>1</v>
      </c>
      <c r="D171" s="182" t="s">
        <v>1</v>
      </c>
      <c r="E171" s="178" t="s">
        <v>1</v>
      </c>
      <c r="F171" s="182" t="s">
        <v>1</v>
      </c>
      <c r="G171" s="178" t="s">
        <v>1</v>
      </c>
      <c r="H171" s="182" t="s">
        <v>1</v>
      </c>
      <c r="I171" s="180" t="s">
        <v>1</v>
      </c>
      <c r="J171" s="132"/>
      <c r="K171" s="183" t="s">
        <v>1</v>
      </c>
      <c r="L171" s="132"/>
      <c r="M171" s="178" t="s">
        <v>1</v>
      </c>
      <c r="N171" s="182" t="s">
        <v>1</v>
      </c>
      <c r="O171" s="178" t="s">
        <v>1</v>
      </c>
      <c r="P171" s="182" t="s">
        <v>1</v>
      </c>
      <c r="Q171" s="178" t="s">
        <v>1</v>
      </c>
      <c r="R171" s="182" t="s">
        <v>1</v>
      </c>
      <c r="S171" s="178" t="s">
        <v>1</v>
      </c>
      <c r="T171" s="202" t="s">
        <v>1</v>
      </c>
      <c r="U171" s="194"/>
    </row>
    <row r="172" spans="1:21">
      <c r="A172" s="177" t="s">
        <v>277</v>
      </c>
      <c r="B172" s="177" t="s">
        <v>278</v>
      </c>
      <c r="C172" s="178" t="s">
        <v>1</v>
      </c>
      <c r="D172" s="177" t="s">
        <v>1</v>
      </c>
      <c r="E172" s="178" t="s">
        <v>1</v>
      </c>
      <c r="F172" s="177" t="s">
        <v>1</v>
      </c>
      <c r="G172" s="178" t="s">
        <v>1</v>
      </c>
      <c r="H172" s="177" t="s">
        <v>1</v>
      </c>
      <c r="I172" s="180" t="s">
        <v>1</v>
      </c>
      <c r="J172" s="132"/>
      <c r="K172" s="181" t="s">
        <v>1</v>
      </c>
      <c r="L172" s="132"/>
      <c r="M172" s="178" t="s">
        <v>1</v>
      </c>
      <c r="N172" s="177" t="s">
        <v>1</v>
      </c>
      <c r="O172" s="178" t="s">
        <v>1</v>
      </c>
      <c r="P172" s="177" t="s">
        <v>1</v>
      </c>
      <c r="Q172" s="178" t="s">
        <v>1</v>
      </c>
      <c r="R172" s="177" t="s">
        <v>1</v>
      </c>
      <c r="S172" s="178" t="s">
        <v>1</v>
      </c>
      <c r="T172" s="201" t="s">
        <v>1</v>
      </c>
      <c r="U172" s="194"/>
    </row>
    <row r="173" spans="1:21">
      <c r="A173" s="182" t="s">
        <v>279</v>
      </c>
      <c r="B173" s="182" t="s">
        <v>280</v>
      </c>
      <c r="C173" s="178" t="s">
        <v>1</v>
      </c>
      <c r="D173" s="182" t="s">
        <v>1</v>
      </c>
      <c r="E173" s="178" t="s">
        <v>1</v>
      </c>
      <c r="F173" s="182" t="s">
        <v>1</v>
      </c>
      <c r="G173" s="178" t="s">
        <v>1</v>
      </c>
      <c r="H173" s="182" t="s">
        <v>1</v>
      </c>
      <c r="I173" s="180" t="s">
        <v>1</v>
      </c>
      <c r="J173" s="132"/>
      <c r="K173" s="183" t="s">
        <v>1</v>
      </c>
      <c r="L173" s="132"/>
      <c r="M173" s="178" t="s">
        <v>1</v>
      </c>
      <c r="N173" s="182" t="s">
        <v>1</v>
      </c>
      <c r="O173" s="178" t="s">
        <v>1</v>
      </c>
      <c r="P173" s="182" t="s">
        <v>1</v>
      </c>
      <c r="Q173" s="178" t="s">
        <v>1</v>
      </c>
      <c r="R173" s="182" t="s">
        <v>1</v>
      </c>
      <c r="S173" s="178" t="s">
        <v>1</v>
      </c>
      <c r="T173" s="202" t="s">
        <v>1</v>
      </c>
      <c r="U173" s="194"/>
    </row>
    <row r="174" spans="1:21">
      <c r="A174" s="177" t="s">
        <v>281</v>
      </c>
      <c r="B174" s="177" t="s">
        <v>282</v>
      </c>
      <c r="C174" s="178" t="s">
        <v>1</v>
      </c>
      <c r="D174" s="177" t="s">
        <v>1</v>
      </c>
      <c r="E174" s="178" t="s">
        <v>1</v>
      </c>
      <c r="F174" s="177" t="s">
        <v>1</v>
      </c>
      <c r="G174" s="178" t="s">
        <v>1</v>
      </c>
      <c r="H174" s="177" t="s">
        <v>1</v>
      </c>
      <c r="I174" s="180" t="s">
        <v>1</v>
      </c>
      <c r="J174" s="132"/>
      <c r="K174" s="181" t="s">
        <v>1</v>
      </c>
      <c r="L174" s="132"/>
      <c r="M174" s="178" t="s">
        <v>1</v>
      </c>
      <c r="N174" s="177" t="s">
        <v>1</v>
      </c>
      <c r="O174" s="178" t="s">
        <v>1</v>
      </c>
      <c r="P174" s="177" t="s">
        <v>1</v>
      </c>
      <c r="Q174" s="178" t="s">
        <v>1</v>
      </c>
      <c r="R174" s="177" t="s">
        <v>1</v>
      </c>
      <c r="S174" s="178" t="s">
        <v>1</v>
      </c>
      <c r="T174" s="201" t="s">
        <v>1</v>
      </c>
      <c r="U174" s="194"/>
    </row>
    <row r="175" spans="1:21">
      <c r="A175" s="182" t="s">
        <v>283</v>
      </c>
      <c r="B175" s="182" t="s">
        <v>284</v>
      </c>
      <c r="C175" s="178" t="s">
        <v>1</v>
      </c>
      <c r="D175" s="182" t="s">
        <v>1</v>
      </c>
      <c r="E175" s="178" t="s">
        <v>1</v>
      </c>
      <c r="F175" s="182" t="s">
        <v>1</v>
      </c>
      <c r="G175" s="178" t="s">
        <v>1</v>
      </c>
      <c r="H175" s="182" t="s">
        <v>1</v>
      </c>
      <c r="I175" s="180" t="s">
        <v>1</v>
      </c>
      <c r="J175" s="132"/>
      <c r="K175" s="183" t="s">
        <v>1</v>
      </c>
      <c r="L175" s="132"/>
      <c r="M175" s="178" t="s">
        <v>1</v>
      </c>
      <c r="N175" s="182" t="s">
        <v>1</v>
      </c>
      <c r="O175" s="178" t="s">
        <v>1</v>
      </c>
      <c r="P175" s="182" t="s">
        <v>1</v>
      </c>
      <c r="Q175" s="178" t="s">
        <v>1</v>
      </c>
      <c r="R175" s="182" t="s">
        <v>1</v>
      </c>
      <c r="S175" s="178" t="s">
        <v>1</v>
      </c>
      <c r="T175" s="202" t="s">
        <v>1</v>
      </c>
      <c r="U175" s="194"/>
    </row>
    <row r="176" spans="1:21">
      <c r="A176" s="177" t="s">
        <v>285</v>
      </c>
      <c r="B176" s="177" t="s">
        <v>286</v>
      </c>
      <c r="C176" s="178" t="s">
        <v>1</v>
      </c>
      <c r="D176" s="177" t="s">
        <v>1</v>
      </c>
      <c r="E176" s="178" t="s">
        <v>1</v>
      </c>
      <c r="F176" s="177" t="s">
        <v>1</v>
      </c>
      <c r="G176" s="178" t="s">
        <v>1</v>
      </c>
      <c r="H176" s="177" t="s">
        <v>1</v>
      </c>
      <c r="I176" s="180" t="s">
        <v>1</v>
      </c>
      <c r="J176" s="132"/>
      <c r="K176" s="181" t="s">
        <v>1</v>
      </c>
      <c r="L176" s="132"/>
      <c r="M176" s="178" t="s">
        <v>1</v>
      </c>
      <c r="N176" s="177" t="s">
        <v>1</v>
      </c>
      <c r="O176" s="178" t="s">
        <v>1</v>
      </c>
      <c r="P176" s="177" t="s">
        <v>1</v>
      </c>
      <c r="Q176" s="178" t="s">
        <v>1</v>
      </c>
      <c r="R176" s="177" t="s">
        <v>1</v>
      </c>
      <c r="S176" s="178" t="s">
        <v>1</v>
      </c>
      <c r="T176" s="201" t="s">
        <v>1</v>
      </c>
      <c r="U176" s="194"/>
    </row>
    <row r="177" spans="1:21">
      <c r="A177" s="182" t="s">
        <v>287</v>
      </c>
      <c r="B177" s="182" t="s">
        <v>288</v>
      </c>
      <c r="C177" s="178" t="s">
        <v>1</v>
      </c>
      <c r="D177" s="182" t="s">
        <v>1</v>
      </c>
      <c r="E177" s="178" t="s">
        <v>1</v>
      </c>
      <c r="F177" s="182" t="s">
        <v>1</v>
      </c>
      <c r="G177" s="178" t="s">
        <v>1</v>
      </c>
      <c r="H177" s="182" t="s">
        <v>1</v>
      </c>
      <c r="I177" s="180" t="s">
        <v>1</v>
      </c>
      <c r="J177" s="132"/>
      <c r="K177" s="183" t="s">
        <v>1</v>
      </c>
      <c r="L177" s="132"/>
      <c r="M177" s="178" t="s">
        <v>1</v>
      </c>
      <c r="N177" s="182" t="s">
        <v>1</v>
      </c>
      <c r="O177" s="178" t="s">
        <v>1</v>
      </c>
      <c r="P177" s="182" t="s">
        <v>1</v>
      </c>
      <c r="Q177" s="178" t="s">
        <v>1</v>
      </c>
      <c r="R177" s="182" t="s">
        <v>1</v>
      </c>
      <c r="S177" s="178" t="s">
        <v>1</v>
      </c>
      <c r="T177" s="202" t="s">
        <v>1</v>
      </c>
      <c r="U177" s="194"/>
    </row>
    <row r="178" spans="1:21">
      <c r="A178" s="177" t="s">
        <v>289</v>
      </c>
      <c r="B178" s="177" t="s">
        <v>290</v>
      </c>
      <c r="C178" s="178" t="s">
        <v>1</v>
      </c>
      <c r="D178" s="179">
        <v>83075.199999999997</v>
      </c>
      <c r="E178" s="178" t="s">
        <v>1</v>
      </c>
      <c r="F178" s="177" t="s">
        <v>1</v>
      </c>
      <c r="G178" s="178" t="s">
        <v>1</v>
      </c>
      <c r="H178" s="177" t="s">
        <v>1</v>
      </c>
      <c r="I178" s="180" t="s">
        <v>1</v>
      </c>
      <c r="J178" s="132"/>
      <c r="K178" s="181" t="s">
        <v>1</v>
      </c>
      <c r="L178" s="132"/>
      <c r="M178" s="178" t="s">
        <v>1</v>
      </c>
      <c r="N178" s="179">
        <v>83075.199999999997</v>
      </c>
      <c r="O178" s="178" t="s">
        <v>1</v>
      </c>
      <c r="P178" s="177" t="s">
        <v>1</v>
      </c>
      <c r="Q178" s="178" t="s">
        <v>1</v>
      </c>
      <c r="R178" s="177" t="s">
        <v>1</v>
      </c>
      <c r="S178" s="178" t="s">
        <v>1</v>
      </c>
      <c r="T178" s="201" t="s">
        <v>1</v>
      </c>
      <c r="U178" s="194"/>
    </row>
    <row r="179" spans="1:21">
      <c r="A179" s="182" t="s">
        <v>291</v>
      </c>
      <c r="B179" s="182" t="s">
        <v>292</v>
      </c>
      <c r="C179" s="178" t="s">
        <v>1</v>
      </c>
      <c r="D179" s="182" t="s">
        <v>1</v>
      </c>
      <c r="E179" s="178" t="s">
        <v>1</v>
      </c>
      <c r="F179" s="182" t="s">
        <v>1</v>
      </c>
      <c r="G179" s="178" t="s">
        <v>1</v>
      </c>
      <c r="H179" s="182" t="s">
        <v>1</v>
      </c>
      <c r="I179" s="180" t="s">
        <v>1</v>
      </c>
      <c r="J179" s="132"/>
      <c r="K179" s="183" t="s">
        <v>1</v>
      </c>
      <c r="L179" s="132"/>
      <c r="M179" s="178" t="s">
        <v>1</v>
      </c>
      <c r="N179" s="182" t="s">
        <v>1</v>
      </c>
      <c r="O179" s="178" t="s">
        <v>1</v>
      </c>
      <c r="P179" s="182" t="s">
        <v>1</v>
      </c>
      <c r="Q179" s="178" t="s">
        <v>1</v>
      </c>
      <c r="R179" s="182" t="s">
        <v>1</v>
      </c>
      <c r="S179" s="178" t="s">
        <v>1</v>
      </c>
      <c r="T179" s="202" t="s">
        <v>1</v>
      </c>
      <c r="U179" s="194"/>
    </row>
    <row r="180" spans="1:21">
      <c r="A180" s="173" t="s">
        <v>293</v>
      </c>
      <c r="B180" s="173" t="s">
        <v>294</v>
      </c>
      <c r="C180" s="170" t="s">
        <v>1</v>
      </c>
      <c r="D180" s="173" t="s">
        <v>1</v>
      </c>
      <c r="E180" s="170" t="s">
        <v>1</v>
      </c>
      <c r="F180" s="173" t="s">
        <v>1</v>
      </c>
      <c r="G180" s="170" t="s">
        <v>1</v>
      </c>
      <c r="H180" s="173" t="s">
        <v>1</v>
      </c>
      <c r="I180" s="171" t="s">
        <v>1</v>
      </c>
      <c r="J180" s="132"/>
      <c r="K180" s="175" t="s">
        <v>1</v>
      </c>
      <c r="L180" s="132"/>
      <c r="M180" s="170" t="s">
        <v>1</v>
      </c>
      <c r="N180" s="173" t="s">
        <v>1</v>
      </c>
      <c r="O180" s="170" t="s">
        <v>1</v>
      </c>
      <c r="P180" s="173" t="s">
        <v>1</v>
      </c>
      <c r="Q180" s="170" t="s">
        <v>1</v>
      </c>
      <c r="R180" s="173" t="s">
        <v>1</v>
      </c>
      <c r="S180" s="170" t="s">
        <v>1</v>
      </c>
      <c r="T180" s="200" t="s">
        <v>1</v>
      </c>
      <c r="U180" s="194"/>
    </row>
    <row r="181" spans="1:21">
      <c r="A181" s="169" t="s">
        <v>295</v>
      </c>
      <c r="B181" s="169" t="s">
        <v>296</v>
      </c>
      <c r="C181" s="170" t="s">
        <v>1</v>
      </c>
      <c r="D181" s="169" t="s">
        <v>1</v>
      </c>
      <c r="E181" s="170" t="s">
        <v>1</v>
      </c>
      <c r="F181" s="169" t="s">
        <v>1</v>
      </c>
      <c r="G181" s="170" t="s">
        <v>1</v>
      </c>
      <c r="H181" s="169" t="s">
        <v>1</v>
      </c>
      <c r="I181" s="171" t="s">
        <v>1</v>
      </c>
      <c r="J181" s="132"/>
      <c r="K181" s="172" t="s">
        <v>1</v>
      </c>
      <c r="L181" s="132"/>
      <c r="M181" s="170" t="s">
        <v>1</v>
      </c>
      <c r="N181" s="169" t="s">
        <v>1</v>
      </c>
      <c r="O181" s="170" t="s">
        <v>1</v>
      </c>
      <c r="P181" s="169" t="s">
        <v>1</v>
      </c>
      <c r="Q181" s="170" t="s">
        <v>1</v>
      </c>
      <c r="R181" s="169" t="s">
        <v>1</v>
      </c>
      <c r="S181" s="170" t="s">
        <v>1</v>
      </c>
      <c r="T181" s="199" t="s">
        <v>1</v>
      </c>
      <c r="U181" s="194"/>
    </row>
    <row r="182" spans="1:21">
      <c r="A182" s="177" t="s">
        <v>297</v>
      </c>
      <c r="B182" s="177" t="s">
        <v>298</v>
      </c>
      <c r="C182" s="178" t="s">
        <v>1</v>
      </c>
      <c r="D182" s="179">
        <v>18574591.219999999</v>
      </c>
      <c r="E182" s="178" t="s">
        <v>1</v>
      </c>
      <c r="F182" s="177" t="s">
        <v>1</v>
      </c>
      <c r="G182" s="178" t="s">
        <v>1</v>
      </c>
      <c r="H182" s="177" t="s">
        <v>1</v>
      </c>
      <c r="I182" s="180" t="s">
        <v>1</v>
      </c>
      <c r="J182" s="132"/>
      <c r="K182" s="181" t="s">
        <v>1</v>
      </c>
      <c r="L182" s="132"/>
      <c r="M182" s="178" t="s">
        <v>1</v>
      </c>
      <c r="N182" s="177" t="s">
        <v>1</v>
      </c>
      <c r="O182" s="178" t="s">
        <v>1</v>
      </c>
      <c r="P182" s="179">
        <v>13423554.779999999</v>
      </c>
      <c r="Q182" s="178" t="s">
        <v>1</v>
      </c>
      <c r="R182" s="177" t="s">
        <v>1</v>
      </c>
      <c r="S182" s="178" t="s">
        <v>1</v>
      </c>
      <c r="T182" s="181" t="s">
        <v>1</v>
      </c>
      <c r="U182" s="132"/>
    </row>
    <row r="183" spans="1:21">
      <c r="A183" s="182" t="s">
        <v>299</v>
      </c>
      <c r="B183" s="182" t="s">
        <v>300</v>
      </c>
      <c r="C183" s="178" t="s">
        <v>1</v>
      </c>
      <c r="D183" s="182" t="s">
        <v>1</v>
      </c>
      <c r="E183" s="178" t="s">
        <v>1</v>
      </c>
      <c r="F183" s="184">
        <v>18574591.219999999</v>
      </c>
      <c r="G183" s="178" t="s">
        <v>1</v>
      </c>
      <c r="H183" s="182" t="s">
        <v>1</v>
      </c>
      <c r="I183" s="180" t="s">
        <v>1</v>
      </c>
      <c r="J183" s="132"/>
      <c r="K183" s="183" t="s">
        <v>1</v>
      </c>
      <c r="L183" s="132"/>
      <c r="M183" s="178" t="s">
        <v>1</v>
      </c>
      <c r="N183" s="182" t="s">
        <v>1</v>
      </c>
      <c r="O183" s="178" t="s">
        <v>1</v>
      </c>
      <c r="P183" s="182" t="s">
        <v>1</v>
      </c>
      <c r="Q183" s="178" t="s">
        <v>1</v>
      </c>
      <c r="R183" s="182" t="s">
        <v>1</v>
      </c>
      <c r="S183" s="178" t="s">
        <v>1</v>
      </c>
      <c r="T183" s="183" t="s">
        <v>1</v>
      </c>
      <c r="U183" s="132"/>
    </row>
    <row r="184" spans="1:21">
      <c r="A184" s="177" t="s">
        <v>301</v>
      </c>
      <c r="B184" s="177" t="s">
        <v>302</v>
      </c>
      <c r="C184" s="178" t="s">
        <v>1</v>
      </c>
      <c r="D184" s="177" t="s">
        <v>1</v>
      </c>
      <c r="E184" s="178" t="s">
        <v>1</v>
      </c>
      <c r="F184" s="177" t="s">
        <v>1</v>
      </c>
      <c r="G184" s="178" t="s">
        <v>1</v>
      </c>
      <c r="H184" s="177" t="s">
        <v>1</v>
      </c>
      <c r="I184" s="180" t="s">
        <v>1</v>
      </c>
      <c r="J184" s="132"/>
      <c r="K184" s="181" t="s">
        <v>1</v>
      </c>
      <c r="L184" s="132"/>
      <c r="M184" s="178" t="s">
        <v>1</v>
      </c>
      <c r="N184" s="177" t="s">
        <v>1</v>
      </c>
      <c r="O184" s="178" t="s">
        <v>1</v>
      </c>
      <c r="P184" s="177" t="s">
        <v>1</v>
      </c>
      <c r="Q184" s="178" t="s">
        <v>1</v>
      </c>
      <c r="R184" s="177" t="s">
        <v>1</v>
      </c>
      <c r="S184" s="178" t="s">
        <v>1</v>
      </c>
      <c r="T184" s="181" t="s">
        <v>1</v>
      </c>
      <c r="U184" s="132"/>
    </row>
    <row r="185" spans="1:21">
      <c r="A185" s="169" t="s">
        <v>303</v>
      </c>
      <c r="B185" s="169" t="s">
        <v>304</v>
      </c>
      <c r="C185" s="170" t="s">
        <v>1</v>
      </c>
      <c r="D185" s="169" t="s">
        <v>1</v>
      </c>
      <c r="E185" s="170" t="s">
        <v>1</v>
      </c>
      <c r="F185" s="176">
        <v>52875851.990000002</v>
      </c>
      <c r="G185" s="170" t="s">
        <v>1</v>
      </c>
      <c r="H185" s="187">
        <v>-28.599625262846935</v>
      </c>
      <c r="I185" s="171" t="s">
        <v>1</v>
      </c>
      <c r="J185" s="132"/>
      <c r="K185" s="188">
        <v>184883023.83000001</v>
      </c>
      <c r="L185" s="132"/>
      <c r="M185" s="170" t="s">
        <v>1</v>
      </c>
      <c r="N185" s="169" t="s">
        <v>1</v>
      </c>
      <c r="O185" s="170" t="s">
        <v>1</v>
      </c>
      <c r="P185" s="176">
        <v>66299406.770000003</v>
      </c>
      <c r="Q185" s="170" t="s">
        <v>1</v>
      </c>
      <c r="R185" s="187">
        <v>-35.860191702058231</v>
      </c>
      <c r="S185" s="170" t="s">
        <v>1</v>
      </c>
      <c r="T185" s="188">
        <v>184883023.83000001</v>
      </c>
      <c r="U185" s="132"/>
    </row>
    <row r="186" spans="1:21">
      <c r="A186" s="173" t="s">
        <v>305</v>
      </c>
      <c r="B186" s="173" t="s">
        <v>306</v>
      </c>
      <c r="C186" s="170" t="s">
        <v>1</v>
      </c>
      <c r="D186" s="174">
        <v>18599300.43</v>
      </c>
      <c r="E186" s="170" t="s">
        <v>1</v>
      </c>
      <c r="F186" s="173" t="s">
        <v>1</v>
      </c>
      <c r="G186" s="170" t="s">
        <v>1</v>
      </c>
      <c r="H186" s="185">
        <v>10.060036905877341</v>
      </c>
      <c r="I186" s="171" t="s">
        <v>1</v>
      </c>
      <c r="J186" s="132"/>
      <c r="K186" s="186">
        <v>184883023.83000001</v>
      </c>
      <c r="L186" s="132"/>
      <c r="M186" s="170" t="s">
        <v>1</v>
      </c>
      <c r="N186" s="173" t="s">
        <v>1</v>
      </c>
      <c r="O186" s="170" t="s">
        <v>1</v>
      </c>
      <c r="P186" s="174">
        <v>78309433.569999993</v>
      </c>
      <c r="Q186" s="170" t="s">
        <v>1</v>
      </c>
      <c r="R186" s="185">
        <v>-42.356205533508337</v>
      </c>
      <c r="S186" s="170" t="s">
        <v>1</v>
      </c>
      <c r="T186" s="186">
        <v>184883023.83000001</v>
      </c>
      <c r="U186" s="132"/>
    </row>
    <row r="187" spans="1:21">
      <c r="A187" s="182" t="s">
        <v>307</v>
      </c>
      <c r="B187" s="182" t="s">
        <v>308</v>
      </c>
      <c r="C187" s="178" t="s">
        <v>1</v>
      </c>
      <c r="D187" s="182" t="s">
        <v>1</v>
      </c>
      <c r="E187" s="178" t="s">
        <v>1</v>
      </c>
      <c r="F187" s="182" t="s">
        <v>1</v>
      </c>
      <c r="G187" s="178" t="s">
        <v>1</v>
      </c>
      <c r="H187" s="182" t="s">
        <v>1</v>
      </c>
      <c r="I187" s="180" t="s">
        <v>1</v>
      </c>
      <c r="J187" s="132"/>
      <c r="K187" s="183" t="s">
        <v>1</v>
      </c>
      <c r="L187" s="132"/>
      <c r="M187" s="178" t="s">
        <v>1</v>
      </c>
      <c r="N187" s="182" t="s">
        <v>1</v>
      </c>
      <c r="O187" s="178" t="s">
        <v>1</v>
      </c>
      <c r="P187" s="184">
        <v>4334445</v>
      </c>
      <c r="Q187" s="178" t="s">
        <v>1</v>
      </c>
      <c r="R187" s="182" t="s">
        <v>1</v>
      </c>
      <c r="S187" s="178" t="s">
        <v>1</v>
      </c>
      <c r="T187" s="183" t="s">
        <v>1</v>
      </c>
      <c r="U187" s="132"/>
    </row>
    <row r="188" spans="1:21">
      <c r="A188" s="177" t="s">
        <v>309</v>
      </c>
      <c r="B188" s="177" t="s">
        <v>310</v>
      </c>
      <c r="C188" s="178" t="s">
        <v>1</v>
      </c>
      <c r="D188" s="179">
        <v>65428432.5</v>
      </c>
      <c r="E188" s="178" t="s">
        <v>1</v>
      </c>
      <c r="F188" s="177" t="s">
        <v>1</v>
      </c>
      <c r="G188" s="178" t="s">
        <v>1</v>
      </c>
      <c r="H188" s="177" t="s">
        <v>1</v>
      </c>
      <c r="I188" s="180" t="s">
        <v>1</v>
      </c>
      <c r="J188" s="132"/>
      <c r="K188" s="181" t="s">
        <v>1</v>
      </c>
      <c r="L188" s="132"/>
      <c r="M188" s="178" t="s">
        <v>1</v>
      </c>
      <c r="N188" s="177" t="s">
        <v>1</v>
      </c>
      <c r="O188" s="178" t="s">
        <v>1</v>
      </c>
      <c r="P188" s="179">
        <v>7675581</v>
      </c>
      <c r="Q188" s="178" t="s">
        <v>1</v>
      </c>
      <c r="R188" s="177" t="s">
        <v>1</v>
      </c>
      <c r="S188" s="178" t="s">
        <v>1</v>
      </c>
      <c r="T188" s="181" t="s">
        <v>1</v>
      </c>
      <c r="U188" s="132"/>
    </row>
    <row r="189" spans="1:21">
      <c r="A189" s="182" t="s">
        <v>311</v>
      </c>
      <c r="B189" s="182" t="s">
        <v>312</v>
      </c>
      <c r="C189" s="178" t="s">
        <v>1</v>
      </c>
      <c r="D189" s="182" t="s">
        <v>1</v>
      </c>
      <c r="E189" s="178" t="s">
        <v>1</v>
      </c>
      <c r="F189" s="182" t="s">
        <v>1</v>
      </c>
      <c r="G189" s="178" t="s">
        <v>1</v>
      </c>
      <c r="H189" s="182" t="s">
        <v>1</v>
      </c>
      <c r="I189" s="180" t="s">
        <v>1</v>
      </c>
      <c r="J189" s="132"/>
      <c r="K189" s="183" t="s">
        <v>1</v>
      </c>
      <c r="L189" s="132"/>
      <c r="M189" s="178" t="s">
        <v>1</v>
      </c>
      <c r="N189" s="182" t="s">
        <v>1</v>
      </c>
      <c r="O189" s="178" t="s">
        <v>1</v>
      </c>
      <c r="P189" s="182" t="s">
        <v>1</v>
      </c>
      <c r="Q189" s="178" t="s">
        <v>1</v>
      </c>
      <c r="R189" s="182" t="s">
        <v>1</v>
      </c>
      <c r="S189" s="178" t="s">
        <v>1</v>
      </c>
      <c r="T189" s="183" t="s">
        <v>1</v>
      </c>
      <c r="U189" s="132"/>
    </row>
    <row r="190" spans="1:21">
      <c r="A190" s="173" t="s">
        <v>313</v>
      </c>
      <c r="B190" s="173" t="s">
        <v>314</v>
      </c>
      <c r="C190" s="170" t="s">
        <v>1</v>
      </c>
      <c r="D190" s="174">
        <v>6046719.9199999999</v>
      </c>
      <c r="E190" s="170" t="s">
        <v>1</v>
      </c>
      <c r="F190" s="173" t="s">
        <v>1</v>
      </c>
      <c r="G190" s="170" t="s">
        <v>1</v>
      </c>
      <c r="H190" s="173" t="s">
        <v>1</v>
      </c>
      <c r="I190" s="171" t="s">
        <v>1</v>
      </c>
      <c r="J190" s="132"/>
      <c r="K190" s="175" t="s">
        <v>1</v>
      </c>
      <c r="L190" s="132"/>
      <c r="M190" s="170" t="s">
        <v>1</v>
      </c>
      <c r="N190" s="173" t="s">
        <v>1</v>
      </c>
      <c r="O190" s="170" t="s">
        <v>1</v>
      </c>
      <c r="P190" s="174">
        <v>0.8</v>
      </c>
      <c r="Q190" s="170" t="s">
        <v>1</v>
      </c>
      <c r="R190" s="173" t="s">
        <v>1</v>
      </c>
      <c r="S190" s="170" t="s">
        <v>1</v>
      </c>
      <c r="T190" s="175" t="s">
        <v>1</v>
      </c>
      <c r="U190" s="132"/>
    </row>
    <row r="191" spans="1:21">
      <c r="A191" s="182" t="s">
        <v>315</v>
      </c>
      <c r="B191" s="182" t="s">
        <v>316</v>
      </c>
      <c r="C191" s="178" t="s">
        <v>1</v>
      </c>
      <c r="D191" s="184">
        <v>6046719.9199999999</v>
      </c>
      <c r="E191" s="178" t="s">
        <v>1</v>
      </c>
      <c r="F191" s="182" t="s">
        <v>1</v>
      </c>
      <c r="G191" s="178" t="s">
        <v>1</v>
      </c>
      <c r="H191" s="182" t="s">
        <v>1</v>
      </c>
      <c r="I191" s="180" t="s">
        <v>1</v>
      </c>
      <c r="J191" s="132"/>
      <c r="K191" s="183" t="s">
        <v>1</v>
      </c>
      <c r="L191" s="132"/>
      <c r="M191" s="178" t="s">
        <v>1</v>
      </c>
      <c r="N191" s="182" t="s">
        <v>1</v>
      </c>
      <c r="O191" s="178" t="s">
        <v>1</v>
      </c>
      <c r="P191" s="184">
        <v>0.8</v>
      </c>
      <c r="Q191" s="178" t="s">
        <v>1</v>
      </c>
      <c r="R191" s="182" t="s">
        <v>1</v>
      </c>
      <c r="S191" s="178" t="s">
        <v>1</v>
      </c>
      <c r="T191" s="183" t="s">
        <v>1</v>
      </c>
      <c r="U191" s="132"/>
    </row>
    <row r="192" spans="1:21">
      <c r="A192" s="177" t="s">
        <v>317</v>
      </c>
      <c r="B192" s="177" t="s">
        <v>318</v>
      </c>
      <c r="C192" s="178" t="s">
        <v>1</v>
      </c>
      <c r="D192" s="177" t="s">
        <v>1</v>
      </c>
      <c r="E192" s="178" t="s">
        <v>1</v>
      </c>
      <c r="F192" s="177" t="s">
        <v>1</v>
      </c>
      <c r="G192" s="178" t="s">
        <v>1</v>
      </c>
      <c r="H192" s="177" t="s">
        <v>1</v>
      </c>
      <c r="I192" s="180" t="s">
        <v>1</v>
      </c>
      <c r="J192" s="132"/>
      <c r="K192" s="181" t="s">
        <v>1</v>
      </c>
      <c r="L192" s="132"/>
      <c r="M192" s="178" t="s">
        <v>1</v>
      </c>
      <c r="N192" s="177" t="s">
        <v>1</v>
      </c>
      <c r="O192" s="178" t="s">
        <v>1</v>
      </c>
      <c r="P192" s="177" t="s">
        <v>1</v>
      </c>
      <c r="Q192" s="178" t="s">
        <v>1</v>
      </c>
      <c r="R192" s="177" t="s">
        <v>1</v>
      </c>
      <c r="S192" s="178" t="s">
        <v>1</v>
      </c>
      <c r="T192" s="181" t="s">
        <v>1</v>
      </c>
      <c r="U192" s="132"/>
    </row>
    <row r="193" spans="1:21">
      <c r="A193" s="182" t="s">
        <v>319</v>
      </c>
      <c r="B193" s="182" t="s">
        <v>320</v>
      </c>
      <c r="C193" s="178" t="s">
        <v>1</v>
      </c>
      <c r="D193" s="182" t="s">
        <v>1</v>
      </c>
      <c r="E193" s="178" t="s">
        <v>1</v>
      </c>
      <c r="F193" s="182" t="s">
        <v>1</v>
      </c>
      <c r="G193" s="178" t="s">
        <v>1</v>
      </c>
      <c r="H193" s="182" t="s">
        <v>1</v>
      </c>
      <c r="I193" s="180" t="s">
        <v>1</v>
      </c>
      <c r="J193" s="132"/>
      <c r="K193" s="183" t="s">
        <v>1</v>
      </c>
      <c r="L193" s="132"/>
      <c r="M193" s="178" t="s">
        <v>1</v>
      </c>
      <c r="N193" s="182" t="s">
        <v>1</v>
      </c>
      <c r="O193" s="178" t="s">
        <v>1</v>
      </c>
      <c r="P193" s="182" t="s">
        <v>1</v>
      </c>
      <c r="Q193" s="178" t="s">
        <v>1</v>
      </c>
      <c r="R193" s="182" t="s">
        <v>1</v>
      </c>
      <c r="S193" s="178" t="s">
        <v>1</v>
      </c>
      <c r="T193" s="183" t="s">
        <v>1</v>
      </c>
      <c r="U193" s="132"/>
    </row>
    <row r="194" spans="1:21">
      <c r="A194" s="173" t="s">
        <v>321</v>
      </c>
      <c r="B194" s="173" t="s">
        <v>322</v>
      </c>
      <c r="C194" s="170" t="s">
        <v>1</v>
      </c>
      <c r="D194" s="173" t="s">
        <v>1</v>
      </c>
      <c r="E194" s="170" t="s">
        <v>1</v>
      </c>
      <c r="F194" s="174">
        <v>70079300.430000007</v>
      </c>
      <c r="G194" s="170" t="s">
        <v>1</v>
      </c>
      <c r="H194" s="173" t="s">
        <v>1</v>
      </c>
      <c r="I194" s="171" t="s">
        <v>1</v>
      </c>
      <c r="J194" s="132"/>
      <c r="K194" s="175" t="s">
        <v>1</v>
      </c>
      <c r="L194" s="132"/>
      <c r="M194" s="170" t="s">
        <v>1</v>
      </c>
      <c r="N194" s="174">
        <v>26829432.949999999</v>
      </c>
      <c r="O194" s="170" t="s">
        <v>1</v>
      </c>
      <c r="P194" s="173" t="s">
        <v>1</v>
      </c>
      <c r="Q194" s="170" t="s">
        <v>1</v>
      </c>
      <c r="R194" s="173" t="s">
        <v>1</v>
      </c>
      <c r="S194" s="170" t="s">
        <v>1</v>
      </c>
      <c r="T194" s="175" t="s">
        <v>1</v>
      </c>
      <c r="U194" s="132"/>
    </row>
    <row r="195" spans="1:21">
      <c r="A195" s="169" t="s">
        <v>323</v>
      </c>
      <c r="B195" s="169" t="s">
        <v>324</v>
      </c>
      <c r="C195" s="170" t="s">
        <v>1</v>
      </c>
      <c r="D195" s="176">
        <v>114840</v>
      </c>
      <c r="E195" s="170" t="s">
        <v>1</v>
      </c>
      <c r="F195" s="169" t="s">
        <v>1</v>
      </c>
      <c r="G195" s="170" t="s">
        <v>1</v>
      </c>
      <c r="H195" s="169" t="s">
        <v>1</v>
      </c>
      <c r="I195" s="171" t="s">
        <v>1</v>
      </c>
      <c r="J195" s="132"/>
      <c r="K195" s="172" t="s">
        <v>1</v>
      </c>
      <c r="L195" s="132"/>
      <c r="M195" s="170" t="s">
        <v>1</v>
      </c>
      <c r="N195" s="176">
        <v>4449285</v>
      </c>
      <c r="O195" s="170" t="s">
        <v>1</v>
      </c>
      <c r="P195" s="169" t="s">
        <v>1</v>
      </c>
      <c r="Q195" s="170" t="s">
        <v>1</v>
      </c>
      <c r="R195" s="169" t="s">
        <v>1</v>
      </c>
      <c r="S195" s="170" t="s">
        <v>1</v>
      </c>
      <c r="T195" s="172" t="s">
        <v>1</v>
      </c>
      <c r="U195" s="132"/>
    </row>
    <row r="196" spans="1:21">
      <c r="A196" s="173" t="s">
        <v>325</v>
      </c>
      <c r="B196" s="173" t="s">
        <v>326</v>
      </c>
      <c r="C196" s="170" t="s">
        <v>1</v>
      </c>
      <c r="D196" s="173" t="s">
        <v>1</v>
      </c>
      <c r="E196" s="170" t="s">
        <v>1</v>
      </c>
      <c r="F196" s="173" t="s">
        <v>1</v>
      </c>
      <c r="G196" s="170" t="s">
        <v>1</v>
      </c>
      <c r="H196" s="173" t="s">
        <v>1</v>
      </c>
      <c r="I196" s="171" t="s">
        <v>1</v>
      </c>
      <c r="J196" s="132"/>
      <c r="K196" s="175" t="s">
        <v>1</v>
      </c>
      <c r="L196" s="132"/>
      <c r="M196" s="170" t="s">
        <v>1</v>
      </c>
      <c r="N196" s="173" t="s">
        <v>1</v>
      </c>
      <c r="O196" s="170" t="s">
        <v>1</v>
      </c>
      <c r="P196" s="173" t="s">
        <v>1</v>
      </c>
      <c r="Q196" s="170" t="s">
        <v>1</v>
      </c>
      <c r="R196" s="173" t="s">
        <v>1</v>
      </c>
      <c r="S196" s="170" t="s">
        <v>1</v>
      </c>
      <c r="T196" s="175" t="s">
        <v>1</v>
      </c>
      <c r="U196" s="132"/>
    </row>
    <row r="197" spans="1:21">
      <c r="A197" s="182" t="s">
        <v>327</v>
      </c>
      <c r="B197" s="182" t="s">
        <v>328</v>
      </c>
      <c r="C197" s="178" t="s">
        <v>1</v>
      </c>
      <c r="D197" s="182" t="s">
        <v>1</v>
      </c>
      <c r="E197" s="178" t="s">
        <v>1</v>
      </c>
      <c r="F197" s="182" t="s">
        <v>1</v>
      </c>
      <c r="G197" s="178" t="s">
        <v>1</v>
      </c>
      <c r="H197" s="182" t="s">
        <v>1</v>
      </c>
      <c r="I197" s="180" t="s">
        <v>1</v>
      </c>
      <c r="J197" s="132"/>
      <c r="K197" s="183" t="s">
        <v>1</v>
      </c>
      <c r="L197" s="132"/>
      <c r="M197" s="178" t="s">
        <v>1</v>
      </c>
      <c r="N197" s="182" t="s">
        <v>1</v>
      </c>
      <c r="O197" s="178" t="s">
        <v>1</v>
      </c>
      <c r="P197" s="182" t="s">
        <v>1</v>
      </c>
      <c r="Q197" s="178" t="s">
        <v>1</v>
      </c>
      <c r="R197" s="182" t="s">
        <v>1</v>
      </c>
      <c r="S197" s="178" t="s">
        <v>1</v>
      </c>
      <c r="T197" s="183" t="s">
        <v>1</v>
      </c>
      <c r="U197" s="132"/>
    </row>
    <row r="198" spans="1:21">
      <c r="A198" s="177" t="s">
        <v>329</v>
      </c>
      <c r="B198" s="177" t="s">
        <v>330</v>
      </c>
      <c r="C198" s="178" t="s">
        <v>1</v>
      </c>
      <c r="D198" s="177" t="s">
        <v>1</v>
      </c>
      <c r="E198" s="178" t="s">
        <v>1</v>
      </c>
      <c r="F198" s="177" t="s">
        <v>1</v>
      </c>
      <c r="G198" s="178" t="s">
        <v>1</v>
      </c>
      <c r="H198" s="177" t="s">
        <v>1</v>
      </c>
      <c r="I198" s="180" t="s">
        <v>1</v>
      </c>
      <c r="J198" s="132"/>
      <c r="K198" s="181" t="s">
        <v>1</v>
      </c>
      <c r="L198" s="132"/>
      <c r="M198" s="178" t="s">
        <v>1</v>
      </c>
      <c r="N198" s="177" t="s">
        <v>1</v>
      </c>
      <c r="O198" s="178" t="s">
        <v>1</v>
      </c>
      <c r="P198" s="177" t="s">
        <v>1</v>
      </c>
      <c r="Q198" s="178" t="s">
        <v>1</v>
      </c>
      <c r="R198" s="177" t="s">
        <v>1</v>
      </c>
      <c r="S198" s="178" t="s">
        <v>1</v>
      </c>
      <c r="T198" s="181" t="s">
        <v>1</v>
      </c>
      <c r="U198" s="132"/>
    </row>
    <row r="199" spans="1:21">
      <c r="A199" s="169" t="s">
        <v>331</v>
      </c>
      <c r="B199" s="169" t="s">
        <v>332</v>
      </c>
      <c r="C199" s="170" t="s">
        <v>1</v>
      </c>
      <c r="D199" s="169" t="s">
        <v>1</v>
      </c>
      <c r="E199" s="170" t="s">
        <v>1</v>
      </c>
      <c r="F199" s="169" t="s">
        <v>1</v>
      </c>
      <c r="G199" s="170" t="s">
        <v>1</v>
      </c>
      <c r="H199" s="169" t="s">
        <v>1</v>
      </c>
      <c r="I199" s="171" t="s">
        <v>1</v>
      </c>
      <c r="J199" s="132"/>
      <c r="K199" s="172" t="s">
        <v>1</v>
      </c>
      <c r="L199" s="132"/>
      <c r="M199" s="170" t="s">
        <v>1</v>
      </c>
      <c r="N199" s="169" t="s">
        <v>1</v>
      </c>
      <c r="O199" s="170" t="s">
        <v>1</v>
      </c>
      <c r="P199" s="169" t="s">
        <v>1</v>
      </c>
      <c r="Q199" s="170" t="s">
        <v>1</v>
      </c>
      <c r="R199" s="169" t="s">
        <v>1</v>
      </c>
      <c r="S199" s="170" t="s">
        <v>1</v>
      </c>
      <c r="T199" s="172" t="s">
        <v>1</v>
      </c>
      <c r="U199" s="132"/>
    </row>
    <row r="200" spans="1:21">
      <c r="A200" s="177" t="s">
        <v>333</v>
      </c>
      <c r="B200" s="177" t="s">
        <v>334</v>
      </c>
      <c r="C200" s="178" t="s">
        <v>1</v>
      </c>
      <c r="D200" s="177" t="s">
        <v>1</v>
      </c>
      <c r="E200" s="178" t="s">
        <v>1</v>
      </c>
      <c r="F200" s="177" t="s">
        <v>1</v>
      </c>
      <c r="G200" s="178" t="s">
        <v>1</v>
      </c>
      <c r="H200" s="177" t="s">
        <v>1</v>
      </c>
      <c r="I200" s="180" t="s">
        <v>1</v>
      </c>
      <c r="J200" s="132"/>
      <c r="K200" s="181" t="s">
        <v>1</v>
      </c>
      <c r="L200" s="132"/>
      <c r="M200" s="178" t="s">
        <v>1</v>
      </c>
      <c r="N200" s="177" t="s">
        <v>1</v>
      </c>
      <c r="O200" s="178" t="s">
        <v>1</v>
      </c>
      <c r="P200" s="177" t="s">
        <v>1</v>
      </c>
      <c r="Q200" s="178" t="s">
        <v>1</v>
      </c>
      <c r="R200" s="177" t="s">
        <v>1</v>
      </c>
      <c r="S200" s="178" t="s">
        <v>1</v>
      </c>
      <c r="T200" s="181" t="s">
        <v>1</v>
      </c>
      <c r="U200" s="132"/>
    </row>
    <row r="201" spans="1:21">
      <c r="A201" s="182" t="s">
        <v>335</v>
      </c>
      <c r="B201" s="182" t="s">
        <v>336</v>
      </c>
      <c r="C201" s="178" t="s">
        <v>1</v>
      </c>
      <c r="D201" s="182" t="s">
        <v>1</v>
      </c>
      <c r="E201" s="178" t="s">
        <v>1</v>
      </c>
      <c r="F201" s="182" t="s">
        <v>1</v>
      </c>
      <c r="G201" s="178" t="s">
        <v>1</v>
      </c>
      <c r="H201" s="182" t="s">
        <v>1</v>
      </c>
      <c r="I201" s="180" t="s">
        <v>1</v>
      </c>
      <c r="J201" s="132"/>
      <c r="K201" s="183" t="s">
        <v>1</v>
      </c>
      <c r="L201" s="132"/>
      <c r="M201" s="178" t="s">
        <v>1</v>
      </c>
      <c r="N201" s="182" t="s">
        <v>1</v>
      </c>
      <c r="O201" s="178" t="s">
        <v>1</v>
      </c>
      <c r="P201" s="182" t="s">
        <v>1</v>
      </c>
      <c r="Q201" s="178" t="s">
        <v>1</v>
      </c>
      <c r="R201" s="182" t="s">
        <v>1</v>
      </c>
      <c r="S201" s="178" t="s">
        <v>1</v>
      </c>
      <c r="T201" s="183" t="s">
        <v>1</v>
      </c>
      <c r="U201" s="132"/>
    </row>
    <row r="202" spans="1:21">
      <c r="A202" s="173" t="s">
        <v>337</v>
      </c>
      <c r="B202" s="173" t="s">
        <v>338</v>
      </c>
      <c r="C202" s="170" t="s">
        <v>1</v>
      </c>
      <c r="D202" s="174">
        <v>114840</v>
      </c>
      <c r="E202" s="170" t="s">
        <v>1</v>
      </c>
      <c r="F202" s="173" t="s">
        <v>1</v>
      </c>
      <c r="G202" s="170" t="s">
        <v>1</v>
      </c>
      <c r="H202" s="173" t="s">
        <v>1</v>
      </c>
      <c r="I202" s="171" t="s">
        <v>1</v>
      </c>
      <c r="J202" s="132"/>
      <c r="K202" s="175" t="s">
        <v>1</v>
      </c>
      <c r="L202" s="132"/>
      <c r="M202" s="170" t="s">
        <v>1</v>
      </c>
      <c r="N202" s="174">
        <v>1386147</v>
      </c>
      <c r="O202" s="170" t="s">
        <v>1</v>
      </c>
      <c r="P202" s="173" t="s">
        <v>1</v>
      </c>
      <c r="Q202" s="170" t="s">
        <v>1</v>
      </c>
      <c r="R202" s="173" t="s">
        <v>1</v>
      </c>
      <c r="S202" s="170" t="s">
        <v>1</v>
      </c>
      <c r="T202" s="175" t="s">
        <v>1</v>
      </c>
      <c r="U202" s="132"/>
    </row>
    <row r="203" spans="1:21">
      <c r="A203" s="182" t="s">
        <v>339</v>
      </c>
      <c r="B203" s="182" t="s">
        <v>340</v>
      </c>
      <c r="C203" s="178" t="s">
        <v>1</v>
      </c>
      <c r="D203" s="184">
        <v>114840</v>
      </c>
      <c r="E203" s="178" t="s">
        <v>1</v>
      </c>
      <c r="F203" s="182" t="s">
        <v>1</v>
      </c>
      <c r="G203" s="178" t="s">
        <v>1</v>
      </c>
      <c r="H203" s="182" t="s">
        <v>1</v>
      </c>
      <c r="I203" s="180" t="s">
        <v>1</v>
      </c>
      <c r="J203" s="132"/>
      <c r="K203" s="183" t="s">
        <v>1</v>
      </c>
      <c r="L203" s="132"/>
      <c r="M203" s="178" t="s">
        <v>1</v>
      </c>
      <c r="N203" s="184">
        <v>6917309</v>
      </c>
      <c r="O203" s="178" t="s">
        <v>1</v>
      </c>
      <c r="P203" s="182" t="s">
        <v>1</v>
      </c>
      <c r="Q203" s="178" t="s">
        <v>1</v>
      </c>
      <c r="R203" s="182" t="s">
        <v>1</v>
      </c>
      <c r="S203" s="178" t="s">
        <v>1</v>
      </c>
      <c r="T203" s="183" t="s">
        <v>1</v>
      </c>
      <c r="U203" s="132"/>
    </row>
    <row r="204" spans="1:21">
      <c r="A204" s="177" t="s">
        <v>341</v>
      </c>
      <c r="B204" s="177" t="s">
        <v>342</v>
      </c>
      <c r="C204" s="178" t="s">
        <v>1</v>
      </c>
      <c r="D204" s="177" t="s">
        <v>1</v>
      </c>
      <c r="E204" s="178" t="s">
        <v>1</v>
      </c>
      <c r="F204" s="177" t="s">
        <v>1</v>
      </c>
      <c r="G204" s="178" t="s">
        <v>1</v>
      </c>
      <c r="H204" s="177" t="s">
        <v>1</v>
      </c>
      <c r="I204" s="180" t="s">
        <v>1</v>
      </c>
      <c r="J204" s="132"/>
      <c r="K204" s="181" t="s">
        <v>1</v>
      </c>
      <c r="L204" s="132"/>
      <c r="M204" s="178" t="s">
        <v>1</v>
      </c>
      <c r="N204" s="177" t="s">
        <v>1</v>
      </c>
      <c r="O204" s="178" t="s">
        <v>1</v>
      </c>
      <c r="P204" s="179">
        <v>5531162</v>
      </c>
      <c r="Q204" s="178" t="s">
        <v>1</v>
      </c>
      <c r="R204" s="177" t="s">
        <v>1</v>
      </c>
      <c r="S204" s="178" t="s">
        <v>1</v>
      </c>
      <c r="T204" s="181" t="s">
        <v>1</v>
      </c>
      <c r="U204" s="132"/>
    </row>
    <row r="205" spans="1:21">
      <c r="A205" s="169" t="s">
        <v>343</v>
      </c>
      <c r="B205" s="169" t="s">
        <v>344</v>
      </c>
      <c r="C205" s="170" t="s">
        <v>1</v>
      </c>
      <c r="D205" s="169" t="s">
        <v>1</v>
      </c>
      <c r="E205" s="170" t="s">
        <v>1</v>
      </c>
      <c r="F205" s="169" t="s">
        <v>1</v>
      </c>
      <c r="G205" s="170" t="s">
        <v>1</v>
      </c>
      <c r="H205" s="169" t="s">
        <v>1</v>
      </c>
      <c r="I205" s="171" t="s">
        <v>1</v>
      </c>
      <c r="J205" s="132"/>
      <c r="K205" s="172" t="s">
        <v>1</v>
      </c>
      <c r="L205" s="132"/>
      <c r="M205" s="170" t="s">
        <v>1</v>
      </c>
      <c r="N205" s="169" t="s">
        <v>1</v>
      </c>
      <c r="O205" s="170" t="s">
        <v>1</v>
      </c>
      <c r="P205" s="169" t="s">
        <v>1</v>
      </c>
      <c r="Q205" s="170" t="s">
        <v>1</v>
      </c>
      <c r="R205" s="169" t="s">
        <v>1</v>
      </c>
      <c r="S205" s="170" t="s">
        <v>1</v>
      </c>
      <c r="T205" s="172" t="s">
        <v>1</v>
      </c>
      <c r="U205" s="132"/>
    </row>
    <row r="206" spans="1:21">
      <c r="A206" s="177" t="s">
        <v>345</v>
      </c>
      <c r="B206" s="177" t="s">
        <v>346</v>
      </c>
      <c r="C206" s="178" t="s">
        <v>1</v>
      </c>
      <c r="D206" s="177" t="s">
        <v>1</v>
      </c>
      <c r="E206" s="178" t="s">
        <v>1</v>
      </c>
      <c r="F206" s="177" t="s">
        <v>1</v>
      </c>
      <c r="G206" s="178" t="s">
        <v>1</v>
      </c>
      <c r="H206" s="177" t="s">
        <v>1</v>
      </c>
      <c r="I206" s="180" t="s">
        <v>1</v>
      </c>
      <c r="J206" s="132"/>
      <c r="K206" s="181" t="s">
        <v>1</v>
      </c>
      <c r="L206" s="132"/>
      <c r="M206" s="178" t="s">
        <v>1</v>
      </c>
      <c r="N206" s="177" t="s">
        <v>1</v>
      </c>
      <c r="O206" s="178" t="s">
        <v>1</v>
      </c>
      <c r="P206" s="177" t="s">
        <v>1</v>
      </c>
      <c r="Q206" s="178" t="s">
        <v>1</v>
      </c>
      <c r="R206" s="177" t="s">
        <v>1</v>
      </c>
      <c r="S206" s="178" t="s">
        <v>1</v>
      </c>
      <c r="T206" s="181" t="s">
        <v>1</v>
      </c>
      <c r="U206" s="132"/>
    </row>
    <row r="207" spans="1:21">
      <c r="A207" s="182" t="s">
        <v>347</v>
      </c>
      <c r="B207" s="182" t="s">
        <v>348</v>
      </c>
      <c r="C207" s="178" t="s">
        <v>1</v>
      </c>
      <c r="D207" s="182" t="s">
        <v>1</v>
      </c>
      <c r="E207" s="178" t="s">
        <v>1</v>
      </c>
      <c r="F207" s="182" t="s">
        <v>1</v>
      </c>
      <c r="G207" s="178" t="s">
        <v>1</v>
      </c>
      <c r="H207" s="182" t="s">
        <v>1</v>
      </c>
      <c r="I207" s="180" t="s">
        <v>1</v>
      </c>
      <c r="J207" s="132"/>
      <c r="K207" s="183" t="s">
        <v>1</v>
      </c>
      <c r="L207" s="132"/>
      <c r="M207" s="178" t="s">
        <v>1</v>
      </c>
      <c r="N207" s="182" t="s">
        <v>1</v>
      </c>
      <c r="O207" s="178" t="s">
        <v>1</v>
      </c>
      <c r="P207" s="182" t="s">
        <v>1</v>
      </c>
      <c r="Q207" s="178" t="s">
        <v>1</v>
      </c>
      <c r="R207" s="182" t="s">
        <v>1</v>
      </c>
      <c r="S207" s="178" t="s">
        <v>1</v>
      </c>
      <c r="T207" s="183" t="s">
        <v>1</v>
      </c>
      <c r="U207" s="132"/>
    </row>
    <row r="208" spans="1:21">
      <c r="A208" s="173" t="s">
        <v>349</v>
      </c>
      <c r="B208" s="173" t="s">
        <v>350</v>
      </c>
      <c r="C208" s="170" t="s">
        <v>1</v>
      </c>
      <c r="D208" s="173" t="s">
        <v>1</v>
      </c>
      <c r="E208" s="170" t="s">
        <v>1</v>
      </c>
      <c r="F208" s="173" t="s">
        <v>1</v>
      </c>
      <c r="G208" s="170" t="s">
        <v>1</v>
      </c>
      <c r="H208" s="173" t="s">
        <v>1</v>
      </c>
      <c r="I208" s="171" t="s">
        <v>1</v>
      </c>
      <c r="J208" s="132"/>
      <c r="K208" s="175" t="s">
        <v>1</v>
      </c>
      <c r="L208" s="132"/>
      <c r="M208" s="170" t="s">
        <v>1</v>
      </c>
      <c r="N208" s="174">
        <v>3063138</v>
      </c>
      <c r="O208" s="170" t="s">
        <v>1</v>
      </c>
      <c r="P208" s="173" t="s">
        <v>1</v>
      </c>
      <c r="Q208" s="170" t="s">
        <v>1</v>
      </c>
      <c r="R208" s="173" t="s">
        <v>1</v>
      </c>
      <c r="S208" s="170" t="s">
        <v>1</v>
      </c>
      <c r="T208" s="175" t="s">
        <v>1</v>
      </c>
      <c r="U208" s="132"/>
    </row>
    <row r="209" spans="1:21">
      <c r="A209" s="182" t="s">
        <v>351</v>
      </c>
      <c r="B209" s="182" t="s">
        <v>352</v>
      </c>
      <c r="C209" s="178" t="s">
        <v>1</v>
      </c>
      <c r="D209" s="182" t="s">
        <v>1</v>
      </c>
      <c r="E209" s="178" t="s">
        <v>1</v>
      </c>
      <c r="F209" s="182" t="s">
        <v>1</v>
      </c>
      <c r="G209" s="178" t="s">
        <v>1</v>
      </c>
      <c r="H209" s="182" t="s">
        <v>1</v>
      </c>
      <c r="I209" s="180" t="s">
        <v>1</v>
      </c>
      <c r="J209" s="132"/>
      <c r="K209" s="183" t="s">
        <v>1</v>
      </c>
      <c r="L209" s="132"/>
      <c r="M209" s="178" t="s">
        <v>1</v>
      </c>
      <c r="N209" s="184">
        <v>7512577</v>
      </c>
      <c r="O209" s="178" t="s">
        <v>1</v>
      </c>
      <c r="P209" s="182" t="s">
        <v>1</v>
      </c>
      <c r="Q209" s="178" t="s">
        <v>1</v>
      </c>
      <c r="R209" s="182" t="s">
        <v>1</v>
      </c>
      <c r="S209" s="178" t="s">
        <v>1</v>
      </c>
      <c r="T209" s="183" t="s">
        <v>1</v>
      </c>
      <c r="U209" s="132"/>
    </row>
    <row r="210" spans="1:21">
      <c r="A210" s="177" t="s">
        <v>353</v>
      </c>
      <c r="B210" s="177" t="s">
        <v>354</v>
      </c>
      <c r="C210" s="178" t="s">
        <v>1</v>
      </c>
      <c r="D210" s="177" t="s">
        <v>1</v>
      </c>
      <c r="E210" s="178" t="s">
        <v>1</v>
      </c>
      <c r="F210" s="177" t="s">
        <v>1</v>
      </c>
      <c r="G210" s="178" t="s">
        <v>1</v>
      </c>
      <c r="H210" s="177" t="s">
        <v>1</v>
      </c>
      <c r="I210" s="180" t="s">
        <v>1</v>
      </c>
      <c r="J210" s="132"/>
      <c r="K210" s="181" t="s">
        <v>1</v>
      </c>
      <c r="L210" s="132"/>
      <c r="M210" s="178" t="s">
        <v>1</v>
      </c>
      <c r="N210" s="177" t="s">
        <v>1</v>
      </c>
      <c r="O210" s="178" t="s">
        <v>1</v>
      </c>
      <c r="P210" s="179">
        <v>4449439</v>
      </c>
      <c r="Q210" s="178" t="s">
        <v>1</v>
      </c>
      <c r="R210" s="177" t="s">
        <v>1</v>
      </c>
      <c r="S210" s="178" t="s">
        <v>1</v>
      </c>
      <c r="T210" s="181" t="s">
        <v>1</v>
      </c>
      <c r="U210" s="132"/>
    </row>
    <row r="211" spans="1:21">
      <c r="A211" s="169" t="s">
        <v>355</v>
      </c>
      <c r="B211" s="169" t="s">
        <v>356</v>
      </c>
      <c r="C211" s="170" t="s">
        <v>1</v>
      </c>
      <c r="D211" s="169" t="s">
        <v>1</v>
      </c>
      <c r="E211" s="170" t="s">
        <v>1</v>
      </c>
      <c r="F211" s="169" t="s">
        <v>1</v>
      </c>
      <c r="G211" s="170" t="s">
        <v>1</v>
      </c>
      <c r="H211" s="169" t="s">
        <v>1</v>
      </c>
      <c r="I211" s="171" t="s">
        <v>1</v>
      </c>
      <c r="J211" s="132"/>
      <c r="K211" s="172" t="s">
        <v>1</v>
      </c>
      <c r="L211" s="132"/>
      <c r="M211" s="170" t="s">
        <v>1</v>
      </c>
      <c r="N211" s="176">
        <v>69740</v>
      </c>
      <c r="O211" s="170" t="s">
        <v>1</v>
      </c>
      <c r="P211" s="169" t="s">
        <v>1</v>
      </c>
      <c r="Q211" s="170" t="s">
        <v>1</v>
      </c>
      <c r="R211" s="169" t="s">
        <v>1</v>
      </c>
      <c r="S211" s="170" t="s">
        <v>1</v>
      </c>
      <c r="T211" s="172" t="s">
        <v>1</v>
      </c>
      <c r="U211" s="132"/>
    </row>
    <row r="212" spans="1:21">
      <c r="A212" s="177" t="s">
        <v>357</v>
      </c>
      <c r="B212" s="177" t="s">
        <v>358</v>
      </c>
      <c r="C212" s="178" t="s">
        <v>1</v>
      </c>
      <c r="D212" s="177" t="s">
        <v>1</v>
      </c>
      <c r="E212" s="178" t="s">
        <v>1</v>
      </c>
      <c r="F212" s="177" t="s">
        <v>1</v>
      </c>
      <c r="G212" s="178" t="s">
        <v>1</v>
      </c>
      <c r="H212" s="177" t="s">
        <v>1</v>
      </c>
      <c r="I212" s="180" t="s">
        <v>1</v>
      </c>
      <c r="J212" s="132"/>
      <c r="K212" s="181" t="s">
        <v>1</v>
      </c>
      <c r="L212" s="132"/>
      <c r="M212" s="178" t="s">
        <v>1</v>
      </c>
      <c r="N212" s="177" t="s">
        <v>1</v>
      </c>
      <c r="O212" s="178" t="s">
        <v>1</v>
      </c>
      <c r="P212" s="177" t="s">
        <v>1</v>
      </c>
      <c r="Q212" s="178" t="s">
        <v>1</v>
      </c>
      <c r="R212" s="177" t="s">
        <v>1</v>
      </c>
      <c r="S212" s="178" t="s">
        <v>1</v>
      </c>
      <c r="T212" s="181" t="s">
        <v>1</v>
      </c>
      <c r="U212" s="132"/>
    </row>
    <row r="213" spans="1:21">
      <c r="A213" s="182" t="s">
        <v>359</v>
      </c>
      <c r="B213" s="182" t="s">
        <v>360</v>
      </c>
      <c r="C213" s="178" t="s">
        <v>1</v>
      </c>
      <c r="D213" s="182" t="s">
        <v>1</v>
      </c>
      <c r="E213" s="178" t="s">
        <v>1</v>
      </c>
      <c r="F213" s="182" t="s">
        <v>1</v>
      </c>
      <c r="G213" s="178" t="s">
        <v>1</v>
      </c>
      <c r="H213" s="182" t="s">
        <v>1</v>
      </c>
      <c r="I213" s="180" t="s">
        <v>1</v>
      </c>
      <c r="J213" s="132"/>
      <c r="K213" s="183" t="s">
        <v>1</v>
      </c>
      <c r="L213" s="132"/>
      <c r="M213" s="178" t="s">
        <v>1</v>
      </c>
      <c r="N213" s="182" t="s">
        <v>1</v>
      </c>
      <c r="O213" s="178" t="s">
        <v>1</v>
      </c>
      <c r="P213" s="182" t="s">
        <v>1</v>
      </c>
      <c r="Q213" s="178" t="s">
        <v>1</v>
      </c>
      <c r="R213" s="182" t="s">
        <v>1</v>
      </c>
      <c r="S213" s="178" t="s">
        <v>1</v>
      </c>
      <c r="T213" s="183" t="s">
        <v>1</v>
      </c>
      <c r="U213" s="132"/>
    </row>
    <row r="214" spans="1:21">
      <c r="A214" s="177" t="s">
        <v>361</v>
      </c>
      <c r="B214" s="177" t="s">
        <v>362</v>
      </c>
      <c r="C214" s="178" t="s">
        <v>1</v>
      </c>
      <c r="D214" s="177" t="s">
        <v>1</v>
      </c>
      <c r="E214" s="178" t="s">
        <v>1</v>
      </c>
      <c r="F214" s="177" t="s">
        <v>1</v>
      </c>
      <c r="G214" s="178" t="s">
        <v>1</v>
      </c>
      <c r="H214" s="177" t="s">
        <v>1</v>
      </c>
      <c r="I214" s="180" t="s">
        <v>1</v>
      </c>
      <c r="J214" s="132"/>
      <c r="K214" s="181" t="s">
        <v>1</v>
      </c>
      <c r="L214" s="132"/>
      <c r="M214" s="178" t="s">
        <v>1</v>
      </c>
      <c r="N214" s="179">
        <v>69740</v>
      </c>
      <c r="O214" s="178" t="s">
        <v>1</v>
      </c>
      <c r="P214" s="177" t="s">
        <v>1</v>
      </c>
      <c r="Q214" s="178" t="s">
        <v>1</v>
      </c>
      <c r="R214" s="177" t="s">
        <v>1</v>
      </c>
      <c r="S214" s="178" t="s">
        <v>1</v>
      </c>
      <c r="T214" s="181" t="s">
        <v>1</v>
      </c>
      <c r="U214" s="132"/>
    </row>
    <row r="215" spans="1:21">
      <c r="A215" s="169" t="s">
        <v>363</v>
      </c>
      <c r="B215" s="169" t="s">
        <v>364</v>
      </c>
      <c r="C215" s="170" t="s">
        <v>1</v>
      </c>
      <c r="D215" s="169" t="s">
        <v>1</v>
      </c>
      <c r="E215" s="170" t="s">
        <v>1</v>
      </c>
      <c r="F215" s="169" t="s">
        <v>1</v>
      </c>
      <c r="G215" s="170" t="s">
        <v>1</v>
      </c>
      <c r="H215" s="169" t="s">
        <v>1</v>
      </c>
      <c r="I215" s="171" t="s">
        <v>1</v>
      </c>
      <c r="J215" s="132"/>
      <c r="K215" s="172" t="s">
        <v>1</v>
      </c>
      <c r="L215" s="132"/>
      <c r="M215" s="170" t="s">
        <v>1</v>
      </c>
      <c r="N215" s="169" t="s">
        <v>1</v>
      </c>
      <c r="O215" s="170" t="s">
        <v>1</v>
      </c>
      <c r="P215" s="169" t="s">
        <v>1</v>
      </c>
      <c r="Q215" s="170" t="s">
        <v>1</v>
      </c>
      <c r="R215" s="169" t="s">
        <v>1</v>
      </c>
      <c r="S215" s="170" t="s">
        <v>1</v>
      </c>
      <c r="T215" s="172" t="s">
        <v>1</v>
      </c>
      <c r="U215" s="132"/>
    </row>
    <row r="216" spans="1:21">
      <c r="A216" s="177" t="s">
        <v>365</v>
      </c>
      <c r="B216" s="177" t="s">
        <v>366</v>
      </c>
      <c r="C216" s="178" t="s">
        <v>1</v>
      </c>
      <c r="D216" s="177" t="s">
        <v>1</v>
      </c>
      <c r="E216" s="178" t="s">
        <v>1</v>
      </c>
      <c r="F216" s="177" t="s">
        <v>1</v>
      </c>
      <c r="G216" s="178" t="s">
        <v>1</v>
      </c>
      <c r="H216" s="177" t="s">
        <v>1</v>
      </c>
      <c r="I216" s="180" t="s">
        <v>1</v>
      </c>
      <c r="J216" s="132"/>
      <c r="K216" s="181" t="s">
        <v>1</v>
      </c>
      <c r="L216" s="132"/>
      <c r="M216" s="178" t="s">
        <v>1</v>
      </c>
      <c r="N216" s="179">
        <v>2107725</v>
      </c>
      <c r="O216" s="178" t="s">
        <v>1</v>
      </c>
      <c r="P216" s="177" t="s">
        <v>1</v>
      </c>
      <c r="Q216" s="178" t="s">
        <v>1</v>
      </c>
      <c r="R216" s="177" t="s">
        <v>1</v>
      </c>
      <c r="S216" s="178" t="s">
        <v>1</v>
      </c>
      <c r="T216" s="181" t="s">
        <v>1</v>
      </c>
      <c r="U216" s="132"/>
    </row>
    <row r="217" spans="1:21">
      <c r="A217" s="182" t="s">
        <v>367</v>
      </c>
      <c r="B217" s="182" t="s">
        <v>368</v>
      </c>
      <c r="C217" s="178" t="s">
        <v>1</v>
      </c>
      <c r="D217" s="182" t="s">
        <v>1</v>
      </c>
      <c r="E217" s="178" t="s">
        <v>1</v>
      </c>
      <c r="F217" s="182" t="s">
        <v>1</v>
      </c>
      <c r="G217" s="178" t="s">
        <v>1</v>
      </c>
      <c r="H217" s="182" t="s">
        <v>1</v>
      </c>
      <c r="I217" s="180" t="s">
        <v>1</v>
      </c>
      <c r="J217" s="132"/>
      <c r="K217" s="183" t="s">
        <v>1</v>
      </c>
      <c r="L217" s="132"/>
      <c r="M217" s="178" t="s">
        <v>1</v>
      </c>
      <c r="N217" s="182" t="s">
        <v>1</v>
      </c>
      <c r="O217" s="178" t="s">
        <v>1</v>
      </c>
      <c r="P217" s="184">
        <v>2107725</v>
      </c>
      <c r="Q217" s="178" t="s">
        <v>1</v>
      </c>
      <c r="R217" s="182" t="s">
        <v>1</v>
      </c>
      <c r="S217" s="178" t="s">
        <v>1</v>
      </c>
      <c r="T217" s="183" t="s">
        <v>1</v>
      </c>
      <c r="U217" s="132"/>
    </row>
    <row r="218" spans="1:21">
      <c r="A218" s="177" t="s">
        <v>369</v>
      </c>
      <c r="B218" s="177" t="s">
        <v>370</v>
      </c>
      <c r="C218" s="178" t="s">
        <v>1</v>
      </c>
      <c r="D218" s="177" t="s">
        <v>1</v>
      </c>
      <c r="E218" s="178" t="s">
        <v>1</v>
      </c>
      <c r="F218" s="177" t="s">
        <v>1</v>
      </c>
      <c r="G218" s="178" t="s">
        <v>1</v>
      </c>
      <c r="H218" s="177" t="s">
        <v>1</v>
      </c>
      <c r="I218" s="180" t="s">
        <v>1</v>
      </c>
      <c r="J218" s="132"/>
      <c r="K218" s="181" t="s">
        <v>1</v>
      </c>
      <c r="L218" s="132"/>
      <c r="M218" s="178" t="s">
        <v>1</v>
      </c>
      <c r="N218" s="177" t="s">
        <v>1</v>
      </c>
      <c r="O218" s="178" t="s">
        <v>1</v>
      </c>
      <c r="P218" s="177" t="s">
        <v>1</v>
      </c>
      <c r="Q218" s="178" t="s">
        <v>1</v>
      </c>
      <c r="R218" s="177" t="s">
        <v>1</v>
      </c>
      <c r="S218" s="178" t="s">
        <v>1</v>
      </c>
      <c r="T218" s="181" t="s">
        <v>1</v>
      </c>
      <c r="U218" s="132"/>
    </row>
    <row r="219" spans="1:21">
      <c r="A219" s="182" t="s">
        <v>371</v>
      </c>
      <c r="B219" s="182" t="s">
        <v>372</v>
      </c>
      <c r="C219" s="178" t="s">
        <v>1</v>
      </c>
      <c r="D219" s="182" t="s">
        <v>1</v>
      </c>
      <c r="E219" s="178" t="s">
        <v>1</v>
      </c>
      <c r="F219" s="182" t="s">
        <v>1</v>
      </c>
      <c r="G219" s="178" t="s">
        <v>1</v>
      </c>
      <c r="H219" s="182" t="s">
        <v>1</v>
      </c>
      <c r="I219" s="180" t="s">
        <v>1</v>
      </c>
      <c r="J219" s="132"/>
      <c r="K219" s="183" t="s">
        <v>1</v>
      </c>
      <c r="L219" s="132"/>
      <c r="M219" s="178" t="s">
        <v>1</v>
      </c>
      <c r="N219" s="182" t="s">
        <v>1</v>
      </c>
      <c r="O219" s="178" t="s">
        <v>1</v>
      </c>
      <c r="P219" s="182" t="s">
        <v>1</v>
      </c>
      <c r="Q219" s="178" t="s">
        <v>1</v>
      </c>
      <c r="R219" s="182" t="s">
        <v>1</v>
      </c>
      <c r="S219" s="178" t="s">
        <v>1</v>
      </c>
      <c r="T219" s="183" t="s">
        <v>1</v>
      </c>
      <c r="U219" s="132"/>
    </row>
    <row r="220" spans="1:21">
      <c r="A220" s="173" t="s">
        <v>373</v>
      </c>
      <c r="B220" s="173" t="s">
        <v>374</v>
      </c>
      <c r="C220" s="170" t="s">
        <v>1</v>
      </c>
      <c r="D220" s="174">
        <v>255865.63</v>
      </c>
      <c r="E220" s="170" t="s">
        <v>1</v>
      </c>
      <c r="F220" s="173" t="s">
        <v>1</v>
      </c>
      <c r="G220" s="170" t="s">
        <v>1</v>
      </c>
      <c r="H220" s="173" t="s">
        <v>1</v>
      </c>
      <c r="I220" s="171" t="s">
        <v>1</v>
      </c>
      <c r="J220" s="132"/>
      <c r="K220" s="175" t="s">
        <v>1</v>
      </c>
      <c r="L220" s="132"/>
      <c r="M220" s="170" t="s">
        <v>1</v>
      </c>
      <c r="N220" s="174">
        <v>1370087.43</v>
      </c>
      <c r="O220" s="170" t="s">
        <v>1</v>
      </c>
      <c r="P220" s="173" t="s">
        <v>1</v>
      </c>
      <c r="Q220" s="170" t="s">
        <v>1</v>
      </c>
      <c r="R220" s="173" t="s">
        <v>1</v>
      </c>
      <c r="S220" s="170" t="s">
        <v>1</v>
      </c>
      <c r="T220" s="175" t="s">
        <v>1</v>
      </c>
      <c r="U220" s="132"/>
    </row>
    <row r="221" spans="1:21">
      <c r="A221" s="182" t="s">
        <v>375</v>
      </c>
      <c r="B221" s="182" t="s">
        <v>376</v>
      </c>
      <c r="C221" s="178" t="s">
        <v>1</v>
      </c>
      <c r="D221" s="184">
        <v>255865.63</v>
      </c>
      <c r="E221" s="178" t="s">
        <v>1</v>
      </c>
      <c r="F221" s="182" t="s">
        <v>1</v>
      </c>
      <c r="G221" s="178" t="s">
        <v>1</v>
      </c>
      <c r="H221" s="182" t="s">
        <v>1</v>
      </c>
      <c r="I221" s="180" t="s">
        <v>1</v>
      </c>
      <c r="J221" s="132"/>
      <c r="K221" s="183" t="s">
        <v>1</v>
      </c>
      <c r="L221" s="132"/>
      <c r="M221" s="178" t="s">
        <v>1</v>
      </c>
      <c r="N221" s="184">
        <v>1370087.43</v>
      </c>
      <c r="O221" s="178" t="s">
        <v>1</v>
      </c>
      <c r="P221" s="182" t="s">
        <v>1</v>
      </c>
      <c r="Q221" s="178" t="s">
        <v>1</v>
      </c>
      <c r="R221" s="182" t="s">
        <v>1</v>
      </c>
      <c r="S221" s="178" t="s">
        <v>1</v>
      </c>
      <c r="T221" s="183" t="s">
        <v>1</v>
      </c>
      <c r="U221" s="132"/>
    </row>
    <row r="222" spans="1:21">
      <c r="A222" s="177" t="s">
        <v>377</v>
      </c>
      <c r="B222" s="177" t="s">
        <v>378</v>
      </c>
      <c r="C222" s="178" t="s">
        <v>1</v>
      </c>
      <c r="D222" s="177" t="s">
        <v>1</v>
      </c>
      <c r="E222" s="178" t="s">
        <v>1</v>
      </c>
      <c r="F222" s="177" t="s">
        <v>1</v>
      </c>
      <c r="G222" s="178" t="s">
        <v>1</v>
      </c>
      <c r="H222" s="177" t="s">
        <v>1</v>
      </c>
      <c r="I222" s="180" t="s">
        <v>1</v>
      </c>
      <c r="J222" s="132"/>
      <c r="K222" s="181" t="s">
        <v>1</v>
      </c>
      <c r="L222" s="132"/>
      <c r="M222" s="178" t="s">
        <v>1</v>
      </c>
      <c r="N222" s="177" t="s">
        <v>1</v>
      </c>
      <c r="O222" s="178" t="s">
        <v>1</v>
      </c>
      <c r="P222" s="177" t="s">
        <v>1</v>
      </c>
      <c r="Q222" s="178" t="s">
        <v>1</v>
      </c>
      <c r="R222" s="177" t="s">
        <v>1</v>
      </c>
      <c r="S222" s="178" t="s">
        <v>1</v>
      </c>
      <c r="T222" s="181" t="s">
        <v>1</v>
      </c>
      <c r="U222" s="132"/>
    </row>
    <row r="223" spans="1:21">
      <c r="A223" s="182" t="s">
        <v>379</v>
      </c>
      <c r="B223" s="182" t="s">
        <v>380</v>
      </c>
      <c r="C223" s="178" t="s">
        <v>1</v>
      </c>
      <c r="D223" s="182" t="s">
        <v>1</v>
      </c>
      <c r="E223" s="178" t="s">
        <v>1</v>
      </c>
      <c r="F223" s="182" t="s">
        <v>1</v>
      </c>
      <c r="G223" s="178" t="s">
        <v>1</v>
      </c>
      <c r="H223" s="182" t="s">
        <v>1</v>
      </c>
      <c r="I223" s="180" t="s">
        <v>1</v>
      </c>
      <c r="J223" s="132"/>
      <c r="K223" s="183" t="s">
        <v>1</v>
      </c>
      <c r="L223" s="132"/>
      <c r="M223" s="178" t="s">
        <v>1</v>
      </c>
      <c r="N223" s="182" t="s">
        <v>1</v>
      </c>
      <c r="O223" s="178" t="s">
        <v>1</v>
      </c>
      <c r="P223" s="182" t="s">
        <v>1</v>
      </c>
      <c r="Q223" s="178" t="s">
        <v>1</v>
      </c>
      <c r="R223" s="182" t="s">
        <v>1</v>
      </c>
      <c r="S223" s="178" t="s">
        <v>1</v>
      </c>
      <c r="T223" s="183" t="s">
        <v>1</v>
      </c>
      <c r="U223" s="132"/>
    </row>
    <row r="224" spans="1:21">
      <c r="A224" s="177" t="s">
        <v>381</v>
      </c>
      <c r="B224" s="177" t="s">
        <v>382</v>
      </c>
      <c r="C224" s="178" t="s">
        <v>1</v>
      </c>
      <c r="D224" s="177" t="s">
        <v>1</v>
      </c>
      <c r="E224" s="178" t="s">
        <v>1</v>
      </c>
      <c r="F224" s="177" t="s">
        <v>1</v>
      </c>
      <c r="G224" s="178" t="s">
        <v>1</v>
      </c>
      <c r="H224" s="177" t="s">
        <v>1</v>
      </c>
      <c r="I224" s="180" t="s">
        <v>1</v>
      </c>
      <c r="J224" s="132"/>
      <c r="K224" s="181" t="s">
        <v>1</v>
      </c>
      <c r="L224" s="132"/>
      <c r="M224" s="178" t="s">
        <v>1</v>
      </c>
      <c r="N224" s="177" t="s">
        <v>1</v>
      </c>
      <c r="O224" s="178" t="s">
        <v>1</v>
      </c>
      <c r="P224" s="177" t="s">
        <v>1</v>
      </c>
      <c r="Q224" s="178" t="s">
        <v>1</v>
      </c>
      <c r="R224" s="177" t="s">
        <v>1</v>
      </c>
      <c r="S224" s="178" t="s">
        <v>1</v>
      </c>
      <c r="T224" s="181" t="s">
        <v>1</v>
      </c>
      <c r="U224" s="132"/>
    </row>
    <row r="225" spans="1:21">
      <c r="A225" s="169" t="s">
        <v>383</v>
      </c>
      <c r="B225" s="169" t="s">
        <v>384</v>
      </c>
      <c r="C225" s="170" t="s">
        <v>1</v>
      </c>
      <c r="D225" s="169" t="s">
        <v>1</v>
      </c>
      <c r="E225" s="170" t="s">
        <v>1</v>
      </c>
      <c r="F225" s="176">
        <v>59880632.560000002</v>
      </c>
      <c r="G225" s="170" t="s">
        <v>1</v>
      </c>
      <c r="H225" s="169" t="s">
        <v>1</v>
      </c>
      <c r="I225" s="171" t="s">
        <v>1</v>
      </c>
      <c r="J225" s="132"/>
      <c r="K225" s="172" t="s">
        <v>1</v>
      </c>
      <c r="L225" s="132"/>
      <c r="M225" s="170" t="s">
        <v>1</v>
      </c>
      <c r="N225" s="176">
        <v>16532251.74</v>
      </c>
      <c r="O225" s="170" t="s">
        <v>1</v>
      </c>
      <c r="P225" s="169" t="s">
        <v>1</v>
      </c>
      <c r="Q225" s="170" t="s">
        <v>1</v>
      </c>
      <c r="R225" s="169" t="s">
        <v>1</v>
      </c>
      <c r="S225" s="170" t="s">
        <v>1</v>
      </c>
      <c r="T225" s="172" t="s">
        <v>1</v>
      </c>
      <c r="U225" s="132"/>
    </row>
    <row r="226" spans="1:21">
      <c r="A226" s="177" t="s">
        <v>385</v>
      </c>
      <c r="B226" s="177" t="s">
        <v>386</v>
      </c>
      <c r="C226" s="178" t="s">
        <v>1</v>
      </c>
      <c r="D226" s="179">
        <v>3513401.25</v>
      </c>
      <c r="E226" s="178" t="s">
        <v>1</v>
      </c>
      <c r="F226" s="177" t="s">
        <v>1</v>
      </c>
      <c r="G226" s="178" t="s">
        <v>1</v>
      </c>
      <c r="H226" s="177" t="s">
        <v>1</v>
      </c>
      <c r="I226" s="180" t="s">
        <v>1</v>
      </c>
      <c r="J226" s="132"/>
      <c r="K226" s="181" t="s">
        <v>1</v>
      </c>
      <c r="L226" s="132"/>
      <c r="M226" s="178" t="s">
        <v>1</v>
      </c>
      <c r="N226" s="179">
        <v>8992393.4299999997</v>
      </c>
      <c r="O226" s="178" t="s">
        <v>1</v>
      </c>
      <c r="P226" s="177" t="s">
        <v>1</v>
      </c>
      <c r="Q226" s="178" t="s">
        <v>1</v>
      </c>
      <c r="R226" s="177" t="s">
        <v>1</v>
      </c>
      <c r="S226" s="178" t="s">
        <v>1</v>
      </c>
      <c r="T226" s="181" t="s">
        <v>1</v>
      </c>
      <c r="U226" s="132"/>
    </row>
    <row r="227" spans="1:21">
      <c r="A227" s="182" t="s">
        <v>387</v>
      </c>
      <c r="B227" s="182" t="s">
        <v>388</v>
      </c>
      <c r="C227" s="178" t="s">
        <v>1</v>
      </c>
      <c r="D227" s="184">
        <v>96993</v>
      </c>
      <c r="E227" s="178" t="s">
        <v>1</v>
      </c>
      <c r="F227" s="182" t="s">
        <v>1</v>
      </c>
      <c r="G227" s="178" t="s">
        <v>1</v>
      </c>
      <c r="H227" s="182" t="s">
        <v>1</v>
      </c>
      <c r="I227" s="180" t="s">
        <v>1</v>
      </c>
      <c r="J227" s="132"/>
      <c r="K227" s="183" t="s">
        <v>1</v>
      </c>
      <c r="L227" s="132"/>
      <c r="M227" s="178" t="s">
        <v>1</v>
      </c>
      <c r="N227" s="184">
        <v>142213</v>
      </c>
      <c r="O227" s="178" t="s">
        <v>1</v>
      </c>
      <c r="P227" s="182" t="s">
        <v>1</v>
      </c>
      <c r="Q227" s="178" t="s">
        <v>1</v>
      </c>
      <c r="R227" s="182" t="s">
        <v>1</v>
      </c>
      <c r="S227" s="178" t="s">
        <v>1</v>
      </c>
      <c r="T227" s="183" t="s">
        <v>1</v>
      </c>
      <c r="U227" s="132"/>
    </row>
    <row r="228" spans="1:21">
      <c r="A228" s="177" t="s">
        <v>389</v>
      </c>
      <c r="B228" s="177" t="s">
        <v>390</v>
      </c>
      <c r="C228" s="178" t="s">
        <v>1</v>
      </c>
      <c r="D228" s="177" t="s">
        <v>1</v>
      </c>
      <c r="E228" s="178" t="s">
        <v>1</v>
      </c>
      <c r="F228" s="179">
        <v>63497163.600000001</v>
      </c>
      <c r="G228" s="178" t="s">
        <v>1</v>
      </c>
      <c r="H228" s="177" t="s">
        <v>1</v>
      </c>
      <c r="I228" s="180" t="s">
        <v>1</v>
      </c>
      <c r="J228" s="132"/>
      <c r="K228" s="181" t="s">
        <v>1</v>
      </c>
      <c r="L228" s="132"/>
      <c r="M228" s="178" t="s">
        <v>1</v>
      </c>
      <c r="N228" s="179">
        <v>7393310.5</v>
      </c>
      <c r="O228" s="178" t="s">
        <v>1</v>
      </c>
      <c r="P228" s="177" t="s">
        <v>1</v>
      </c>
      <c r="Q228" s="178" t="s">
        <v>1</v>
      </c>
      <c r="R228" s="177" t="s">
        <v>1</v>
      </c>
      <c r="S228" s="178" t="s">
        <v>1</v>
      </c>
      <c r="T228" s="181" t="s">
        <v>1</v>
      </c>
      <c r="U228" s="132"/>
    </row>
    <row r="229" spans="1:21">
      <c r="A229" s="182" t="s">
        <v>391</v>
      </c>
      <c r="B229" s="182" t="s">
        <v>392</v>
      </c>
      <c r="C229" s="178" t="s">
        <v>1</v>
      </c>
      <c r="D229" s="184">
        <v>6136.79</v>
      </c>
      <c r="E229" s="178" t="s">
        <v>1</v>
      </c>
      <c r="F229" s="182" t="s">
        <v>1</v>
      </c>
      <c r="G229" s="178" t="s">
        <v>1</v>
      </c>
      <c r="H229" s="182" t="s">
        <v>1</v>
      </c>
      <c r="I229" s="180" t="s">
        <v>1</v>
      </c>
      <c r="J229" s="132"/>
      <c r="K229" s="183" t="s">
        <v>1</v>
      </c>
      <c r="L229" s="132"/>
      <c r="M229" s="178" t="s">
        <v>1</v>
      </c>
      <c r="N229" s="184">
        <v>4334.8</v>
      </c>
      <c r="O229" s="178" t="s">
        <v>1</v>
      </c>
      <c r="P229" s="182" t="s">
        <v>1</v>
      </c>
      <c r="Q229" s="178" t="s">
        <v>1</v>
      </c>
      <c r="R229" s="182" t="s">
        <v>1</v>
      </c>
      <c r="S229" s="178" t="s">
        <v>1</v>
      </c>
      <c r="T229" s="183" t="s">
        <v>1</v>
      </c>
      <c r="U229" s="132"/>
    </row>
    <row r="230" spans="1:21">
      <c r="A230" s="177" t="s">
        <v>393</v>
      </c>
      <c r="B230" s="177" t="s">
        <v>394</v>
      </c>
      <c r="C230" s="178" t="s">
        <v>1</v>
      </c>
      <c r="D230" s="177" t="s">
        <v>1</v>
      </c>
      <c r="E230" s="178" t="s">
        <v>1</v>
      </c>
      <c r="F230" s="177" t="s">
        <v>1</v>
      </c>
      <c r="G230" s="178" t="s">
        <v>1</v>
      </c>
      <c r="H230" s="177" t="s">
        <v>1</v>
      </c>
      <c r="I230" s="180" t="s">
        <v>1</v>
      </c>
      <c r="J230" s="132"/>
      <c r="K230" s="181" t="s">
        <v>1</v>
      </c>
      <c r="L230" s="132"/>
      <c r="M230" s="178" t="s">
        <v>1</v>
      </c>
      <c r="N230" s="179">
        <v>0.01</v>
      </c>
      <c r="O230" s="178" t="s">
        <v>1</v>
      </c>
      <c r="P230" s="177" t="s">
        <v>1</v>
      </c>
      <c r="Q230" s="178" t="s">
        <v>1</v>
      </c>
      <c r="R230" s="177" t="s">
        <v>1</v>
      </c>
      <c r="S230" s="178" t="s">
        <v>1</v>
      </c>
      <c r="T230" s="181" t="s">
        <v>1</v>
      </c>
      <c r="U230" s="132"/>
    </row>
    <row r="231" spans="1:21">
      <c r="A231" s="182" t="s">
        <v>395</v>
      </c>
      <c r="B231" s="182" t="s">
        <v>396</v>
      </c>
      <c r="C231" s="178" t="s">
        <v>1</v>
      </c>
      <c r="D231" s="182" t="s">
        <v>1</v>
      </c>
      <c r="E231" s="178" t="s">
        <v>1</v>
      </c>
      <c r="F231" s="184">
        <v>7935781.3300000001</v>
      </c>
      <c r="G231" s="178" t="s">
        <v>1</v>
      </c>
      <c r="H231" s="182" t="s">
        <v>1</v>
      </c>
      <c r="I231" s="180" t="s">
        <v>1</v>
      </c>
      <c r="J231" s="132"/>
      <c r="K231" s="183" t="s">
        <v>1</v>
      </c>
      <c r="L231" s="132"/>
      <c r="M231" s="178" t="s">
        <v>1</v>
      </c>
      <c r="N231" s="182" t="s">
        <v>1</v>
      </c>
      <c r="O231" s="178" t="s">
        <v>1</v>
      </c>
      <c r="P231" s="184">
        <v>4048299.86</v>
      </c>
      <c r="Q231" s="178" t="s">
        <v>1</v>
      </c>
      <c r="R231" s="182" t="s">
        <v>1</v>
      </c>
      <c r="S231" s="178" t="s">
        <v>1</v>
      </c>
      <c r="T231" s="183" t="s">
        <v>1</v>
      </c>
      <c r="U231" s="132"/>
    </row>
    <row r="232" spans="1:21">
      <c r="A232" s="177" t="s">
        <v>397</v>
      </c>
      <c r="B232" s="177" t="s">
        <v>398</v>
      </c>
      <c r="C232" s="178" t="s">
        <v>1</v>
      </c>
      <c r="D232" s="177" t="s">
        <v>1</v>
      </c>
      <c r="E232" s="178" t="s">
        <v>1</v>
      </c>
      <c r="F232" s="179">
        <v>2633592.17</v>
      </c>
      <c r="G232" s="178" t="s">
        <v>1</v>
      </c>
      <c r="H232" s="177" t="s">
        <v>1</v>
      </c>
      <c r="I232" s="180" t="s">
        <v>1</v>
      </c>
      <c r="J232" s="132"/>
      <c r="K232" s="181" t="s">
        <v>1</v>
      </c>
      <c r="L232" s="132"/>
      <c r="M232" s="178" t="s">
        <v>1</v>
      </c>
      <c r="N232" s="179">
        <v>8456368.6400000006</v>
      </c>
      <c r="O232" s="178" t="s">
        <v>1</v>
      </c>
      <c r="P232" s="177" t="s">
        <v>1</v>
      </c>
      <c r="Q232" s="178" t="s">
        <v>1</v>
      </c>
      <c r="R232" s="177" t="s">
        <v>1</v>
      </c>
      <c r="S232" s="178" t="s">
        <v>1</v>
      </c>
      <c r="T232" s="181" t="s">
        <v>1</v>
      </c>
      <c r="U232" s="132"/>
    </row>
    <row r="233" spans="1:21">
      <c r="A233" s="182" t="s">
        <v>399</v>
      </c>
      <c r="B233" s="182" t="s">
        <v>400</v>
      </c>
      <c r="C233" s="178" t="s">
        <v>1</v>
      </c>
      <c r="D233" s="184">
        <v>51480000</v>
      </c>
      <c r="E233" s="178" t="s">
        <v>1</v>
      </c>
      <c r="F233" s="182" t="s">
        <v>1</v>
      </c>
      <c r="G233" s="178" t="s">
        <v>1</v>
      </c>
      <c r="H233" s="182" t="s">
        <v>1</v>
      </c>
      <c r="I233" s="180" t="s">
        <v>1</v>
      </c>
      <c r="J233" s="132"/>
      <c r="K233" s="183" t="s">
        <v>1</v>
      </c>
      <c r="L233" s="132"/>
      <c r="M233" s="178" t="s">
        <v>1</v>
      </c>
      <c r="N233" s="184">
        <v>51480000</v>
      </c>
      <c r="O233" s="178" t="s">
        <v>1</v>
      </c>
      <c r="P233" s="182" t="s">
        <v>1</v>
      </c>
      <c r="Q233" s="178" t="s">
        <v>1</v>
      </c>
      <c r="R233" s="182" t="s">
        <v>1</v>
      </c>
      <c r="S233" s="178" t="s">
        <v>1</v>
      </c>
      <c r="T233" s="183" t="s">
        <v>1</v>
      </c>
      <c r="U233" s="132"/>
    </row>
    <row r="234" spans="1:21">
      <c r="A234" s="177" t="s">
        <v>401</v>
      </c>
      <c r="B234" s="177" t="s">
        <v>402</v>
      </c>
      <c r="C234" s="178" t="s">
        <v>1</v>
      </c>
      <c r="D234" s="177" t="s">
        <v>1</v>
      </c>
      <c r="E234" s="178" t="s">
        <v>1</v>
      </c>
      <c r="F234" s="177" t="s">
        <v>1</v>
      </c>
      <c r="G234" s="178" t="s">
        <v>1</v>
      </c>
      <c r="H234" s="177" t="s">
        <v>1</v>
      </c>
      <c r="I234" s="180" t="s">
        <v>1</v>
      </c>
      <c r="J234" s="132"/>
      <c r="K234" s="181" t="s">
        <v>1</v>
      </c>
      <c r="L234" s="132"/>
      <c r="M234" s="178" t="s">
        <v>1</v>
      </c>
      <c r="N234" s="179">
        <v>0.62</v>
      </c>
      <c r="O234" s="178" t="s">
        <v>1</v>
      </c>
      <c r="P234" s="177" t="s">
        <v>1</v>
      </c>
      <c r="Q234" s="178" t="s">
        <v>1</v>
      </c>
      <c r="R234" s="177" t="s">
        <v>1</v>
      </c>
      <c r="S234" s="178" t="s">
        <v>1</v>
      </c>
      <c r="T234" s="181" t="s">
        <v>1</v>
      </c>
      <c r="U234" s="132"/>
    </row>
    <row r="235" spans="1:21" ht="0" hidden="1" customHeight="1"/>
  </sheetData>
  <mergeCells count="670">
    <mergeCell ref="I233:J233"/>
    <mergeCell ref="K233:L233"/>
    <mergeCell ref="T233:U233"/>
    <mergeCell ref="I234:J234"/>
    <mergeCell ref="K234:L234"/>
    <mergeCell ref="T234:U234"/>
    <mergeCell ref="I231:J231"/>
    <mergeCell ref="K231:L231"/>
    <mergeCell ref="T231:U231"/>
    <mergeCell ref="I232:J232"/>
    <mergeCell ref="K232:L232"/>
    <mergeCell ref="T232:U232"/>
    <mergeCell ref="I229:J229"/>
    <mergeCell ref="K229:L229"/>
    <mergeCell ref="T229:U229"/>
    <mergeCell ref="I230:J230"/>
    <mergeCell ref="K230:L230"/>
    <mergeCell ref="T230:U230"/>
    <mergeCell ref="I227:J227"/>
    <mergeCell ref="K227:L227"/>
    <mergeCell ref="T227:U227"/>
    <mergeCell ref="I228:J228"/>
    <mergeCell ref="K228:L228"/>
    <mergeCell ref="T228:U228"/>
    <mergeCell ref="I225:J225"/>
    <mergeCell ref="K225:L225"/>
    <mergeCell ref="T225:U225"/>
    <mergeCell ref="I226:J226"/>
    <mergeCell ref="K226:L226"/>
    <mergeCell ref="T226:U226"/>
    <mergeCell ref="I223:J223"/>
    <mergeCell ref="K223:L223"/>
    <mergeCell ref="T223:U223"/>
    <mergeCell ref="I224:J224"/>
    <mergeCell ref="K224:L224"/>
    <mergeCell ref="T224:U224"/>
    <mergeCell ref="I221:J221"/>
    <mergeCell ref="K221:L221"/>
    <mergeCell ref="T221:U221"/>
    <mergeCell ref="I222:J222"/>
    <mergeCell ref="K222:L222"/>
    <mergeCell ref="T222:U222"/>
    <mergeCell ref="I219:J219"/>
    <mergeCell ref="K219:L219"/>
    <mergeCell ref="T219:U219"/>
    <mergeCell ref="I220:J220"/>
    <mergeCell ref="K220:L220"/>
    <mergeCell ref="T220:U220"/>
    <mergeCell ref="I217:J217"/>
    <mergeCell ref="K217:L217"/>
    <mergeCell ref="T217:U217"/>
    <mergeCell ref="I218:J218"/>
    <mergeCell ref="K218:L218"/>
    <mergeCell ref="T218:U218"/>
    <mergeCell ref="I215:J215"/>
    <mergeCell ref="K215:L215"/>
    <mergeCell ref="T215:U215"/>
    <mergeCell ref="I216:J216"/>
    <mergeCell ref="K216:L216"/>
    <mergeCell ref="T216:U216"/>
    <mergeCell ref="I213:J213"/>
    <mergeCell ref="K213:L213"/>
    <mergeCell ref="T213:U213"/>
    <mergeCell ref="I214:J214"/>
    <mergeCell ref="K214:L214"/>
    <mergeCell ref="T214:U214"/>
    <mergeCell ref="I211:J211"/>
    <mergeCell ref="K211:L211"/>
    <mergeCell ref="T211:U211"/>
    <mergeCell ref="I212:J212"/>
    <mergeCell ref="K212:L212"/>
    <mergeCell ref="T212:U212"/>
    <mergeCell ref="I209:J209"/>
    <mergeCell ref="K209:L209"/>
    <mergeCell ref="T209:U209"/>
    <mergeCell ref="I210:J210"/>
    <mergeCell ref="K210:L210"/>
    <mergeCell ref="T210:U210"/>
    <mergeCell ref="I207:J207"/>
    <mergeCell ref="K207:L207"/>
    <mergeCell ref="T207:U207"/>
    <mergeCell ref="I208:J208"/>
    <mergeCell ref="K208:L208"/>
    <mergeCell ref="T208:U208"/>
    <mergeCell ref="I205:J205"/>
    <mergeCell ref="K205:L205"/>
    <mergeCell ref="T205:U205"/>
    <mergeCell ref="I206:J206"/>
    <mergeCell ref="K206:L206"/>
    <mergeCell ref="T206:U206"/>
    <mergeCell ref="I203:J203"/>
    <mergeCell ref="K203:L203"/>
    <mergeCell ref="T203:U203"/>
    <mergeCell ref="I204:J204"/>
    <mergeCell ref="K204:L204"/>
    <mergeCell ref="T204:U204"/>
    <mergeCell ref="I201:J201"/>
    <mergeCell ref="K201:L201"/>
    <mergeCell ref="T201:U201"/>
    <mergeCell ref="I202:J202"/>
    <mergeCell ref="K202:L202"/>
    <mergeCell ref="T202:U202"/>
    <mergeCell ref="I199:J199"/>
    <mergeCell ref="K199:L199"/>
    <mergeCell ref="T199:U199"/>
    <mergeCell ref="I200:J200"/>
    <mergeCell ref="K200:L200"/>
    <mergeCell ref="T200:U200"/>
    <mergeCell ref="I197:J197"/>
    <mergeCell ref="K197:L197"/>
    <mergeCell ref="T197:U197"/>
    <mergeCell ref="I198:J198"/>
    <mergeCell ref="K198:L198"/>
    <mergeCell ref="T198:U198"/>
    <mergeCell ref="I195:J195"/>
    <mergeCell ref="K195:L195"/>
    <mergeCell ref="T195:U195"/>
    <mergeCell ref="I196:J196"/>
    <mergeCell ref="K196:L196"/>
    <mergeCell ref="T196:U196"/>
    <mergeCell ref="I193:J193"/>
    <mergeCell ref="K193:L193"/>
    <mergeCell ref="T193:U193"/>
    <mergeCell ref="I194:J194"/>
    <mergeCell ref="K194:L194"/>
    <mergeCell ref="T194:U194"/>
    <mergeCell ref="I191:J191"/>
    <mergeCell ref="K191:L191"/>
    <mergeCell ref="T191:U191"/>
    <mergeCell ref="I192:J192"/>
    <mergeCell ref="K192:L192"/>
    <mergeCell ref="T192:U192"/>
    <mergeCell ref="I189:J189"/>
    <mergeCell ref="K189:L189"/>
    <mergeCell ref="T189:U189"/>
    <mergeCell ref="I190:J190"/>
    <mergeCell ref="K190:L190"/>
    <mergeCell ref="T190:U190"/>
    <mergeCell ref="I187:J187"/>
    <mergeCell ref="K187:L187"/>
    <mergeCell ref="T187:U187"/>
    <mergeCell ref="I188:J188"/>
    <mergeCell ref="K188:L188"/>
    <mergeCell ref="T188:U188"/>
    <mergeCell ref="I185:J185"/>
    <mergeCell ref="K185:L185"/>
    <mergeCell ref="T185:U185"/>
    <mergeCell ref="I186:J186"/>
    <mergeCell ref="K186:L186"/>
    <mergeCell ref="T186:U186"/>
    <mergeCell ref="I183:J183"/>
    <mergeCell ref="K183:L183"/>
    <mergeCell ref="T183:U183"/>
    <mergeCell ref="I184:J184"/>
    <mergeCell ref="K184:L184"/>
    <mergeCell ref="T184:U184"/>
    <mergeCell ref="I181:J181"/>
    <mergeCell ref="K181:L181"/>
    <mergeCell ref="T181:U181"/>
    <mergeCell ref="I182:J182"/>
    <mergeCell ref="K182:L182"/>
    <mergeCell ref="T182:U182"/>
    <mergeCell ref="I179:J179"/>
    <mergeCell ref="K179:L179"/>
    <mergeCell ref="T179:U179"/>
    <mergeCell ref="I180:J180"/>
    <mergeCell ref="K180:L180"/>
    <mergeCell ref="T180:U180"/>
    <mergeCell ref="I177:J177"/>
    <mergeCell ref="K177:L177"/>
    <mergeCell ref="T177:U177"/>
    <mergeCell ref="I178:J178"/>
    <mergeCell ref="K178:L178"/>
    <mergeCell ref="T178:U178"/>
    <mergeCell ref="I175:J175"/>
    <mergeCell ref="K175:L175"/>
    <mergeCell ref="T175:U175"/>
    <mergeCell ref="I176:J176"/>
    <mergeCell ref="K176:L176"/>
    <mergeCell ref="T176:U176"/>
    <mergeCell ref="I173:J173"/>
    <mergeCell ref="K173:L173"/>
    <mergeCell ref="T173:U173"/>
    <mergeCell ref="I174:J174"/>
    <mergeCell ref="K174:L174"/>
    <mergeCell ref="T174:U174"/>
    <mergeCell ref="I171:J171"/>
    <mergeCell ref="K171:L171"/>
    <mergeCell ref="T171:U171"/>
    <mergeCell ref="I172:J172"/>
    <mergeCell ref="K172:L172"/>
    <mergeCell ref="T172:U172"/>
    <mergeCell ref="I169:J169"/>
    <mergeCell ref="K169:L169"/>
    <mergeCell ref="T169:U169"/>
    <mergeCell ref="I170:J170"/>
    <mergeCell ref="K170:L170"/>
    <mergeCell ref="T170:U170"/>
    <mergeCell ref="I167:J167"/>
    <mergeCell ref="K167:L167"/>
    <mergeCell ref="T167:U167"/>
    <mergeCell ref="I168:J168"/>
    <mergeCell ref="K168:L168"/>
    <mergeCell ref="T168:U168"/>
    <mergeCell ref="I165:J165"/>
    <mergeCell ref="K165:L165"/>
    <mergeCell ref="T165:U165"/>
    <mergeCell ref="I166:J166"/>
    <mergeCell ref="K166:L166"/>
    <mergeCell ref="T166:U166"/>
    <mergeCell ref="I163:J163"/>
    <mergeCell ref="K163:L163"/>
    <mergeCell ref="T163:U163"/>
    <mergeCell ref="I164:J164"/>
    <mergeCell ref="K164:L164"/>
    <mergeCell ref="T164:U164"/>
    <mergeCell ref="I161:J161"/>
    <mergeCell ref="K161:L161"/>
    <mergeCell ref="T161:U161"/>
    <mergeCell ref="I162:J162"/>
    <mergeCell ref="K162:L162"/>
    <mergeCell ref="T162:U162"/>
    <mergeCell ref="I159:J159"/>
    <mergeCell ref="K159:L159"/>
    <mergeCell ref="T159:U159"/>
    <mergeCell ref="I160:J160"/>
    <mergeCell ref="K160:L160"/>
    <mergeCell ref="T160:U160"/>
    <mergeCell ref="I157:J157"/>
    <mergeCell ref="K157:L157"/>
    <mergeCell ref="T157:U157"/>
    <mergeCell ref="I158:J158"/>
    <mergeCell ref="K158:L158"/>
    <mergeCell ref="T158:U158"/>
    <mergeCell ref="I155:J155"/>
    <mergeCell ref="K155:L155"/>
    <mergeCell ref="T155:U155"/>
    <mergeCell ref="I156:J156"/>
    <mergeCell ref="K156:L156"/>
    <mergeCell ref="T156:U156"/>
    <mergeCell ref="I153:J153"/>
    <mergeCell ref="K153:L153"/>
    <mergeCell ref="T153:U153"/>
    <mergeCell ref="I154:J154"/>
    <mergeCell ref="K154:L154"/>
    <mergeCell ref="T154:U154"/>
    <mergeCell ref="I151:J151"/>
    <mergeCell ref="K151:L151"/>
    <mergeCell ref="T151:U151"/>
    <mergeCell ref="I152:J152"/>
    <mergeCell ref="K152:L152"/>
    <mergeCell ref="T152:U152"/>
    <mergeCell ref="I149:J149"/>
    <mergeCell ref="K149:L149"/>
    <mergeCell ref="T149:U149"/>
    <mergeCell ref="I150:J150"/>
    <mergeCell ref="K150:L150"/>
    <mergeCell ref="T150:U150"/>
    <mergeCell ref="I147:J147"/>
    <mergeCell ref="K147:L147"/>
    <mergeCell ref="T147:U147"/>
    <mergeCell ref="I148:J148"/>
    <mergeCell ref="K148:L148"/>
    <mergeCell ref="T148:U148"/>
    <mergeCell ref="I145:J145"/>
    <mergeCell ref="K145:L145"/>
    <mergeCell ref="T145:U145"/>
    <mergeCell ref="I146:J146"/>
    <mergeCell ref="K146:L146"/>
    <mergeCell ref="T146:U146"/>
    <mergeCell ref="I143:J143"/>
    <mergeCell ref="K143:L143"/>
    <mergeCell ref="T143:U143"/>
    <mergeCell ref="I144:J144"/>
    <mergeCell ref="K144:L144"/>
    <mergeCell ref="T144:U144"/>
    <mergeCell ref="I141:J141"/>
    <mergeCell ref="K141:L141"/>
    <mergeCell ref="T141:U141"/>
    <mergeCell ref="I142:J142"/>
    <mergeCell ref="K142:L142"/>
    <mergeCell ref="T142:U142"/>
    <mergeCell ref="I139:J139"/>
    <mergeCell ref="K139:L139"/>
    <mergeCell ref="T139:U139"/>
    <mergeCell ref="I140:J140"/>
    <mergeCell ref="K140:L140"/>
    <mergeCell ref="T140:U140"/>
    <mergeCell ref="I137:J137"/>
    <mergeCell ref="K137:L137"/>
    <mergeCell ref="T137:U137"/>
    <mergeCell ref="I138:J138"/>
    <mergeCell ref="K138:L138"/>
    <mergeCell ref="T138:U138"/>
    <mergeCell ref="I135:J135"/>
    <mergeCell ref="K135:L135"/>
    <mergeCell ref="T135:U135"/>
    <mergeCell ref="I136:J136"/>
    <mergeCell ref="K136:L136"/>
    <mergeCell ref="T136:U136"/>
    <mergeCell ref="I133:J133"/>
    <mergeCell ref="K133:L133"/>
    <mergeCell ref="T133:U133"/>
    <mergeCell ref="I134:J134"/>
    <mergeCell ref="K134:L134"/>
    <mergeCell ref="T134:U134"/>
    <mergeCell ref="I131:J131"/>
    <mergeCell ref="K131:L131"/>
    <mergeCell ref="T131:U131"/>
    <mergeCell ref="I132:J132"/>
    <mergeCell ref="K132:L132"/>
    <mergeCell ref="T132:U132"/>
    <mergeCell ref="I129:J129"/>
    <mergeCell ref="K129:L129"/>
    <mergeCell ref="T129:U129"/>
    <mergeCell ref="I130:J130"/>
    <mergeCell ref="K130:L130"/>
    <mergeCell ref="T130:U130"/>
    <mergeCell ref="I127:J127"/>
    <mergeCell ref="K127:L127"/>
    <mergeCell ref="T127:U127"/>
    <mergeCell ref="I128:J128"/>
    <mergeCell ref="K128:L128"/>
    <mergeCell ref="T128:U128"/>
    <mergeCell ref="I125:J125"/>
    <mergeCell ref="K125:L125"/>
    <mergeCell ref="T125:U125"/>
    <mergeCell ref="I126:J126"/>
    <mergeCell ref="K126:L126"/>
    <mergeCell ref="T126:U126"/>
    <mergeCell ref="I123:J123"/>
    <mergeCell ref="K123:L123"/>
    <mergeCell ref="T123:U123"/>
    <mergeCell ref="I124:J124"/>
    <mergeCell ref="K124:L124"/>
    <mergeCell ref="T124:U124"/>
    <mergeCell ref="I121:J121"/>
    <mergeCell ref="K121:L121"/>
    <mergeCell ref="T121:U121"/>
    <mergeCell ref="I122:J122"/>
    <mergeCell ref="K122:L122"/>
    <mergeCell ref="T122:U122"/>
    <mergeCell ref="I119:J119"/>
    <mergeCell ref="K119:L119"/>
    <mergeCell ref="T119:U119"/>
    <mergeCell ref="I120:J120"/>
    <mergeCell ref="K120:L120"/>
    <mergeCell ref="T120:U120"/>
    <mergeCell ref="I117:J117"/>
    <mergeCell ref="K117:L117"/>
    <mergeCell ref="T117:U117"/>
    <mergeCell ref="I118:J118"/>
    <mergeCell ref="K118:L118"/>
    <mergeCell ref="T118:U118"/>
    <mergeCell ref="I115:J115"/>
    <mergeCell ref="K115:L115"/>
    <mergeCell ref="T115:U115"/>
    <mergeCell ref="I116:J116"/>
    <mergeCell ref="K116:L116"/>
    <mergeCell ref="T116:U116"/>
    <mergeCell ref="I113:J113"/>
    <mergeCell ref="K113:L113"/>
    <mergeCell ref="T113:U113"/>
    <mergeCell ref="I114:J114"/>
    <mergeCell ref="K114:L114"/>
    <mergeCell ref="T114:U114"/>
    <mergeCell ref="I111:J111"/>
    <mergeCell ref="K111:L111"/>
    <mergeCell ref="T111:U111"/>
    <mergeCell ref="I112:J112"/>
    <mergeCell ref="K112:L112"/>
    <mergeCell ref="T112:U112"/>
    <mergeCell ref="I109:J109"/>
    <mergeCell ref="K109:L109"/>
    <mergeCell ref="T109:U109"/>
    <mergeCell ref="I110:J110"/>
    <mergeCell ref="K110:L110"/>
    <mergeCell ref="T110:U110"/>
    <mergeCell ref="I107:J107"/>
    <mergeCell ref="K107:L107"/>
    <mergeCell ref="T107:U107"/>
    <mergeCell ref="I108:J108"/>
    <mergeCell ref="K108:L108"/>
    <mergeCell ref="T108:U108"/>
    <mergeCell ref="I105:J105"/>
    <mergeCell ref="K105:L105"/>
    <mergeCell ref="T105:U105"/>
    <mergeCell ref="I106:J106"/>
    <mergeCell ref="K106:L106"/>
    <mergeCell ref="T106:U106"/>
    <mergeCell ref="I103:J103"/>
    <mergeCell ref="K103:L103"/>
    <mergeCell ref="T103:U103"/>
    <mergeCell ref="I104:J104"/>
    <mergeCell ref="K104:L104"/>
    <mergeCell ref="T104:U104"/>
    <mergeCell ref="I101:J101"/>
    <mergeCell ref="K101:L101"/>
    <mergeCell ref="T101:U101"/>
    <mergeCell ref="I102:J102"/>
    <mergeCell ref="K102:L102"/>
    <mergeCell ref="T102:U102"/>
    <mergeCell ref="I99:J99"/>
    <mergeCell ref="K99:L99"/>
    <mergeCell ref="T99:U99"/>
    <mergeCell ref="I100:J100"/>
    <mergeCell ref="K100:L100"/>
    <mergeCell ref="T100:U100"/>
    <mergeCell ref="I97:J97"/>
    <mergeCell ref="K97:L97"/>
    <mergeCell ref="T97:U97"/>
    <mergeCell ref="I98:J98"/>
    <mergeCell ref="K98:L98"/>
    <mergeCell ref="T98:U98"/>
    <mergeCell ref="I95:J95"/>
    <mergeCell ref="K95:L95"/>
    <mergeCell ref="T95:U95"/>
    <mergeCell ref="I96:J96"/>
    <mergeCell ref="K96:L96"/>
    <mergeCell ref="T96:U96"/>
    <mergeCell ref="I93:J93"/>
    <mergeCell ref="K93:L93"/>
    <mergeCell ref="T93:U93"/>
    <mergeCell ref="I94:J94"/>
    <mergeCell ref="K94:L94"/>
    <mergeCell ref="T94:U94"/>
    <mergeCell ref="I91:J91"/>
    <mergeCell ref="K91:L91"/>
    <mergeCell ref="T91:U91"/>
    <mergeCell ref="I92:J92"/>
    <mergeCell ref="K92:L92"/>
    <mergeCell ref="T92:U92"/>
    <mergeCell ref="I89:J89"/>
    <mergeCell ref="K89:L89"/>
    <mergeCell ref="T89:U89"/>
    <mergeCell ref="I90:J90"/>
    <mergeCell ref="K90:L90"/>
    <mergeCell ref="T90:U90"/>
    <mergeCell ref="I87:J87"/>
    <mergeCell ref="K87:L87"/>
    <mergeCell ref="T87:U87"/>
    <mergeCell ref="I88:J88"/>
    <mergeCell ref="K88:L88"/>
    <mergeCell ref="T88:U88"/>
    <mergeCell ref="I85:J85"/>
    <mergeCell ref="K85:L85"/>
    <mergeCell ref="T85:U85"/>
    <mergeCell ref="I86:J86"/>
    <mergeCell ref="K86:L86"/>
    <mergeCell ref="T86:U86"/>
    <mergeCell ref="I83:J83"/>
    <mergeCell ref="K83:L83"/>
    <mergeCell ref="T83:U83"/>
    <mergeCell ref="I84:J84"/>
    <mergeCell ref="K84:L84"/>
    <mergeCell ref="T84:U84"/>
    <mergeCell ref="I81:J81"/>
    <mergeCell ref="K81:L81"/>
    <mergeCell ref="T81:U81"/>
    <mergeCell ref="I82:J82"/>
    <mergeCell ref="K82:L82"/>
    <mergeCell ref="T82:U82"/>
    <mergeCell ref="I79:J79"/>
    <mergeCell ref="K79:L79"/>
    <mergeCell ref="T79:U79"/>
    <mergeCell ref="I80:J80"/>
    <mergeCell ref="K80:L80"/>
    <mergeCell ref="T80:U80"/>
    <mergeCell ref="I77:J77"/>
    <mergeCell ref="K77:L77"/>
    <mergeCell ref="T77:U77"/>
    <mergeCell ref="I78:J78"/>
    <mergeCell ref="K78:L78"/>
    <mergeCell ref="T78:U78"/>
    <mergeCell ref="I75:J75"/>
    <mergeCell ref="K75:L75"/>
    <mergeCell ref="T75:U75"/>
    <mergeCell ref="I76:J76"/>
    <mergeCell ref="K76:L76"/>
    <mergeCell ref="T76:U76"/>
    <mergeCell ref="I73:J73"/>
    <mergeCell ref="K73:L73"/>
    <mergeCell ref="T73:U73"/>
    <mergeCell ref="I74:J74"/>
    <mergeCell ref="K74:L74"/>
    <mergeCell ref="T74:U74"/>
    <mergeCell ref="I71:J71"/>
    <mergeCell ref="K71:L71"/>
    <mergeCell ref="T71:U71"/>
    <mergeCell ref="I72:J72"/>
    <mergeCell ref="K72:L72"/>
    <mergeCell ref="T72:U72"/>
    <mergeCell ref="I69:J69"/>
    <mergeCell ref="K69:L69"/>
    <mergeCell ref="T69:U69"/>
    <mergeCell ref="I70:J70"/>
    <mergeCell ref="K70:L70"/>
    <mergeCell ref="T70:U70"/>
    <mergeCell ref="I67:J67"/>
    <mergeCell ref="K67:L67"/>
    <mergeCell ref="T67:U67"/>
    <mergeCell ref="I68:J68"/>
    <mergeCell ref="K68:L68"/>
    <mergeCell ref="T68:U68"/>
    <mergeCell ref="I65:J65"/>
    <mergeCell ref="K65:L65"/>
    <mergeCell ref="T65:U65"/>
    <mergeCell ref="I66:J66"/>
    <mergeCell ref="K66:L66"/>
    <mergeCell ref="T66:U66"/>
    <mergeCell ref="I63:J63"/>
    <mergeCell ref="K63:L63"/>
    <mergeCell ref="T63:U63"/>
    <mergeCell ref="I64:J64"/>
    <mergeCell ref="K64:L64"/>
    <mergeCell ref="T64:U64"/>
    <mergeCell ref="I61:J61"/>
    <mergeCell ref="K61:L61"/>
    <mergeCell ref="T61:U61"/>
    <mergeCell ref="I62:J62"/>
    <mergeCell ref="K62:L62"/>
    <mergeCell ref="T62:U62"/>
    <mergeCell ref="I59:J59"/>
    <mergeCell ref="K59:L59"/>
    <mergeCell ref="T59:U59"/>
    <mergeCell ref="I60:J60"/>
    <mergeCell ref="K60:L60"/>
    <mergeCell ref="T60:U60"/>
    <mergeCell ref="I57:J57"/>
    <mergeCell ref="K57:L57"/>
    <mergeCell ref="T57:U57"/>
    <mergeCell ref="I58:J58"/>
    <mergeCell ref="K58:L58"/>
    <mergeCell ref="T58:U58"/>
    <mergeCell ref="I55:J55"/>
    <mergeCell ref="K55:L55"/>
    <mergeCell ref="T55:U55"/>
    <mergeCell ref="I56:J56"/>
    <mergeCell ref="K56:L56"/>
    <mergeCell ref="T56:U56"/>
    <mergeCell ref="I53:J53"/>
    <mergeCell ref="K53:L53"/>
    <mergeCell ref="T53:U53"/>
    <mergeCell ref="I54:J54"/>
    <mergeCell ref="K54:L54"/>
    <mergeCell ref="T54:U54"/>
    <mergeCell ref="I51:J51"/>
    <mergeCell ref="K51:L51"/>
    <mergeCell ref="T51:U51"/>
    <mergeCell ref="I52:J52"/>
    <mergeCell ref="K52:L52"/>
    <mergeCell ref="T52:U52"/>
    <mergeCell ref="I49:J49"/>
    <mergeCell ref="K49:L49"/>
    <mergeCell ref="T49:U49"/>
    <mergeCell ref="I50:J50"/>
    <mergeCell ref="K50:L50"/>
    <mergeCell ref="T50:U50"/>
    <mergeCell ref="I47:J47"/>
    <mergeCell ref="K47:L47"/>
    <mergeCell ref="T47:U47"/>
    <mergeCell ref="I48:J48"/>
    <mergeCell ref="K48:L48"/>
    <mergeCell ref="T48:U48"/>
    <mergeCell ref="I45:J45"/>
    <mergeCell ref="K45:L45"/>
    <mergeCell ref="T45:U45"/>
    <mergeCell ref="I46:J46"/>
    <mergeCell ref="K46:L46"/>
    <mergeCell ref="T46:U46"/>
    <mergeCell ref="I43:J43"/>
    <mergeCell ref="K43:L43"/>
    <mergeCell ref="T43:U43"/>
    <mergeCell ref="I44:J44"/>
    <mergeCell ref="K44:L44"/>
    <mergeCell ref="T44:U44"/>
    <mergeCell ref="I41:J41"/>
    <mergeCell ref="K41:L41"/>
    <mergeCell ref="T41:U41"/>
    <mergeCell ref="I42:J42"/>
    <mergeCell ref="K42:L42"/>
    <mergeCell ref="T42:U42"/>
    <mergeCell ref="I39:J39"/>
    <mergeCell ref="K39:L39"/>
    <mergeCell ref="T39:U39"/>
    <mergeCell ref="I40:J40"/>
    <mergeCell ref="K40:L40"/>
    <mergeCell ref="T40:U40"/>
    <mergeCell ref="I37:J37"/>
    <mergeCell ref="K37:L37"/>
    <mergeCell ref="T37:U37"/>
    <mergeCell ref="I38:J38"/>
    <mergeCell ref="K38:L38"/>
    <mergeCell ref="T38:U38"/>
    <mergeCell ref="I35:J35"/>
    <mergeCell ref="K35:L35"/>
    <mergeCell ref="T35:U35"/>
    <mergeCell ref="I36:J36"/>
    <mergeCell ref="K36:L36"/>
    <mergeCell ref="T36:U36"/>
    <mergeCell ref="I33:J33"/>
    <mergeCell ref="K33:L33"/>
    <mergeCell ref="T33:U33"/>
    <mergeCell ref="I34:J34"/>
    <mergeCell ref="K34:L34"/>
    <mergeCell ref="T34:U34"/>
    <mergeCell ref="I31:J31"/>
    <mergeCell ref="K31:L31"/>
    <mergeCell ref="T31:U31"/>
    <mergeCell ref="I32:J32"/>
    <mergeCell ref="K32:L32"/>
    <mergeCell ref="T32:U32"/>
    <mergeCell ref="I29:J29"/>
    <mergeCell ref="K29:L29"/>
    <mergeCell ref="T29:U29"/>
    <mergeCell ref="I30:J30"/>
    <mergeCell ref="K30:L30"/>
    <mergeCell ref="T30:U30"/>
    <mergeCell ref="I27:J27"/>
    <mergeCell ref="K27:L27"/>
    <mergeCell ref="T27:U27"/>
    <mergeCell ref="I28:J28"/>
    <mergeCell ref="K28:L28"/>
    <mergeCell ref="T28:U28"/>
    <mergeCell ref="I25:J25"/>
    <mergeCell ref="K25:L25"/>
    <mergeCell ref="T25:U25"/>
    <mergeCell ref="I26:J26"/>
    <mergeCell ref="K26:L26"/>
    <mergeCell ref="T26:U26"/>
    <mergeCell ref="I23:J23"/>
    <mergeCell ref="K23:L23"/>
    <mergeCell ref="T23:U23"/>
    <mergeCell ref="I24:J24"/>
    <mergeCell ref="K24:L24"/>
    <mergeCell ref="T24:U24"/>
    <mergeCell ref="I21:J21"/>
    <mergeCell ref="K21:L21"/>
    <mergeCell ref="T21:U21"/>
    <mergeCell ref="I22:J22"/>
    <mergeCell ref="K22:L22"/>
    <mergeCell ref="T22:U22"/>
    <mergeCell ref="I19:J19"/>
    <mergeCell ref="K19:L19"/>
    <mergeCell ref="T19:U19"/>
    <mergeCell ref="I20:J20"/>
    <mergeCell ref="K20:L20"/>
    <mergeCell ref="T20:U20"/>
    <mergeCell ref="D17:F17"/>
    <mergeCell ref="I17:J17"/>
    <mergeCell ref="K17:L17"/>
    <mergeCell ref="N17:P17"/>
    <mergeCell ref="T17:U17"/>
    <mergeCell ref="I18:J18"/>
    <mergeCell ref="K18:L18"/>
    <mergeCell ref="T18:U18"/>
    <mergeCell ref="A11:I11"/>
    <mergeCell ref="A13:I13"/>
    <mergeCell ref="A14:U14"/>
    <mergeCell ref="A15:U15"/>
    <mergeCell ref="I16:J16"/>
    <mergeCell ref="K16:L16"/>
    <mergeCell ref="T16:U16"/>
    <mergeCell ref="A1:I3"/>
    <mergeCell ref="L1:T1"/>
    <mergeCell ref="L2:T2"/>
    <mergeCell ref="L3:T4"/>
    <mergeCell ref="A4:I6"/>
    <mergeCell ref="L6:T8"/>
    <mergeCell ref="A7:I9"/>
  </mergeCells>
  <pageMargins left="0.59055118110236204" right="0.49212598425196902" top="0.39370078740157499" bottom="0.39370078740157499" header="0.39370078740157499" footer="0.39370078740157499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63A-CFF6-4E4D-A0E2-45299D56A4D4}">
  <dimension ref="A1:M234"/>
  <sheetViews>
    <sheetView showGridLines="0" workbookViewId="0">
      <pane ySplit="14" topLeftCell="A54" activePane="bottomLeft" state="frozen"/>
      <selection pane="bottomLeft" activeCell="D51" sqref="D51"/>
    </sheetView>
  </sheetViews>
  <sheetFormatPr defaultRowHeight="14.5"/>
  <cols>
    <col min="1" max="1" width="8.6328125" style="3" customWidth="1"/>
    <col min="2" max="2" width="28.453125" style="3" customWidth="1"/>
    <col min="3" max="3" width="0.90625" style="3" customWidth="1"/>
    <col min="4" max="4" width="14" style="3" customWidth="1"/>
    <col min="5" max="5" width="0.90625" style="3" customWidth="1"/>
    <col min="6" max="6" width="3.453125" style="3" customWidth="1"/>
    <col min="7" max="7" width="4.26953125" style="3" customWidth="1"/>
    <col min="8" max="8" width="6.26953125" style="3" customWidth="1"/>
    <col min="9" max="9" width="0.90625" style="3" customWidth="1"/>
    <col min="10" max="10" width="14" style="3" customWidth="1"/>
    <col min="11" max="11" width="0.90625" style="3" customWidth="1"/>
    <col min="12" max="12" width="13.81640625" style="3" customWidth="1"/>
    <col min="13" max="13" width="8.984375E-2" style="3" customWidth="1"/>
    <col min="14" max="14" width="0" style="3" hidden="1" customWidth="1"/>
    <col min="15" max="15" width="0.1796875" style="3" customWidth="1"/>
    <col min="16" max="16384" width="8.7265625" style="3"/>
  </cols>
  <sheetData>
    <row r="1" spans="1:13" ht="0.75" customHeight="1">
      <c r="A1" s="1" t="s">
        <v>0</v>
      </c>
      <c r="B1" s="2"/>
      <c r="C1" s="2"/>
      <c r="D1" s="2"/>
      <c r="E1" s="2"/>
      <c r="F1" s="2"/>
    </row>
    <row r="2" spans="1:13" ht="2" customHeight="1">
      <c r="A2" s="2"/>
      <c r="B2" s="2"/>
      <c r="C2" s="2"/>
      <c r="D2" s="2"/>
      <c r="E2" s="2"/>
      <c r="F2" s="2"/>
      <c r="H2" s="4" t="s">
        <v>1</v>
      </c>
      <c r="I2" s="2"/>
      <c r="J2" s="2"/>
      <c r="K2" s="2"/>
      <c r="L2" s="2"/>
    </row>
    <row r="3" spans="1:13" ht="12" customHeight="1">
      <c r="A3" s="2"/>
      <c r="B3" s="2"/>
      <c r="C3" s="2"/>
      <c r="D3" s="2"/>
      <c r="E3" s="2"/>
      <c r="F3" s="2"/>
      <c r="H3" s="5" t="s">
        <v>2</v>
      </c>
      <c r="I3" s="2"/>
      <c r="J3" s="2"/>
      <c r="K3" s="2"/>
      <c r="L3" s="2"/>
    </row>
    <row r="4" spans="1:13" ht="5.25" customHeight="1">
      <c r="A4" s="2"/>
      <c r="B4" s="2"/>
      <c r="C4" s="2"/>
      <c r="D4" s="2"/>
      <c r="E4" s="2"/>
      <c r="F4" s="2"/>
      <c r="H4" s="5" t="s">
        <v>3</v>
      </c>
      <c r="I4" s="2"/>
      <c r="J4" s="2"/>
      <c r="K4" s="2"/>
      <c r="L4" s="2"/>
    </row>
    <row r="5" spans="1:13">
      <c r="A5" s="6" t="s">
        <v>1</v>
      </c>
      <c r="B5" s="2"/>
      <c r="C5" s="2"/>
      <c r="D5" s="2"/>
      <c r="E5" s="2"/>
      <c r="F5" s="2"/>
      <c r="H5" s="2"/>
      <c r="I5" s="2"/>
      <c r="J5" s="2"/>
      <c r="K5" s="2"/>
      <c r="L5" s="2"/>
    </row>
    <row r="6" spans="1:13">
      <c r="A6" s="2"/>
      <c r="B6" s="2"/>
      <c r="C6" s="2"/>
      <c r="D6" s="2"/>
      <c r="E6" s="2"/>
      <c r="F6" s="2"/>
    </row>
    <row r="7" spans="1:13">
      <c r="A7" s="2"/>
      <c r="B7" s="2"/>
      <c r="C7" s="2"/>
      <c r="D7" s="2"/>
      <c r="E7" s="2"/>
      <c r="F7" s="2"/>
      <c r="H7" s="5" t="s">
        <v>4</v>
      </c>
      <c r="I7" s="2"/>
      <c r="J7" s="2"/>
      <c r="K7" s="2"/>
      <c r="L7" s="2"/>
    </row>
    <row r="8" spans="1:13">
      <c r="A8" s="7" t="s">
        <v>5</v>
      </c>
      <c r="B8" s="2"/>
      <c r="C8" s="2"/>
      <c r="D8" s="2"/>
      <c r="E8" s="2"/>
      <c r="F8" s="2"/>
      <c r="H8" s="2"/>
      <c r="I8" s="2"/>
      <c r="J8" s="2"/>
      <c r="K8" s="2"/>
      <c r="L8" s="2"/>
    </row>
    <row r="9" spans="1:13" ht="0" hidden="1" customHeight="1">
      <c r="A9" s="2"/>
      <c r="B9" s="2"/>
      <c r="C9" s="2"/>
      <c r="D9" s="2"/>
      <c r="E9" s="2"/>
      <c r="F9" s="2"/>
    </row>
    <row r="10" spans="1:13" ht="3.25" customHeight="1">
      <c r="A10" s="2"/>
      <c r="B10" s="2"/>
      <c r="C10" s="2"/>
      <c r="D10" s="2"/>
      <c r="E10" s="2"/>
      <c r="F10" s="2"/>
    </row>
    <row r="11" spans="1:13" ht="8.75" customHeight="1">
      <c r="A11" s="7" t="s">
        <v>6</v>
      </c>
      <c r="B11" s="2"/>
      <c r="C11" s="2"/>
      <c r="D11" s="2"/>
      <c r="E11" s="2"/>
      <c r="F11" s="2"/>
    </row>
    <row r="12" spans="1:13" ht="3.25" customHeight="1">
      <c r="A12" s="2"/>
      <c r="B12" s="2"/>
      <c r="C12" s="2"/>
      <c r="D12" s="2"/>
      <c r="E12" s="2"/>
      <c r="F12" s="2"/>
    </row>
    <row r="13" spans="1:13" ht="0" hidden="1" customHeight="1"/>
    <row r="14" spans="1:13" ht="25" customHeight="1">
      <c r="A14" s="6" t="s">
        <v>1</v>
      </c>
      <c r="B14" s="2"/>
      <c r="C14" s="2"/>
      <c r="D14" s="2"/>
      <c r="E14" s="2"/>
      <c r="F14" s="2"/>
    </row>
    <row r="15" spans="1:13" ht="11" customHeight="1">
      <c r="A15" s="7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8" t="s">
        <v>1</v>
      </c>
      <c r="B16" s="9" t="s">
        <v>1</v>
      </c>
      <c r="C16" s="9" t="s">
        <v>1</v>
      </c>
      <c r="D16" s="10" t="s">
        <v>1</v>
      </c>
      <c r="E16" s="10" t="s">
        <v>1</v>
      </c>
      <c r="F16" s="6" t="s">
        <v>1</v>
      </c>
      <c r="G16" s="2"/>
      <c r="H16" s="2"/>
      <c r="I16" s="10" t="s">
        <v>1</v>
      </c>
      <c r="J16" s="10" t="s">
        <v>1</v>
      </c>
      <c r="K16" s="10" t="s">
        <v>1</v>
      </c>
      <c r="L16" s="7" t="s">
        <v>1</v>
      </c>
      <c r="M16" s="2"/>
    </row>
    <row r="17" spans="1:13">
      <c r="A17" s="11" t="s">
        <v>1</v>
      </c>
      <c r="B17" s="11" t="s">
        <v>1</v>
      </c>
      <c r="C17" s="11" t="s">
        <v>1</v>
      </c>
      <c r="D17" s="12" t="s">
        <v>8</v>
      </c>
      <c r="E17" s="2"/>
      <c r="F17" s="2"/>
      <c r="G17" s="2"/>
      <c r="H17" s="2"/>
      <c r="I17" s="13" t="s">
        <v>1</v>
      </c>
      <c r="J17" s="12" t="s">
        <v>9</v>
      </c>
      <c r="K17" s="2"/>
      <c r="L17" s="2"/>
      <c r="M17" s="2"/>
    </row>
    <row r="18" spans="1:13">
      <c r="A18" s="11" t="s">
        <v>1</v>
      </c>
      <c r="B18" s="11" t="s">
        <v>1</v>
      </c>
      <c r="C18" s="11" t="s">
        <v>1</v>
      </c>
      <c r="D18" s="11" t="s">
        <v>1</v>
      </c>
      <c r="E18" s="11" t="s">
        <v>1</v>
      </c>
      <c r="F18" s="14" t="s">
        <v>1</v>
      </c>
      <c r="G18" s="2"/>
      <c r="H18" s="2"/>
      <c r="I18" s="11" t="s">
        <v>1</v>
      </c>
      <c r="J18" s="11" t="s">
        <v>1</v>
      </c>
      <c r="K18" s="11" t="s">
        <v>1</v>
      </c>
      <c r="L18" s="14" t="s">
        <v>1</v>
      </c>
      <c r="M18" s="2"/>
    </row>
    <row r="19" spans="1:13">
      <c r="A19" s="15" t="s">
        <v>10</v>
      </c>
      <c r="B19" s="15" t="s">
        <v>11</v>
      </c>
      <c r="C19" s="9" t="s">
        <v>1</v>
      </c>
      <c r="D19" s="16" t="s">
        <v>12</v>
      </c>
      <c r="E19" s="17" t="s">
        <v>1</v>
      </c>
      <c r="F19" s="18" t="s">
        <v>13</v>
      </c>
      <c r="G19" s="2"/>
      <c r="H19" s="2"/>
      <c r="I19" s="17" t="s">
        <v>1</v>
      </c>
      <c r="J19" s="16" t="s">
        <v>12</v>
      </c>
      <c r="K19" s="17" t="s">
        <v>1</v>
      </c>
      <c r="L19" s="18" t="s">
        <v>13</v>
      </c>
      <c r="M19" s="2"/>
    </row>
    <row r="20" spans="1:13">
      <c r="A20" s="19" t="s">
        <v>1</v>
      </c>
      <c r="B20" s="19" t="s">
        <v>1</v>
      </c>
      <c r="C20" s="19" t="s">
        <v>1</v>
      </c>
      <c r="D20" s="20" t="s">
        <v>1</v>
      </c>
      <c r="E20" s="20" t="s">
        <v>1</v>
      </c>
      <c r="F20" s="21" t="s">
        <v>1</v>
      </c>
      <c r="G20" s="22"/>
      <c r="H20" s="22"/>
      <c r="I20" s="20" t="s">
        <v>1</v>
      </c>
      <c r="J20" s="20" t="s">
        <v>1</v>
      </c>
      <c r="K20" s="20" t="s">
        <v>1</v>
      </c>
      <c r="L20" s="21" t="s">
        <v>1</v>
      </c>
      <c r="M20" s="22"/>
    </row>
    <row r="21" spans="1:13">
      <c r="A21" s="11" t="s">
        <v>1</v>
      </c>
      <c r="B21" s="11" t="s">
        <v>1</v>
      </c>
      <c r="C21" s="11" t="s">
        <v>1</v>
      </c>
      <c r="D21" s="23" t="s">
        <v>1</v>
      </c>
      <c r="E21" s="23" t="s">
        <v>1</v>
      </c>
      <c r="F21" s="24" t="s">
        <v>1</v>
      </c>
      <c r="G21" s="2"/>
      <c r="H21" s="2"/>
      <c r="I21" s="23" t="s">
        <v>1</v>
      </c>
      <c r="J21" s="23" t="s">
        <v>1</v>
      </c>
      <c r="K21" s="23" t="s">
        <v>1</v>
      </c>
      <c r="L21" s="24" t="s">
        <v>1</v>
      </c>
      <c r="M21" s="2"/>
    </row>
    <row r="22" spans="1:13">
      <c r="A22" s="11" t="s">
        <v>1</v>
      </c>
      <c r="B22" s="11" t="s">
        <v>1</v>
      </c>
      <c r="C22" s="11" t="s">
        <v>1</v>
      </c>
      <c r="D22" s="23" t="s">
        <v>1</v>
      </c>
      <c r="E22" s="23" t="s">
        <v>1</v>
      </c>
      <c r="F22" s="24" t="s">
        <v>1</v>
      </c>
      <c r="G22" s="2"/>
      <c r="H22" s="2"/>
      <c r="I22" s="23" t="s">
        <v>1</v>
      </c>
      <c r="J22" s="23" t="s">
        <v>1</v>
      </c>
      <c r="K22" s="23" t="s">
        <v>1</v>
      </c>
      <c r="L22" s="24" t="s">
        <v>1</v>
      </c>
      <c r="M22" s="2"/>
    </row>
    <row r="23" spans="1:13">
      <c r="A23" s="25" t="s">
        <v>14</v>
      </c>
      <c r="B23" s="25" t="s">
        <v>15</v>
      </c>
      <c r="C23" s="11" t="s">
        <v>1</v>
      </c>
      <c r="D23" s="26" t="s">
        <v>1</v>
      </c>
      <c r="E23" s="11" t="s">
        <v>1</v>
      </c>
      <c r="F23" s="27" t="s">
        <v>1</v>
      </c>
      <c r="G23" s="2"/>
      <c r="H23" s="2"/>
      <c r="I23" s="11" t="s">
        <v>1</v>
      </c>
      <c r="J23" s="26" t="s">
        <v>1</v>
      </c>
      <c r="K23" s="11" t="s">
        <v>1</v>
      </c>
      <c r="L23" s="27" t="s">
        <v>1</v>
      </c>
      <c r="M23" s="2"/>
    </row>
    <row r="24" spans="1:13">
      <c r="A24" s="28" t="s">
        <v>16</v>
      </c>
      <c r="B24" s="28" t="s">
        <v>17</v>
      </c>
      <c r="C24" s="11" t="s">
        <v>1</v>
      </c>
      <c r="D24" s="29" t="s">
        <v>1</v>
      </c>
      <c r="E24" s="11" t="s">
        <v>1</v>
      </c>
      <c r="F24" s="30">
        <v>160319809.88</v>
      </c>
      <c r="G24" s="2"/>
      <c r="H24" s="2"/>
      <c r="I24" s="11" t="s">
        <v>1</v>
      </c>
      <c r="J24" s="29" t="s">
        <v>1</v>
      </c>
      <c r="K24" s="11" t="s">
        <v>1</v>
      </c>
      <c r="L24" s="30">
        <v>160319809.88</v>
      </c>
      <c r="M24" s="2"/>
    </row>
    <row r="25" spans="1:13">
      <c r="A25" s="25" t="s">
        <v>18</v>
      </c>
      <c r="B25" s="25" t="s">
        <v>19</v>
      </c>
      <c r="C25" s="11" t="s">
        <v>1</v>
      </c>
      <c r="D25" s="26" t="s">
        <v>1</v>
      </c>
      <c r="E25" s="11" t="s">
        <v>1</v>
      </c>
      <c r="F25" s="31">
        <v>160319809.88</v>
      </c>
      <c r="G25" s="2"/>
      <c r="H25" s="2"/>
      <c r="I25" s="11" t="s">
        <v>1</v>
      </c>
      <c r="J25" s="26" t="s">
        <v>1</v>
      </c>
      <c r="K25" s="11" t="s">
        <v>1</v>
      </c>
      <c r="L25" s="31">
        <v>160319809.88</v>
      </c>
      <c r="M25" s="2"/>
    </row>
    <row r="26" spans="1:13">
      <c r="A26" s="32" t="s">
        <v>20</v>
      </c>
      <c r="B26" s="32" t="s">
        <v>21</v>
      </c>
      <c r="C26" s="9" t="s">
        <v>1</v>
      </c>
      <c r="D26" s="33" t="s">
        <v>1</v>
      </c>
      <c r="E26" s="9" t="s">
        <v>1</v>
      </c>
      <c r="F26" s="34">
        <v>136228166.40000001</v>
      </c>
      <c r="G26" s="2"/>
      <c r="H26" s="2"/>
      <c r="I26" s="9" t="s">
        <v>1</v>
      </c>
      <c r="J26" s="33" t="s">
        <v>1</v>
      </c>
      <c r="K26" s="9" t="s">
        <v>1</v>
      </c>
      <c r="L26" s="34">
        <v>136228166.40000001</v>
      </c>
      <c r="M26" s="2"/>
    </row>
    <row r="27" spans="1:13">
      <c r="A27" s="35" t="s">
        <v>22</v>
      </c>
      <c r="B27" s="35" t="s">
        <v>23</v>
      </c>
      <c r="C27" s="9" t="s">
        <v>1</v>
      </c>
      <c r="D27" s="36" t="s">
        <v>1</v>
      </c>
      <c r="E27" s="9" t="s">
        <v>1</v>
      </c>
      <c r="F27" s="37" t="s">
        <v>1</v>
      </c>
      <c r="G27" s="2"/>
      <c r="H27" s="2"/>
      <c r="I27" s="9" t="s">
        <v>1</v>
      </c>
      <c r="J27" s="36" t="s">
        <v>1</v>
      </c>
      <c r="K27" s="9" t="s">
        <v>1</v>
      </c>
      <c r="L27" s="37" t="s">
        <v>1</v>
      </c>
      <c r="M27" s="2"/>
    </row>
    <row r="28" spans="1:13">
      <c r="A28" s="32" t="s">
        <v>24</v>
      </c>
      <c r="B28" s="32" t="s">
        <v>25</v>
      </c>
      <c r="C28" s="9" t="s">
        <v>1</v>
      </c>
      <c r="D28" s="33" t="s">
        <v>1</v>
      </c>
      <c r="E28" s="9" t="s">
        <v>1</v>
      </c>
      <c r="F28" s="38" t="s">
        <v>1</v>
      </c>
      <c r="G28" s="2"/>
      <c r="H28" s="2"/>
      <c r="I28" s="9" t="s">
        <v>1</v>
      </c>
      <c r="J28" s="33" t="s">
        <v>1</v>
      </c>
      <c r="K28" s="9" t="s">
        <v>1</v>
      </c>
      <c r="L28" s="38" t="s">
        <v>1</v>
      </c>
      <c r="M28" s="2"/>
    </row>
    <row r="29" spans="1:13">
      <c r="A29" s="35" t="s">
        <v>26</v>
      </c>
      <c r="B29" s="35" t="s">
        <v>27</v>
      </c>
      <c r="C29" s="9" t="s">
        <v>1</v>
      </c>
      <c r="D29" s="36" t="s">
        <v>1</v>
      </c>
      <c r="E29" s="9" t="s">
        <v>1</v>
      </c>
      <c r="F29" s="39">
        <v>313987.5</v>
      </c>
      <c r="G29" s="2"/>
      <c r="H29" s="2"/>
      <c r="I29" s="9" t="s">
        <v>1</v>
      </c>
      <c r="J29" s="36" t="s">
        <v>1</v>
      </c>
      <c r="K29" s="9" t="s">
        <v>1</v>
      </c>
      <c r="L29" s="39">
        <v>313987.5</v>
      </c>
      <c r="M29" s="2"/>
    </row>
    <row r="30" spans="1:13">
      <c r="A30" s="32" t="s">
        <v>28</v>
      </c>
      <c r="B30" s="32" t="s">
        <v>29</v>
      </c>
      <c r="C30" s="9" t="s">
        <v>1</v>
      </c>
      <c r="D30" s="33" t="s">
        <v>1</v>
      </c>
      <c r="E30" s="9" t="s">
        <v>1</v>
      </c>
      <c r="F30" s="34">
        <v>80352</v>
      </c>
      <c r="G30" s="2"/>
      <c r="H30" s="2"/>
      <c r="I30" s="9" t="s">
        <v>1</v>
      </c>
      <c r="J30" s="33" t="s">
        <v>1</v>
      </c>
      <c r="K30" s="9" t="s">
        <v>1</v>
      </c>
      <c r="L30" s="34">
        <v>80352</v>
      </c>
      <c r="M30" s="2"/>
    </row>
    <row r="31" spans="1:13">
      <c r="A31" s="35" t="s">
        <v>30</v>
      </c>
      <c r="B31" s="35" t="s">
        <v>31</v>
      </c>
      <c r="C31" s="9" t="s">
        <v>1</v>
      </c>
      <c r="D31" s="36" t="s">
        <v>1</v>
      </c>
      <c r="E31" s="9" t="s">
        <v>1</v>
      </c>
      <c r="F31" s="39">
        <v>1820452.1</v>
      </c>
      <c r="G31" s="2"/>
      <c r="H31" s="2"/>
      <c r="I31" s="9" t="s">
        <v>1</v>
      </c>
      <c r="J31" s="36" t="s">
        <v>1</v>
      </c>
      <c r="K31" s="9" t="s">
        <v>1</v>
      </c>
      <c r="L31" s="39">
        <v>1820452.1</v>
      </c>
      <c r="M31" s="2"/>
    </row>
    <row r="32" spans="1:13">
      <c r="A32" s="32" t="s">
        <v>32</v>
      </c>
      <c r="B32" s="32" t="s">
        <v>33</v>
      </c>
      <c r="C32" s="9" t="s">
        <v>1</v>
      </c>
      <c r="D32" s="33" t="s">
        <v>1</v>
      </c>
      <c r="E32" s="9" t="s">
        <v>1</v>
      </c>
      <c r="F32" s="38" t="s">
        <v>1</v>
      </c>
      <c r="G32" s="2"/>
      <c r="H32" s="2"/>
      <c r="I32" s="9" t="s">
        <v>1</v>
      </c>
      <c r="J32" s="33" t="s">
        <v>1</v>
      </c>
      <c r="K32" s="9" t="s">
        <v>1</v>
      </c>
      <c r="L32" s="38" t="s">
        <v>1</v>
      </c>
      <c r="M32" s="2"/>
    </row>
    <row r="33" spans="1:13">
      <c r="A33" s="35" t="s">
        <v>34</v>
      </c>
      <c r="B33" s="35" t="s">
        <v>35</v>
      </c>
      <c r="C33" s="9" t="s">
        <v>1</v>
      </c>
      <c r="D33" s="36" t="s">
        <v>1</v>
      </c>
      <c r="E33" s="9" t="s">
        <v>1</v>
      </c>
      <c r="F33" s="37" t="s">
        <v>1</v>
      </c>
      <c r="G33" s="2"/>
      <c r="H33" s="2"/>
      <c r="I33" s="9" t="s">
        <v>1</v>
      </c>
      <c r="J33" s="36" t="s">
        <v>1</v>
      </c>
      <c r="K33" s="9" t="s">
        <v>1</v>
      </c>
      <c r="L33" s="37" t="s">
        <v>1</v>
      </c>
      <c r="M33" s="2"/>
    </row>
    <row r="34" spans="1:13">
      <c r="A34" s="32" t="s">
        <v>36</v>
      </c>
      <c r="B34" s="32" t="s">
        <v>37</v>
      </c>
      <c r="C34" s="9" t="s">
        <v>1</v>
      </c>
      <c r="D34" s="33" t="s">
        <v>1</v>
      </c>
      <c r="E34" s="9" t="s">
        <v>1</v>
      </c>
      <c r="F34" s="38" t="s">
        <v>1</v>
      </c>
      <c r="G34" s="2"/>
      <c r="H34" s="2"/>
      <c r="I34" s="9" t="s">
        <v>1</v>
      </c>
      <c r="J34" s="33" t="s">
        <v>1</v>
      </c>
      <c r="K34" s="9" t="s">
        <v>1</v>
      </c>
      <c r="L34" s="38" t="s">
        <v>1</v>
      </c>
      <c r="M34" s="2"/>
    </row>
    <row r="35" spans="1:13">
      <c r="A35" s="35" t="s">
        <v>38</v>
      </c>
      <c r="B35" s="35" t="s">
        <v>39</v>
      </c>
      <c r="C35" s="9" t="s">
        <v>1</v>
      </c>
      <c r="D35" s="36" t="s">
        <v>1</v>
      </c>
      <c r="E35" s="9" t="s">
        <v>1</v>
      </c>
      <c r="F35" s="37" t="s">
        <v>1</v>
      </c>
      <c r="G35" s="2"/>
      <c r="H35" s="2"/>
      <c r="I35" s="9" t="s">
        <v>1</v>
      </c>
      <c r="J35" s="36" t="s">
        <v>1</v>
      </c>
      <c r="K35" s="9" t="s">
        <v>1</v>
      </c>
      <c r="L35" s="37" t="s">
        <v>1</v>
      </c>
      <c r="M35" s="2"/>
    </row>
    <row r="36" spans="1:13">
      <c r="A36" s="32" t="s">
        <v>40</v>
      </c>
      <c r="B36" s="32" t="s">
        <v>41</v>
      </c>
      <c r="C36" s="9" t="s">
        <v>1</v>
      </c>
      <c r="D36" s="33" t="s">
        <v>1</v>
      </c>
      <c r="E36" s="9" t="s">
        <v>1</v>
      </c>
      <c r="F36" s="38" t="s">
        <v>1</v>
      </c>
      <c r="G36" s="2"/>
      <c r="H36" s="2"/>
      <c r="I36" s="9" t="s">
        <v>1</v>
      </c>
      <c r="J36" s="33" t="s">
        <v>1</v>
      </c>
      <c r="K36" s="9" t="s">
        <v>1</v>
      </c>
      <c r="L36" s="38" t="s">
        <v>1</v>
      </c>
      <c r="M36" s="2"/>
    </row>
    <row r="37" spans="1:13">
      <c r="A37" s="35" t="s">
        <v>42</v>
      </c>
      <c r="B37" s="35" t="s">
        <v>43</v>
      </c>
      <c r="C37" s="9" t="s">
        <v>1</v>
      </c>
      <c r="D37" s="36" t="s">
        <v>1</v>
      </c>
      <c r="E37" s="9" t="s">
        <v>1</v>
      </c>
      <c r="F37" s="39">
        <v>16338550</v>
      </c>
      <c r="G37" s="2"/>
      <c r="H37" s="2"/>
      <c r="I37" s="9" t="s">
        <v>1</v>
      </c>
      <c r="J37" s="36" t="s">
        <v>1</v>
      </c>
      <c r="K37" s="9" t="s">
        <v>1</v>
      </c>
      <c r="L37" s="39">
        <v>16338550</v>
      </c>
      <c r="M37" s="2"/>
    </row>
    <row r="38" spans="1:13">
      <c r="A38" s="32" t="s">
        <v>44</v>
      </c>
      <c r="B38" s="32" t="s">
        <v>45</v>
      </c>
      <c r="C38" s="9" t="s">
        <v>1</v>
      </c>
      <c r="D38" s="33" t="s">
        <v>1</v>
      </c>
      <c r="E38" s="9" t="s">
        <v>1</v>
      </c>
      <c r="F38" s="38" t="s">
        <v>1</v>
      </c>
      <c r="G38" s="2"/>
      <c r="H38" s="2"/>
      <c r="I38" s="9" t="s">
        <v>1</v>
      </c>
      <c r="J38" s="33" t="s">
        <v>1</v>
      </c>
      <c r="K38" s="9" t="s">
        <v>1</v>
      </c>
      <c r="L38" s="38" t="s">
        <v>1</v>
      </c>
      <c r="M38" s="2"/>
    </row>
    <row r="39" spans="1:13">
      <c r="A39" s="35" t="s">
        <v>46</v>
      </c>
      <c r="B39" s="35" t="s">
        <v>47</v>
      </c>
      <c r="C39" s="9" t="s">
        <v>1</v>
      </c>
      <c r="D39" s="36" t="s">
        <v>1</v>
      </c>
      <c r="E39" s="9" t="s">
        <v>1</v>
      </c>
      <c r="F39" s="37" t="s">
        <v>1</v>
      </c>
      <c r="G39" s="2"/>
      <c r="H39" s="2"/>
      <c r="I39" s="9" t="s">
        <v>1</v>
      </c>
      <c r="J39" s="36" t="s">
        <v>1</v>
      </c>
      <c r="K39" s="9" t="s">
        <v>1</v>
      </c>
      <c r="L39" s="37" t="s">
        <v>1</v>
      </c>
      <c r="M39" s="2"/>
    </row>
    <row r="40" spans="1:13">
      <c r="A40" s="32" t="s">
        <v>48</v>
      </c>
      <c r="B40" s="32" t="s">
        <v>49</v>
      </c>
      <c r="C40" s="9" t="s">
        <v>1</v>
      </c>
      <c r="D40" s="33" t="s">
        <v>1</v>
      </c>
      <c r="E40" s="9" t="s">
        <v>1</v>
      </c>
      <c r="F40" s="38" t="s">
        <v>1</v>
      </c>
      <c r="G40" s="2"/>
      <c r="H40" s="2"/>
      <c r="I40" s="9" t="s">
        <v>1</v>
      </c>
      <c r="J40" s="33" t="s">
        <v>1</v>
      </c>
      <c r="K40" s="9" t="s">
        <v>1</v>
      </c>
      <c r="L40" s="38" t="s">
        <v>1</v>
      </c>
      <c r="M40" s="2"/>
    </row>
    <row r="41" spans="1:13">
      <c r="A41" s="35" t="s">
        <v>50</v>
      </c>
      <c r="B41" s="35" t="s">
        <v>51</v>
      </c>
      <c r="C41" s="9" t="s">
        <v>1</v>
      </c>
      <c r="D41" s="36" t="s">
        <v>1</v>
      </c>
      <c r="E41" s="9" t="s">
        <v>1</v>
      </c>
      <c r="F41" s="39">
        <v>4907000</v>
      </c>
      <c r="G41" s="2"/>
      <c r="H41" s="2"/>
      <c r="I41" s="9" t="s">
        <v>1</v>
      </c>
      <c r="J41" s="36" t="s">
        <v>1</v>
      </c>
      <c r="K41" s="9" t="s">
        <v>1</v>
      </c>
      <c r="L41" s="39">
        <v>4907000</v>
      </c>
      <c r="M41" s="2"/>
    </row>
    <row r="42" spans="1:13">
      <c r="A42" s="32" t="s">
        <v>52</v>
      </c>
      <c r="B42" s="32" t="s">
        <v>53</v>
      </c>
      <c r="C42" s="9" t="s">
        <v>1</v>
      </c>
      <c r="D42" s="33" t="s">
        <v>1</v>
      </c>
      <c r="E42" s="9" t="s">
        <v>1</v>
      </c>
      <c r="F42" s="38" t="s">
        <v>1</v>
      </c>
      <c r="G42" s="2"/>
      <c r="H42" s="2"/>
      <c r="I42" s="9" t="s">
        <v>1</v>
      </c>
      <c r="J42" s="33" t="s">
        <v>1</v>
      </c>
      <c r="K42" s="9" t="s">
        <v>1</v>
      </c>
      <c r="L42" s="38" t="s">
        <v>1</v>
      </c>
      <c r="M42" s="2"/>
    </row>
    <row r="43" spans="1:13">
      <c r="A43" s="35" t="s">
        <v>54</v>
      </c>
      <c r="B43" s="35" t="s">
        <v>55</v>
      </c>
      <c r="C43" s="9" t="s">
        <v>1</v>
      </c>
      <c r="D43" s="36" t="s">
        <v>1</v>
      </c>
      <c r="E43" s="9" t="s">
        <v>1</v>
      </c>
      <c r="F43" s="37" t="s">
        <v>1</v>
      </c>
      <c r="G43" s="2"/>
      <c r="H43" s="2"/>
      <c r="I43" s="9" t="s">
        <v>1</v>
      </c>
      <c r="J43" s="36" t="s">
        <v>1</v>
      </c>
      <c r="K43" s="9" t="s">
        <v>1</v>
      </c>
      <c r="L43" s="37" t="s">
        <v>1</v>
      </c>
      <c r="M43" s="2"/>
    </row>
    <row r="44" spans="1:13">
      <c r="A44" s="32" t="s">
        <v>56</v>
      </c>
      <c r="B44" s="32" t="s">
        <v>57</v>
      </c>
      <c r="C44" s="9" t="s">
        <v>1</v>
      </c>
      <c r="D44" s="33" t="s">
        <v>1</v>
      </c>
      <c r="E44" s="9" t="s">
        <v>1</v>
      </c>
      <c r="F44" s="38" t="s">
        <v>1</v>
      </c>
      <c r="G44" s="2"/>
      <c r="H44" s="2"/>
      <c r="I44" s="9" t="s">
        <v>1</v>
      </c>
      <c r="J44" s="33" t="s">
        <v>1</v>
      </c>
      <c r="K44" s="9" t="s">
        <v>1</v>
      </c>
      <c r="L44" s="38" t="s">
        <v>1</v>
      </c>
      <c r="M44" s="2"/>
    </row>
    <row r="45" spans="1:13">
      <c r="A45" s="35" t="s">
        <v>58</v>
      </c>
      <c r="B45" s="35" t="s">
        <v>59</v>
      </c>
      <c r="C45" s="9" t="s">
        <v>1</v>
      </c>
      <c r="D45" s="36" t="s">
        <v>1</v>
      </c>
      <c r="E45" s="9" t="s">
        <v>1</v>
      </c>
      <c r="F45" s="37" t="s">
        <v>1</v>
      </c>
      <c r="G45" s="2"/>
      <c r="H45" s="2"/>
      <c r="I45" s="9" t="s">
        <v>1</v>
      </c>
      <c r="J45" s="36" t="s">
        <v>1</v>
      </c>
      <c r="K45" s="9" t="s">
        <v>1</v>
      </c>
      <c r="L45" s="37" t="s">
        <v>1</v>
      </c>
      <c r="M45" s="2"/>
    </row>
    <row r="46" spans="1:13">
      <c r="A46" s="32" t="s">
        <v>60</v>
      </c>
      <c r="B46" s="32" t="s">
        <v>61</v>
      </c>
      <c r="C46" s="9" t="s">
        <v>1</v>
      </c>
      <c r="D46" s="33" t="s">
        <v>1</v>
      </c>
      <c r="E46" s="9" t="s">
        <v>1</v>
      </c>
      <c r="F46" s="34">
        <v>470671.75</v>
      </c>
      <c r="G46" s="2"/>
      <c r="H46" s="2"/>
      <c r="I46" s="9" t="s">
        <v>1</v>
      </c>
      <c r="J46" s="33" t="s">
        <v>1</v>
      </c>
      <c r="K46" s="9" t="s">
        <v>1</v>
      </c>
      <c r="L46" s="34">
        <v>470671.75</v>
      </c>
      <c r="M46" s="2"/>
    </row>
    <row r="47" spans="1:13">
      <c r="A47" s="35" t="s">
        <v>62</v>
      </c>
      <c r="B47" s="35" t="s">
        <v>63</v>
      </c>
      <c r="C47" s="9" t="s">
        <v>1</v>
      </c>
      <c r="D47" s="36" t="s">
        <v>1</v>
      </c>
      <c r="E47" s="9" t="s">
        <v>1</v>
      </c>
      <c r="F47" s="37" t="s">
        <v>1</v>
      </c>
      <c r="G47" s="2"/>
      <c r="H47" s="2"/>
      <c r="I47" s="9" t="s">
        <v>1</v>
      </c>
      <c r="J47" s="36" t="s">
        <v>1</v>
      </c>
      <c r="K47" s="9" t="s">
        <v>1</v>
      </c>
      <c r="L47" s="37" t="s">
        <v>1</v>
      </c>
      <c r="M47" s="2"/>
    </row>
    <row r="48" spans="1:13">
      <c r="A48" s="32" t="s">
        <v>64</v>
      </c>
      <c r="B48" s="32" t="s">
        <v>65</v>
      </c>
      <c r="C48" s="9" t="s">
        <v>1</v>
      </c>
      <c r="D48" s="33" t="s">
        <v>1</v>
      </c>
      <c r="E48" s="9" t="s">
        <v>1</v>
      </c>
      <c r="F48" s="34">
        <v>65670.13</v>
      </c>
      <c r="G48" s="2"/>
      <c r="H48" s="2"/>
      <c r="I48" s="9" t="s">
        <v>1</v>
      </c>
      <c r="J48" s="33" t="s">
        <v>1</v>
      </c>
      <c r="K48" s="9" t="s">
        <v>1</v>
      </c>
      <c r="L48" s="34">
        <v>65670.13</v>
      </c>
      <c r="M48" s="2"/>
    </row>
    <row r="49" spans="1:13">
      <c r="A49" s="35" t="s">
        <v>66</v>
      </c>
      <c r="B49" s="35" t="s">
        <v>67</v>
      </c>
      <c r="C49" s="9" t="s">
        <v>1</v>
      </c>
      <c r="D49" s="36" t="s">
        <v>1</v>
      </c>
      <c r="E49" s="9" t="s">
        <v>1</v>
      </c>
      <c r="F49" s="39">
        <v>94960</v>
      </c>
      <c r="G49" s="2"/>
      <c r="H49" s="2"/>
      <c r="I49" s="9" t="s">
        <v>1</v>
      </c>
      <c r="J49" s="36" t="s">
        <v>1</v>
      </c>
      <c r="K49" s="9" t="s">
        <v>1</v>
      </c>
      <c r="L49" s="39">
        <v>94960</v>
      </c>
      <c r="M49" s="2"/>
    </row>
    <row r="50" spans="1:13">
      <c r="A50" s="28" t="s">
        <v>68</v>
      </c>
      <c r="B50" s="28" t="s">
        <v>69</v>
      </c>
      <c r="C50" s="11" t="s">
        <v>1</v>
      </c>
      <c r="D50" s="40">
        <v>107444960</v>
      </c>
      <c r="E50" s="11" t="s">
        <v>1</v>
      </c>
      <c r="F50" s="41" t="s">
        <v>1</v>
      </c>
      <c r="G50" s="2"/>
      <c r="H50" s="2"/>
      <c r="I50" s="11" t="s">
        <v>1</v>
      </c>
      <c r="J50" s="40">
        <v>107444960</v>
      </c>
      <c r="K50" s="11" t="s">
        <v>1</v>
      </c>
      <c r="L50" s="41" t="s">
        <v>1</v>
      </c>
      <c r="M50" s="2"/>
    </row>
    <row r="51" spans="1:13">
      <c r="A51" s="25" t="s">
        <v>70</v>
      </c>
      <c r="B51" s="25" t="s">
        <v>71</v>
      </c>
      <c r="C51" s="11" t="s">
        <v>1</v>
      </c>
      <c r="D51" s="42">
        <v>12485878.08</v>
      </c>
      <c r="E51" s="11" t="s">
        <v>1</v>
      </c>
      <c r="F51" s="27" t="s">
        <v>1</v>
      </c>
      <c r="G51" s="2"/>
      <c r="H51" s="2"/>
      <c r="I51" s="11" t="s">
        <v>1</v>
      </c>
      <c r="J51" s="42">
        <v>12485878.08</v>
      </c>
      <c r="K51" s="11" t="s">
        <v>1</v>
      </c>
      <c r="L51" s="27" t="s">
        <v>1</v>
      </c>
      <c r="M51" s="2"/>
    </row>
    <row r="52" spans="1:13">
      <c r="A52" s="32" t="s">
        <v>72</v>
      </c>
      <c r="B52" s="32" t="s">
        <v>73</v>
      </c>
      <c r="C52" s="9" t="s">
        <v>1</v>
      </c>
      <c r="D52" s="43">
        <v>1908300</v>
      </c>
      <c r="E52" s="9" t="s">
        <v>1</v>
      </c>
      <c r="F52" s="38" t="s">
        <v>1</v>
      </c>
      <c r="G52" s="2"/>
      <c r="H52" s="2"/>
      <c r="I52" s="9" t="s">
        <v>1</v>
      </c>
      <c r="J52" s="43">
        <v>1908300</v>
      </c>
      <c r="K52" s="9" t="s">
        <v>1</v>
      </c>
      <c r="L52" s="38" t="s">
        <v>1</v>
      </c>
      <c r="M52" s="2"/>
    </row>
    <row r="53" spans="1:13">
      <c r="A53" s="35" t="s">
        <v>74</v>
      </c>
      <c r="B53" s="35" t="s">
        <v>75</v>
      </c>
      <c r="C53" s="9" t="s">
        <v>1</v>
      </c>
      <c r="D53" s="36" t="s">
        <v>1</v>
      </c>
      <c r="E53" s="9" t="s">
        <v>1</v>
      </c>
      <c r="F53" s="37" t="s">
        <v>1</v>
      </c>
      <c r="G53" s="2"/>
      <c r="H53" s="2"/>
      <c r="I53" s="9" t="s">
        <v>1</v>
      </c>
      <c r="J53" s="36" t="s">
        <v>1</v>
      </c>
      <c r="K53" s="9" t="s">
        <v>1</v>
      </c>
      <c r="L53" s="37" t="s">
        <v>1</v>
      </c>
      <c r="M53" s="2"/>
    </row>
    <row r="54" spans="1:13">
      <c r="A54" s="32" t="s">
        <v>76</v>
      </c>
      <c r="B54" s="32" t="s">
        <v>77</v>
      </c>
      <c r="C54" s="9" t="s">
        <v>1</v>
      </c>
      <c r="D54" s="43">
        <v>95700</v>
      </c>
      <c r="E54" s="9" t="s">
        <v>1</v>
      </c>
      <c r="F54" s="38" t="s">
        <v>1</v>
      </c>
      <c r="G54" s="2"/>
      <c r="H54" s="2"/>
      <c r="I54" s="9" t="s">
        <v>1</v>
      </c>
      <c r="J54" s="43">
        <v>95700</v>
      </c>
      <c r="K54" s="9" t="s">
        <v>1</v>
      </c>
      <c r="L54" s="38" t="s">
        <v>1</v>
      </c>
      <c r="M54" s="2"/>
    </row>
    <row r="55" spans="1:13">
      <c r="A55" s="35" t="s">
        <v>78</v>
      </c>
      <c r="B55" s="35" t="s">
        <v>79</v>
      </c>
      <c r="C55" s="9" t="s">
        <v>1</v>
      </c>
      <c r="D55" s="36" t="s">
        <v>1</v>
      </c>
      <c r="E55" s="9" t="s">
        <v>1</v>
      </c>
      <c r="F55" s="37" t="s">
        <v>1</v>
      </c>
      <c r="G55" s="2"/>
      <c r="H55" s="2"/>
      <c r="I55" s="9" t="s">
        <v>1</v>
      </c>
      <c r="J55" s="36" t="s">
        <v>1</v>
      </c>
      <c r="K55" s="9" t="s">
        <v>1</v>
      </c>
      <c r="L55" s="37" t="s">
        <v>1</v>
      </c>
      <c r="M55" s="2"/>
    </row>
    <row r="56" spans="1:13">
      <c r="A56" s="32" t="s">
        <v>80</v>
      </c>
      <c r="B56" s="32" t="s">
        <v>81</v>
      </c>
      <c r="C56" s="9" t="s">
        <v>1</v>
      </c>
      <c r="D56" s="43">
        <v>3724378.15</v>
      </c>
      <c r="E56" s="9" t="s">
        <v>1</v>
      </c>
      <c r="F56" s="38" t="s">
        <v>1</v>
      </c>
      <c r="G56" s="2"/>
      <c r="H56" s="2"/>
      <c r="I56" s="9" t="s">
        <v>1</v>
      </c>
      <c r="J56" s="43">
        <v>3724378.15</v>
      </c>
      <c r="K56" s="9" t="s">
        <v>1</v>
      </c>
      <c r="L56" s="38" t="s">
        <v>1</v>
      </c>
      <c r="M56" s="2"/>
    </row>
    <row r="57" spans="1:13">
      <c r="A57" s="35" t="s">
        <v>82</v>
      </c>
      <c r="B57" s="35" t="s">
        <v>83</v>
      </c>
      <c r="C57" s="9" t="s">
        <v>1</v>
      </c>
      <c r="D57" s="44">
        <v>2516990.54</v>
      </c>
      <c r="E57" s="9" t="s">
        <v>1</v>
      </c>
      <c r="F57" s="37" t="s">
        <v>1</v>
      </c>
      <c r="G57" s="2"/>
      <c r="H57" s="2"/>
      <c r="I57" s="9" t="s">
        <v>1</v>
      </c>
      <c r="J57" s="44">
        <v>2516990.54</v>
      </c>
      <c r="K57" s="9" t="s">
        <v>1</v>
      </c>
      <c r="L57" s="37" t="s">
        <v>1</v>
      </c>
      <c r="M57" s="2"/>
    </row>
    <row r="58" spans="1:13">
      <c r="A58" s="32" t="s">
        <v>84</v>
      </c>
      <c r="B58" s="32" t="s">
        <v>85</v>
      </c>
      <c r="C58" s="9" t="s">
        <v>1</v>
      </c>
      <c r="D58" s="43">
        <v>1825891.98</v>
      </c>
      <c r="E58" s="9" t="s">
        <v>1</v>
      </c>
      <c r="F58" s="38" t="s">
        <v>1</v>
      </c>
      <c r="G58" s="2"/>
      <c r="H58" s="2"/>
      <c r="I58" s="9" t="s">
        <v>1</v>
      </c>
      <c r="J58" s="43">
        <v>1825891.98</v>
      </c>
      <c r="K58" s="9" t="s">
        <v>1</v>
      </c>
      <c r="L58" s="38" t="s">
        <v>1</v>
      </c>
      <c r="M58" s="2"/>
    </row>
    <row r="59" spans="1:13">
      <c r="A59" s="35" t="s">
        <v>86</v>
      </c>
      <c r="B59" s="35" t="s">
        <v>87</v>
      </c>
      <c r="C59" s="9" t="s">
        <v>1</v>
      </c>
      <c r="D59" s="36" t="s">
        <v>1</v>
      </c>
      <c r="E59" s="9" t="s">
        <v>1</v>
      </c>
      <c r="F59" s="37" t="s">
        <v>1</v>
      </c>
      <c r="G59" s="2"/>
      <c r="H59" s="2"/>
      <c r="I59" s="9" t="s">
        <v>1</v>
      </c>
      <c r="J59" s="36" t="s">
        <v>1</v>
      </c>
      <c r="K59" s="9" t="s">
        <v>1</v>
      </c>
      <c r="L59" s="37" t="s">
        <v>1</v>
      </c>
      <c r="M59" s="2"/>
    </row>
    <row r="60" spans="1:13">
      <c r="A60" s="32" t="s">
        <v>88</v>
      </c>
      <c r="B60" s="32" t="s">
        <v>89</v>
      </c>
      <c r="C60" s="9" t="s">
        <v>1</v>
      </c>
      <c r="D60" s="43">
        <v>442770</v>
      </c>
      <c r="E60" s="9" t="s">
        <v>1</v>
      </c>
      <c r="F60" s="38" t="s">
        <v>1</v>
      </c>
      <c r="G60" s="2"/>
      <c r="H60" s="2"/>
      <c r="I60" s="9" t="s">
        <v>1</v>
      </c>
      <c r="J60" s="43">
        <v>442770</v>
      </c>
      <c r="K60" s="9" t="s">
        <v>1</v>
      </c>
      <c r="L60" s="38" t="s">
        <v>1</v>
      </c>
      <c r="M60" s="2"/>
    </row>
    <row r="61" spans="1:13">
      <c r="A61" s="35" t="s">
        <v>90</v>
      </c>
      <c r="B61" s="35" t="s">
        <v>91</v>
      </c>
      <c r="C61" s="9" t="s">
        <v>1</v>
      </c>
      <c r="D61" s="44">
        <v>1197897.4099999999</v>
      </c>
      <c r="E61" s="9" t="s">
        <v>1</v>
      </c>
      <c r="F61" s="37" t="s">
        <v>1</v>
      </c>
      <c r="G61" s="2"/>
      <c r="H61" s="2"/>
      <c r="I61" s="9" t="s">
        <v>1</v>
      </c>
      <c r="J61" s="44">
        <v>1197897.4099999999</v>
      </c>
      <c r="K61" s="9" t="s">
        <v>1</v>
      </c>
      <c r="L61" s="37" t="s">
        <v>1</v>
      </c>
      <c r="M61" s="2"/>
    </row>
    <row r="62" spans="1:13">
      <c r="A62" s="32" t="s">
        <v>92</v>
      </c>
      <c r="B62" s="32" t="s">
        <v>93</v>
      </c>
      <c r="C62" s="9" t="s">
        <v>1</v>
      </c>
      <c r="D62" s="43">
        <v>773950</v>
      </c>
      <c r="E62" s="9" t="s">
        <v>1</v>
      </c>
      <c r="F62" s="38" t="s">
        <v>1</v>
      </c>
      <c r="G62" s="2"/>
      <c r="H62" s="2"/>
      <c r="I62" s="9" t="s">
        <v>1</v>
      </c>
      <c r="J62" s="43">
        <v>773950</v>
      </c>
      <c r="K62" s="9" t="s">
        <v>1</v>
      </c>
      <c r="L62" s="38" t="s">
        <v>1</v>
      </c>
      <c r="M62" s="2"/>
    </row>
    <row r="63" spans="1:13">
      <c r="A63" s="25" t="s">
        <v>94</v>
      </c>
      <c r="B63" s="25" t="s">
        <v>95</v>
      </c>
      <c r="C63" s="11" t="s">
        <v>1</v>
      </c>
      <c r="D63" s="26" t="s">
        <v>1</v>
      </c>
      <c r="E63" s="11" t="s">
        <v>1</v>
      </c>
      <c r="F63" s="27" t="s">
        <v>1</v>
      </c>
      <c r="G63" s="2"/>
      <c r="H63" s="2"/>
      <c r="I63" s="11" t="s">
        <v>1</v>
      </c>
      <c r="J63" s="26" t="s">
        <v>1</v>
      </c>
      <c r="K63" s="11" t="s">
        <v>1</v>
      </c>
      <c r="L63" s="27" t="s">
        <v>1</v>
      </c>
      <c r="M63" s="2"/>
    </row>
    <row r="64" spans="1:13">
      <c r="A64" s="32" t="s">
        <v>96</v>
      </c>
      <c r="B64" s="32" t="s">
        <v>97</v>
      </c>
      <c r="C64" s="9" t="s">
        <v>1</v>
      </c>
      <c r="D64" s="33" t="s">
        <v>1</v>
      </c>
      <c r="E64" s="9" t="s">
        <v>1</v>
      </c>
      <c r="F64" s="38" t="s">
        <v>1</v>
      </c>
      <c r="G64" s="2"/>
      <c r="H64" s="2"/>
      <c r="I64" s="9" t="s">
        <v>1</v>
      </c>
      <c r="J64" s="33" t="s">
        <v>1</v>
      </c>
      <c r="K64" s="9" t="s">
        <v>1</v>
      </c>
      <c r="L64" s="38" t="s">
        <v>1</v>
      </c>
      <c r="M64" s="2"/>
    </row>
    <row r="65" spans="1:13">
      <c r="A65" s="35" t="s">
        <v>98</v>
      </c>
      <c r="B65" s="35" t="s">
        <v>99</v>
      </c>
      <c r="C65" s="9" t="s">
        <v>1</v>
      </c>
      <c r="D65" s="36" t="s">
        <v>1</v>
      </c>
      <c r="E65" s="9" t="s">
        <v>1</v>
      </c>
      <c r="F65" s="37" t="s">
        <v>1</v>
      </c>
      <c r="G65" s="2"/>
      <c r="H65" s="2"/>
      <c r="I65" s="9" t="s">
        <v>1</v>
      </c>
      <c r="J65" s="36" t="s">
        <v>1</v>
      </c>
      <c r="K65" s="9" t="s">
        <v>1</v>
      </c>
      <c r="L65" s="37" t="s">
        <v>1</v>
      </c>
      <c r="M65" s="2"/>
    </row>
    <row r="66" spans="1:13">
      <c r="A66" s="32" t="s">
        <v>100</v>
      </c>
      <c r="B66" s="32" t="s">
        <v>77</v>
      </c>
      <c r="C66" s="9" t="s">
        <v>1</v>
      </c>
      <c r="D66" s="33" t="s">
        <v>1</v>
      </c>
      <c r="E66" s="9" t="s">
        <v>1</v>
      </c>
      <c r="F66" s="38" t="s">
        <v>1</v>
      </c>
      <c r="G66" s="2"/>
      <c r="H66" s="2"/>
      <c r="I66" s="9" t="s">
        <v>1</v>
      </c>
      <c r="J66" s="33" t="s">
        <v>1</v>
      </c>
      <c r="K66" s="9" t="s">
        <v>1</v>
      </c>
      <c r="L66" s="38" t="s">
        <v>1</v>
      </c>
      <c r="M66" s="2"/>
    </row>
    <row r="67" spans="1:13">
      <c r="A67" s="35" t="s">
        <v>101</v>
      </c>
      <c r="B67" s="35" t="s">
        <v>79</v>
      </c>
      <c r="C67" s="9" t="s">
        <v>1</v>
      </c>
      <c r="D67" s="36" t="s">
        <v>1</v>
      </c>
      <c r="E67" s="9" t="s">
        <v>1</v>
      </c>
      <c r="F67" s="37" t="s">
        <v>1</v>
      </c>
      <c r="G67" s="2"/>
      <c r="H67" s="2"/>
      <c r="I67" s="9" t="s">
        <v>1</v>
      </c>
      <c r="J67" s="36" t="s">
        <v>1</v>
      </c>
      <c r="K67" s="9" t="s">
        <v>1</v>
      </c>
      <c r="L67" s="37" t="s">
        <v>1</v>
      </c>
      <c r="M67" s="2"/>
    </row>
    <row r="68" spans="1:13">
      <c r="A68" s="28" t="s">
        <v>102</v>
      </c>
      <c r="B68" s="28" t="s">
        <v>103</v>
      </c>
      <c r="C68" s="11" t="s">
        <v>1</v>
      </c>
      <c r="D68" s="29" t="s">
        <v>1</v>
      </c>
      <c r="E68" s="11" t="s">
        <v>1</v>
      </c>
      <c r="F68" s="41" t="s">
        <v>1</v>
      </c>
      <c r="G68" s="2"/>
      <c r="H68" s="2"/>
      <c r="I68" s="11" t="s">
        <v>1</v>
      </c>
      <c r="J68" s="29" t="s">
        <v>1</v>
      </c>
      <c r="K68" s="11" t="s">
        <v>1</v>
      </c>
      <c r="L68" s="41" t="s">
        <v>1</v>
      </c>
      <c r="M68" s="2"/>
    </row>
    <row r="69" spans="1:13">
      <c r="A69" s="35" t="s">
        <v>104</v>
      </c>
      <c r="B69" s="35" t="s">
        <v>97</v>
      </c>
      <c r="C69" s="9" t="s">
        <v>1</v>
      </c>
      <c r="D69" s="36" t="s">
        <v>1</v>
      </c>
      <c r="E69" s="9" t="s">
        <v>1</v>
      </c>
      <c r="F69" s="37" t="s">
        <v>1</v>
      </c>
      <c r="G69" s="2"/>
      <c r="H69" s="2"/>
      <c r="I69" s="9" t="s">
        <v>1</v>
      </c>
      <c r="J69" s="36" t="s">
        <v>1</v>
      </c>
      <c r="K69" s="9" t="s">
        <v>1</v>
      </c>
      <c r="L69" s="37" t="s">
        <v>1</v>
      </c>
      <c r="M69" s="2"/>
    </row>
    <row r="70" spans="1:13">
      <c r="A70" s="32" t="s">
        <v>105</v>
      </c>
      <c r="B70" s="32" t="s">
        <v>99</v>
      </c>
      <c r="C70" s="9" t="s">
        <v>1</v>
      </c>
      <c r="D70" s="33" t="s">
        <v>1</v>
      </c>
      <c r="E70" s="9" t="s">
        <v>1</v>
      </c>
      <c r="F70" s="38" t="s">
        <v>1</v>
      </c>
      <c r="G70" s="2"/>
      <c r="H70" s="2"/>
      <c r="I70" s="9" t="s">
        <v>1</v>
      </c>
      <c r="J70" s="33" t="s">
        <v>1</v>
      </c>
      <c r="K70" s="9" t="s">
        <v>1</v>
      </c>
      <c r="L70" s="38" t="s">
        <v>1</v>
      </c>
      <c r="M70" s="2"/>
    </row>
    <row r="71" spans="1:13">
      <c r="A71" s="35" t="s">
        <v>106</v>
      </c>
      <c r="B71" s="35" t="s">
        <v>107</v>
      </c>
      <c r="C71" s="9" t="s">
        <v>1</v>
      </c>
      <c r="D71" s="36" t="s">
        <v>1</v>
      </c>
      <c r="E71" s="9" t="s">
        <v>1</v>
      </c>
      <c r="F71" s="37" t="s">
        <v>1</v>
      </c>
      <c r="G71" s="2"/>
      <c r="H71" s="2"/>
      <c r="I71" s="9" t="s">
        <v>1</v>
      </c>
      <c r="J71" s="36" t="s">
        <v>1</v>
      </c>
      <c r="K71" s="9" t="s">
        <v>1</v>
      </c>
      <c r="L71" s="37" t="s">
        <v>1</v>
      </c>
      <c r="M71" s="2"/>
    </row>
    <row r="72" spans="1:13">
      <c r="A72" s="32" t="s">
        <v>108</v>
      </c>
      <c r="B72" s="32" t="s">
        <v>79</v>
      </c>
      <c r="C72" s="9" t="s">
        <v>1</v>
      </c>
      <c r="D72" s="33" t="s">
        <v>1</v>
      </c>
      <c r="E72" s="9" t="s">
        <v>1</v>
      </c>
      <c r="F72" s="38" t="s">
        <v>1</v>
      </c>
      <c r="G72" s="2"/>
      <c r="H72" s="2"/>
      <c r="I72" s="9" t="s">
        <v>1</v>
      </c>
      <c r="J72" s="33" t="s">
        <v>1</v>
      </c>
      <c r="K72" s="9" t="s">
        <v>1</v>
      </c>
      <c r="L72" s="38" t="s">
        <v>1</v>
      </c>
      <c r="M72" s="2"/>
    </row>
    <row r="73" spans="1:13">
      <c r="A73" s="35" t="s">
        <v>109</v>
      </c>
      <c r="B73" s="35" t="s">
        <v>81</v>
      </c>
      <c r="C73" s="9" t="s">
        <v>1</v>
      </c>
      <c r="D73" s="36" t="s">
        <v>1</v>
      </c>
      <c r="E73" s="9" t="s">
        <v>1</v>
      </c>
      <c r="F73" s="37" t="s">
        <v>1</v>
      </c>
      <c r="G73" s="2"/>
      <c r="H73" s="2"/>
      <c r="I73" s="9" t="s">
        <v>1</v>
      </c>
      <c r="J73" s="36" t="s">
        <v>1</v>
      </c>
      <c r="K73" s="9" t="s">
        <v>1</v>
      </c>
      <c r="L73" s="37" t="s">
        <v>1</v>
      </c>
      <c r="M73" s="2"/>
    </row>
    <row r="74" spans="1:13">
      <c r="A74" s="32" t="s">
        <v>110</v>
      </c>
      <c r="B74" s="32" t="s">
        <v>111</v>
      </c>
      <c r="C74" s="9" t="s">
        <v>1</v>
      </c>
      <c r="D74" s="33" t="s">
        <v>1</v>
      </c>
      <c r="E74" s="9" t="s">
        <v>1</v>
      </c>
      <c r="F74" s="38" t="s">
        <v>1</v>
      </c>
      <c r="G74" s="2"/>
      <c r="H74" s="2"/>
      <c r="I74" s="9" t="s">
        <v>1</v>
      </c>
      <c r="J74" s="33" t="s">
        <v>1</v>
      </c>
      <c r="K74" s="9" t="s">
        <v>1</v>
      </c>
      <c r="L74" s="38" t="s">
        <v>1</v>
      </c>
      <c r="M74" s="2"/>
    </row>
    <row r="75" spans="1:13">
      <c r="A75" s="35" t="s">
        <v>112</v>
      </c>
      <c r="B75" s="35" t="s">
        <v>113</v>
      </c>
      <c r="C75" s="9" t="s">
        <v>1</v>
      </c>
      <c r="D75" s="36" t="s">
        <v>1</v>
      </c>
      <c r="E75" s="9" t="s">
        <v>1</v>
      </c>
      <c r="F75" s="37" t="s">
        <v>1</v>
      </c>
      <c r="G75" s="2"/>
      <c r="H75" s="2"/>
      <c r="I75" s="9" t="s">
        <v>1</v>
      </c>
      <c r="J75" s="36" t="s">
        <v>1</v>
      </c>
      <c r="K75" s="9" t="s">
        <v>1</v>
      </c>
      <c r="L75" s="37" t="s">
        <v>1</v>
      </c>
      <c r="M75" s="2"/>
    </row>
    <row r="76" spans="1:13" ht="23">
      <c r="A76" s="28" t="s">
        <v>114</v>
      </c>
      <c r="B76" s="28" t="s">
        <v>115</v>
      </c>
      <c r="C76" s="11" t="s">
        <v>1</v>
      </c>
      <c r="D76" s="40">
        <v>5937981.0599999996</v>
      </c>
      <c r="E76" s="11" t="s">
        <v>1</v>
      </c>
      <c r="F76" s="41" t="s">
        <v>1</v>
      </c>
      <c r="G76" s="2"/>
      <c r="H76" s="2"/>
      <c r="I76" s="11" t="s">
        <v>1</v>
      </c>
      <c r="J76" s="40">
        <v>5937981.0599999996</v>
      </c>
      <c r="K76" s="11" t="s">
        <v>1</v>
      </c>
      <c r="L76" s="41" t="s">
        <v>1</v>
      </c>
      <c r="M76" s="2"/>
    </row>
    <row r="77" spans="1:13">
      <c r="A77" s="35" t="s">
        <v>116</v>
      </c>
      <c r="B77" s="35" t="s">
        <v>97</v>
      </c>
      <c r="C77" s="9" t="s">
        <v>1</v>
      </c>
      <c r="D77" s="44">
        <v>538900</v>
      </c>
      <c r="E77" s="9" t="s">
        <v>1</v>
      </c>
      <c r="F77" s="37" t="s">
        <v>1</v>
      </c>
      <c r="G77" s="2"/>
      <c r="H77" s="2"/>
      <c r="I77" s="9" t="s">
        <v>1</v>
      </c>
      <c r="J77" s="44">
        <v>538900</v>
      </c>
      <c r="K77" s="9" t="s">
        <v>1</v>
      </c>
      <c r="L77" s="37" t="s">
        <v>1</v>
      </c>
      <c r="M77" s="2"/>
    </row>
    <row r="78" spans="1:13">
      <c r="A78" s="32" t="s">
        <v>117</v>
      </c>
      <c r="B78" s="32" t="s">
        <v>99</v>
      </c>
      <c r="C78" s="9" t="s">
        <v>1</v>
      </c>
      <c r="D78" s="43">
        <v>616688</v>
      </c>
      <c r="E78" s="9" t="s">
        <v>1</v>
      </c>
      <c r="F78" s="38" t="s">
        <v>1</v>
      </c>
      <c r="G78" s="2"/>
      <c r="H78" s="2"/>
      <c r="I78" s="9" t="s">
        <v>1</v>
      </c>
      <c r="J78" s="43">
        <v>616688</v>
      </c>
      <c r="K78" s="9" t="s">
        <v>1</v>
      </c>
      <c r="L78" s="38" t="s">
        <v>1</v>
      </c>
      <c r="M78" s="2"/>
    </row>
    <row r="79" spans="1:13">
      <c r="A79" s="35" t="s">
        <v>118</v>
      </c>
      <c r="B79" s="35" t="s">
        <v>107</v>
      </c>
      <c r="C79" s="9" t="s">
        <v>1</v>
      </c>
      <c r="D79" s="44">
        <v>211710.02</v>
      </c>
      <c r="E79" s="9" t="s">
        <v>1</v>
      </c>
      <c r="F79" s="37" t="s">
        <v>1</v>
      </c>
      <c r="G79" s="2"/>
      <c r="H79" s="2"/>
      <c r="I79" s="9" t="s">
        <v>1</v>
      </c>
      <c r="J79" s="44">
        <v>211710.02</v>
      </c>
      <c r="K79" s="9" t="s">
        <v>1</v>
      </c>
      <c r="L79" s="37" t="s">
        <v>1</v>
      </c>
      <c r="M79" s="2"/>
    </row>
    <row r="80" spans="1:13">
      <c r="A80" s="32" t="s">
        <v>119</v>
      </c>
      <c r="B80" s="32" t="s">
        <v>79</v>
      </c>
      <c r="C80" s="9" t="s">
        <v>1</v>
      </c>
      <c r="D80" s="43">
        <v>126672</v>
      </c>
      <c r="E80" s="9" t="s">
        <v>1</v>
      </c>
      <c r="F80" s="38" t="s">
        <v>1</v>
      </c>
      <c r="G80" s="2"/>
      <c r="H80" s="2"/>
      <c r="I80" s="9" t="s">
        <v>1</v>
      </c>
      <c r="J80" s="43">
        <v>126672</v>
      </c>
      <c r="K80" s="9" t="s">
        <v>1</v>
      </c>
      <c r="L80" s="38" t="s">
        <v>1</v>
      </c>
      <c r="M80" s="2"/>
    </row>
    <row r="81" spans="1:13">
      <c r="A81" s="35" t="s">
        <v>120</v>
      </c>
      <c r="B81" s="35" t="s">
        <v>81</v>
      </c>
      <c r="C81" s="9" t="s">
        <v>1</v>
      </c>
      <c r="D81" s="44">
        <v>3164375.14</v>
      </c>
      <c r="E81" s="9" t="s">
        <v>1</v>
      </c>
      <c r="F81" s="37" t="s">
        <v>1</v>
      </c>
      <c r="G81" s="2"/>
      <c r="H81" s="2"/>
      <c r="I81" s="9" t="s">
        <v>1</v>
      </c>
      <c r="J81" s="44">
        <v>3164375.14</v>
      </c>
      <c r="K81" s="9" t="s">
        <v>1</v>
      </c>
      <c r="L81" s="37" t="s">
        <v>1</v>
      </c>
      <c r="M81" s="2"/>
    </row>
    <row r="82" spans="1:13">
      <c r="A82" s="32" t="s">
        <v>121</v>
      </c>
      <c r="B82" s="32" t="s">
        <v>83</v>
      </c>
      <c r="C82" s="9" t="s">
        <v>1</v>
      </c>
      <c r="D82" s="43">
        <v>1279635.8999999999</v>
      </c>
      <c r="E82" s="9" t="s">
        <v>1</v>
      </c>
      <c r="F82" s="38" t="s">
        <v>1</v>
      </c>
      <c r="G82" s="2"/>
      <c r="H82" s="2"/>
      <c r="I82" s="9" t="s">
        <v>1</v>
      </c>
      <c r="J82" s="43">
        <v>1279635.8999999999</v>
      </c>
      <c r="K82" s="9" t="s">
        <v>1</v>
      </c>
      <c r="L82" s="38" t="s">
        <v>1</v>
      </c>
      <c r="M82" s="2"/>
    </row>
    <row r="83" spans="1:13">
      <c r="A83" s="35" t="s">
        <v>122</v>
      </c>
      <c r="B83" s="35" t="s">
        <v>85</v>
      </c>
      <c r="C83" s="9" t="s">
        <v>1</v>
      </c>
      <c r="D83" s="36" t="s">
        <v>1</v>
      </c>
      <c r="E83" s="9" t="s">
        <v>1</v>
      </c>
      <c r="F83" s="37" t="s">
        <v>1</v>
      </c>
      <c r="G83" s="2"/>
      <c r="H83" s="2"/>
      <c r="I83" s="9" t="s">
        <v>1</v>
      </c>
      <c r="J83" s="36" t="s">
        <v>1</v>
      </c>
      <c r="K83" s="9" t="s">
        <v>1</v>
      </c>
      <c r="L83" s="37" t="s">
        <v>1</v>
      </c>
      <c r="M83" s="2"/>
    </row>
    <row r="84" spans="1:13">
      <c r="A84" s="32" t="s">
        <v>123</v>
      </c>
      <c r="B84" s="32" t="s">
        <v>124</v>
      </c>
      <c r="C84" s="9" t="s">
        <v>1</v>
      </c>
      <c r="D84" s="33" t="s">
        <v>1</v>
      </c>
      <c r="E84" s="9" t="s">
        <v>1</v>
      </c>
      <c r="F84" s="38" t="s">
        <v>1</v>
      </c>
      <c r="G84" s="2"/>
      <c r="H84" s="2"/>
      <c r="I84" s="9" t="s">
        <v>1</v>
      </c>
      <c r="J84" s="33" t="s">
        <v>1</v>
      </c>
      <c r="K84" s="9" t="s">
        <v>1</v>
      </c>
      <c r="L84" s="38" t="s">
        <v>1</v>
      </c>
      <c r="M84" s="2"/>
    </row>
    <row r="85" spans="1:13" ht="23">
      <c r="A85" s="25" t="s">
        <v>125</v>
      </c>
      <c r="B85" s="25" t="s">
        <v>126</v>
      </c>
      <c r="C85" s="11" t="s">
        <v>1</v>
      </c>
      <c r="D85" s="42">
        <v>7335399.71</v>
      </c>
      <c r="E85" s="11" t="s">
        <v>1</v>
      </c>
      <c r="F85" s="27" t="s">
        <v>1</v>
      </c>
      <c r="G85" s="2"/>
      <c r="H85" s="2"/>
      <c r="I85" s="11" t="s">
        <v>1</v>
      </c>
      <c r="J85" s="42">
        <v>7335399.71</v>
      </c>
      <c r="K85" s="11" t="s">
        <v>1</v>
      </c>
      <c r="L85" s="27" t="s">
        <v>1</v>
      </c>
      <c r="M85" s="2"/>
    </row>
    <row r="86" spans="1:13">
      <c r="A86" s="32" t="s">
        <v>127</v>
      </c>
      <c r="B86" s="32" t="s">
        <v>97</v>
      </c>
      <c r="C86" s="9" t="s">
        <v>1</v>
      </c>
      <c r="D86" s="43">
        <v>192000</v>
      </c>
      <c r="E86" s="9" t="s">
        <v>1</v>
      </c>
      <c r="F86" s="38" t="s">
        <v>1</v>
      </c>
      <c r="G86" s="2"/>
      <c r="H86" s="2"/>
      <c r="I86" s="9" t="s">
        <v>1</v>
      </c>
      <c r="J86" s="43">
        <v>192000</v>
      </c>
      <c r="K86" s="9" t="s">
        <v>1</v>
      </c>
      <c r="L86" s="38" t="s">
        <v>1</v>
      </c>
      <c r="M86" s="2"/>
    </row>
    <row r="87" spans="1:13">
      <c r="A87" s="35" t="s">
        <v>128</v>
      </c>
      <c r="B87" s="35" t="s">
        <v>99</v>
      </c>
      <c r="C87" s="9" t="s">
        <v>1</v>
      </c>
      <c r="D87" s="44">
        <v>455995</v>
      </c>
      <c r="E87" s="9" t="s">
        <v>1</v>
      </c>
      <c r="F87" s="37" t="s">
        <v>1</v>
      </c>
      <c r="G87" s="2"/>
      <c r="H87" s="2"/>
      <c r="I87" s="9" t="s">
        <v>1</v>
      </c>
      <c r="J87" s="44">
        <v>455995</v>
      </c>
      <c r="K87" s="9" t="s">
        <v>1</v>
      </c>
      <c r="L87" s="37" t="s">
        <v>1</v>
      </c>
      <c r="M87" s="2"/>
    </row>
    <row r="88" spans="1:13">
      <c r="A88" s="32" t="s">
        <v>129</v>
      </c>
      <c r="B88" s="32" t="s">
        <v>107</v>
      </c>
      <c r="C88" s="9" t="s">
        <v>1</v>
      </c>
      <c r="D88" s="43">
        <v>71145</v>
      </c>
      <c r="E88" s="9" t="s">
        <v>1</v>
      </c>
      <c r="F88" s="38" t="s">
        <v>1</v>
      </c>
      <c r="G88" s="2"/>
      <c r="H88" s="2"/>
      <c r="I88" s="9" t="s">
        <v>1</v>
      </c>
      <c r="J88" s="43">
        <v>71145</v>
      </c>
      <c r="K88" s="9" t="s">
        <v>1</v>
      </c>
      <c r="L88" s="38" t="s">
        <v>1</v>
      </c>
      <c r="M88" s="2"/>
    </row>
    <row r="89" spans="1:13">
      <c r="A89" s="35" t="s">
        <v>130</v>
      </c>
      <c r="B89" s="35" t="s">
        <v>79</v>
      </c>
      <c r="C89" s="9" t="s">
        <v>1</v>
      </c>
      <c r="D89" s="44">
        <v>277581</v>
      </c>
      <c r="E89" s="9" t="s">
        <v>1</v>
      </c>
      <c r="F89" s="37" t="s">
        <v>1</v>
      </c>
      <c r="G89" s="2"/>
      <c r="H89" s="2"/>
      <c r="I89" s="9" t="s">
        <v>1</v>
      </c>
      <c r="J89" s="44">
        <v>277581</v>
      </c>
      <c r="K89" s="9" t="s">
        <v>1</v>
      </c>
      <c r="L89" s="37" t="s">
        <v>1</v>
      </c>
      <c r="M89" s="2"/>
    </row>
    <row r="90" spans="1:13">
      <c r="A90" s="32" t="s">
        <v>131</v>
      </c>
      <c r="B90" s="32" t="s">
        <v>81</v>
      </c>
      <c r="C90" s="9" t="s">
        <v>1</v>
      </c>
      <c r="D90" s="43">
        <v>3513918.65</v>
      </c>
      <c r="E90" s="9" t="s">
        <v>1</v>
      </c>
      <c r="F90" s="38" t="s">
        <v>1</v>
      </c>
      <c r="G90" s="2"/>
      <c r="H90" s="2"/>
      <c r="I90" s="9" t="s">
        <v>1</v>
      </c>
      <c r="J90" s="43">
        <v>3513918.65</v>
      </c>
      <c r="K90" s="9" t="s">
        <v>1</v>
      </c>
      <c r="L90" s="38" t="s">
        <v>1</v>
      </c>
      <c r="M90" s="2"/>
    </row>
    <row r="91" spans="1:13">
      <c r="A91" s="35" t="s">
        <v>132</v>
      </c>
      <c r="B91" s="35" t="s">
        <v>111</v>
      </c>
      <c r="C91" s="9" t="s">
        <v>1</v>
      </c>
      <c r="D91" s="44">
        <v>2068839.25</v>
      </c>
      <c r="E91" s="9" t="s">
        <v>1</v>
      </c>
      <c r="F91" s="37" t="s">
        <v>1</v>
      </c>
      <c r="G91" s="2"/>
      <c r="H91" s="2"/>
      <c r="I91" s="9" t="s">
        <v>1</v>
      </c>
      <c r="J91" s="44">
        <v>2068839.25</v>
      </c>
      <c r="K91" s="9" t="s">
        <v>1</v>
      </c>
      <c r="L91" s="37" t="s">
        <v>1</v>
      </c>
      <c r="M91" s="2"/>
    </row>
    <row r="92" spans="1:13">
      <c r="A92" s="32" t="s">
        <v>133</v>
      </c>
      <c r="B92" s="32" t="s">
        <v>134</v>
      </c>
      <c r="C92" s="9" t="s">
        <v>1</v>
      </c>
      <c r="D92" s="33" t="s">
        <v>1</v>
      </c>
      <c r="E92" s="9" t="s">
        <v>1</v>
      </c>
      <c r="F92" s="38" t="s">
        <v>1</v>
      </c>
      <c r="G92" s="2"/>
      <c r="H92" s="2"/>
      <c r="I92" s="9" t="s">
        <v>1</v>
      </c>
      <c r="J92" s="33" t="s">
        <v>1</v>
      </c>
      <c r="K92" s="9" t="s">
        <v>1</v>
      </c>
      <c r="L92" s="38" t="s">
        <v>1</v>
      </c>
      <c r="M92" s="2"/>
    </row>
    <row r="93" spans="1:13" ht="23">
      <c r="A93" s="35" t="s">
        <v>135</v>
      </c>
      <c r="B93" s="35" t="s">
        <v>136</v>
      </c>
      <c r="C93" s="9" t="s">
        <v>1</v>
      </c>
      <c r="D93" s="36" t="s">
        <v>1</v>
      </c>
      <c r="E93" s="9" t="s">
        <v>1</v>
      </c>
      <c r="F93" s="37" t="s">
        <v>1</v>
      </c>
      <c r="G93" s="2"/>
      <c r="H93" s="2"/>
      <c r="I93" s="9" t="s">
        <v>1</v>
      </c>
      <c r="J93" s="36" t="s">
        <v>1</v>
      </c>
      <c r="K93" s="9" t="s">
        <v>1</v>
      </c>
      <c r="L93" s="37" t="s">
        <v>1</v>
      </c>
      <c r="M93" s="2"/>
    </row>
    <row r="94" spans="1:13">
      <c r="A94" s="32" t="s">
        <v>137</v>
      </c>
      <c r="B94" s="32" t="s">
        <v>138</v>
      </c>
      <c r="C94" s="9" t="s">
        <v>1</v>
      </c>
      <c r="D94" s="33" t="s">
        <v>1</v>
      </c>
      <c r="E94" s="9" t="s">
        <v>1</v>
      </c>
      <c r="F94" s="38" t="s">
        <v>1</v>
      </c>
      <c r="G94" s="2"/>
      <c r="H94" s="2"/>
      <c r="I94" s="9" t="s">
        <v>1</v>
      </c>
      <c r="J94" s="33" t="s">
        <v>1</v>
      </c>
      <c r="K94" s="9" t="s">
        <v>1</v>
      </c>
      <c r="L94" s="38" t="s">
        <v>1</v>
      </c>
      <c r="M94" s="2"/>
    </row>
    <row r="95" spans="1:13" ht="23">
      <c r="A95" s="35" t="s">
        <v>139</v>
      </c>
      <c r="B95" s="35" t="s">
        <v>140</v>
      </c>
      <c r="C95" s="9" t="s">
        <v>1</v>
      </c>
      <c r="D95" s="36" t="s">
        <v>1</v>
      </c>
      <c r="E95" s="9" t="s">
        <v>1</v>
      </c>
      <c r="F95" s="37" t="s">
        <v>1</v>
      </c>
      <c r="G95" s="2"/>
      <c r="H95" s="2"/>
      <c r="I95" s="9" t="s">
        <v>1</v>
      </c>
      <c r="J95" s="36" t="s">
        <v>1</v>
      </c>
      <c r="K95" s="9" t="s">
        <v>1</v>
      </c>
      <c r="L95" s="37" t="s">
        <v>1</v>
      </c>
      <c r="M95" s="2"/>
    </row>
    <row r="96" spans="1:13">
      <c r="A96" s="32" t="s">
        <v>141</v>
      </c>
      <c r="B96" s="32" t="s">
        <v>142</v>
      </c>
      <c r="C96" s="9" t="s">
        <v>1</v>
      </c>
      <c r="D96" s="43">
        <v>755920.81</v>
      </c>
      <c r="E96" s="9" t="s">
        <v>1</v>
      </c>
      <c r="F96" s="38" t="s">
        <v>1</v>
      </c>
      <c r="G96" s="2"/>
      <c r="H96" s="2"/>
      <c r="I96" s="9" t="s">
        <v>1</v>
      </c>
      <c r="J96" s="43">
        <v>755920.81</v>
      </c>
      <c r="K96" s="9" t="s">
        <v>1</v>
      </c>
      <c r="L96" s="38" t="s">
        <v>1</v>
      </c>
      <c r="M96" s="2"/>
    </row>
    <row r="97" spans="1:13">
      <c r="A97" s="35" t="s">
        <v>143</v>
      </c>
      <c r="B97" s="35" t="s">
        <v>144</v>
      </c>
      <c r="C97" s="9" t="s">
        <v>1</v>
      </c>
      <c r="D97" s="36" t="s">
        <v>1</v>
      </c>
      <c r="E97" s="9" t="s">
        <v>1</v>
      </c>
      <c r="F97" s="37" t="s">
        <v>1</v>
      </c>
      <c r="G97" s="2"/>
      <c r="H97" s="2"/>
      <c r="I97" s="9" t="s">
        <v>1</v>
      </c>
      <c r="J97" s="36" t="s">
        <v>1</v>
      </c>
      <c r="K97" s="9" t="s">
        <v>1</v>
      </c>
      <c r="L97" s="37" t="s">
        <v>1</v>
      </c>
      <c r="M97" s="2"/>
    </row>
    <row r="98" spans="1:13" ht="23">
      <c r="A98" s="32" t="s">
        <v>145</v>
      </c>
      <c r="B98" s="32" t="s">
        <v>146</v>
      </c>
      <c r="C98" s="9" t="s">
        <v>1</v>
      </c>
      <c r="D98" s="33" t="s">
        <v>1</v>
      </c>
      <c r="E98" s="9" t="s">
        <v>1</v>
      </c>
      <c r="F98" s="38" t="s">
        <v>1</v>
      </c>
      <c r="G98" s="2"/>
      <c r="H98" s="2"/>
      <c r="I98" s="9" t="s">
        <v>1</v>
      </c>
      <c r="J98" s="33" t="s">
        <v>1</v>
      </c>
      <c r="K98" s="9" t="s">
        <v>1</v>
      </c>
      <c r="L98" s="38" t="s">
        <v>1</v>
      </c>
      <c r="M98" s="2"/>
    </row>
    <row r="99" spans="1:13">
      <c r="A99" s="35" t="s">
        <v>147</v>
      </c>
      <c r="B99" s="35" t="s">
        <v>148</v>
      </c>
      <c r="C99" s="9" t="s">
        <v>1</v>
      </c>
      <c r="D99" s="36" t="s">
        <v>1</v>
      </c>
      <c r="E99" s="9" t="s">
        <v>1</v>
      </c>
      <c r="F99" s="37" t="s">
        <v>1</v>
      </c>
      <c r="G99" s="2"/>
      <c r="H99" s="2"/>
      <c r="I99" s="9" t="s">
        <v>1</v>
      </c>
      <c r="J99" s="36" t="s">
        <v>1</v>
      </c>
      <c r="K99" s="9" t="s">
        <v>1</v>
      </c>
      <c r="L99" s="37" t="s">
        <v>1</v>
      </c>
      <c r="M99" s="2"/>
    </row>
    <row r="100" spans="1:13" ht="23">
      <c r="A100" s="32" t="s">
        <v>149</v>
      </c>
      <c r="B100" s="32" t="s">
        <v>150</v>
      </c>
      <c r="C100" s="9" t="s">
        <v>1</v>
      </c>
      <c r="D100" s="33" t="s">
        <v>1</v>
      </c>
      <c r="E100" s="9" t="s">
        <v>1</v>
      </c>
      <c r="F100" s="38" t="s">
        <v>1</v>
      </c>
      <c r="G100" s="2"/>
      <c r="H100" s="2"/>
      <c r="I100" s="9" t="s">
        <v>1</v>
      </c>
      <c r="J100" s="33" t="s">
        <v>1</v>
      </c>
      <c r="K100" s="9" t="s">
        <v>1</v>
      </c>
      <c r="L100" s="38" t="s">
        <v>1</v>
      </c>
      <c r="M100" s="2"/>
    </row>
    <row r="101" spans="1:13">
      <c r="A101" s="35" t="s">
        <v>151</v>
      </c>
      <c r="B101" s="35" t="s">
        <v>152</v>
      </c>
      <c r="C101" s="9" t="s">
        <v>1</v>
      </c>
      <c r="D101" s="36" t="s">
        <v>1</v>
      </c>
      <c r="E101" s="9" t="s">
        <v>1</v>
      </c>
      <c r="F101" s="37" t="s">
        <v>1</v>
      </c>
      <c r="G101" s="2"/>
      <c r="H101" s="2"/>
      <c r="I101" s="9" t="s">
        <v>1</v>
      </c>
      <c r="J101" s="36" t="s">
        <v>1</v>
      </c>
      <c r="K101" s="9" t="s">
        <v>1</v>
      </c>
      <c r="L101" s="37" t="s">
        <v>1</v>
      </c>
      <c r="M101" s="2"/>
    </row>
    <row r="102" spans="1:13">
      <c r="A102" s="32" t="s">
        <v>153</v>
      </c>
      <c r="B102" s="32" t="s">
        <v>154</v>
      </c>
      <c r="C102" s="9" t="s">
        <v>1</v>
      </c>
      <c r="D102" s="33" t="s">
        <v>1</v>
      </c>
      <c r="E102" s="9" t="s">
        <v>1</v>
      </c>
      <c r="F102" s="38" t="s">
        <v>1</v>
      </c>
      <c r="G102" s="2"/>
      <c r="H102" s="2"/>
      <c r="I102" s="9" t="s">
        <v>1</v>
      </c>
      <c r="J102" s="33" t="s">
        <v>1</v>
      </c>
      <c r="K102" s="9" t="s">
        <v>1</v>
      </c>
      <c r="L102" s="38" t="s">
        <v>1</v>
      </c>
      <c r="M102" s="2"/>
    </row>
    <row r="103" spans="1:13" ht="23">
      <c r="A103" s="25" t="s">
        <v>155</v>
      </c>
      <c r="B103" s="25" t="s">
        <v>156</v>
      </c>
      <c r="C103" s="11" t="s">
        <v>1</v>
      </c>
      <c r="D103" s="42">
        <v>36255642.409999996</v>
      </c>
      <c r="E103" s="11" t="s">
        <v>1</v>
      </c>
      <c r="F103" s="27" t="s">
        <v>1</v>
      </c>
      <c r="G103" s="2"/>
      <c r="H103" s="2"/>
      <c r="I103" s="11" t="s">
        <v>1</v>
      </c>
      <c r="J103" s="42">
        <v>36255642.409999996</v>
      </c>
      <c r="K103" s="11" t="s">
        <v>1</v>
      </c>
      <c r="L103" s="27" t="s">
        <v>1</v>
      </c>
      <c r="M103" s="2"/>
    </row>
    <row r="104" spans="1:13">
      <c r="A104" s="32" t="s">
        <v>157</v>
      </c>
      <c r="B104" s="32" t="s">
        <v>73</v>
      </c>
      <c r="C104" s="9" t="s">
        <v>1</v>
      </c>
      <c r="D104" s="33" t="s">
        <v>1</v>
      </c>
      <c r="E104" s="9" t="s">
        <v>1</v>
      </c>
      <c r="F104" s="38" t="s">
        <v>1</v>
      </c>
      <c r="G104" s="2"/>
      <c r="H104" s="2"/>
      <c r="I104" s="9" t="s">
        <v>1</v>
      </c>
      <c r="J104" s="33" t="s">
        <v>1</v>
      </c>
      <c r="K104" s="9" t="s">
        <v>1</v>
      </c>
      <c r="L104" s="38" t="s">
        <v>1</v>
      </c>
      <c r="M104" s="2"/>
    </row>
    <row r="105" spans="1:13">
      <c r="A105" s="35" t="s">
        <v>158</v>
      </c>
      <c r="B105" s="35" t="s">
        <v>77</v>
      </c>
      <c r="C105" s="9" t="s">
        <v>1</v>
      </c>
      <c r="D105" s="44">
        <v>184510.58</v>
      </c>
      <c r="E105" s="9" t="s">
        <v>1</v>
      </c>
      <c r="F105" s="37" t="s">
        <v>1</v>
      </c>
      <c r="G105" s="2"/>
      <c r="H105" s="2"/>
      <c r="I105" s="9" t="s">
        <v>1</v>
      </c>
      <c r="J105" s="44">
        <v>184510.58</v>
      </c>
      <c r="K105" s="9" t="s">
        <v>1</v>
      </c>
      <c r="L105" s="37" t="s">
        <v>1</v>
      </c>
      <c r="M105" s="2"/>
    </row>
    <row r="106" spans="1:13">
      <c r="A106" s="32" t="s">
        <v>159</v>
      </c>
      <c r="B106" s="32" t="s">
        <v>160</v>
      </c>
      <c r="C106" s="9" t="s">
        <v>1</v>
      </c>
      <c r="D106" s="43">
        <v>6500</v>
      </c>
      <c r="E106" s="9" t="s">
        <v>1</v>
      </c>
      <c r="F106" s="38" t="s">
        <v>1</v>
      </c>
      <c r="G106" s="2"/>
      <c r="H106" s="2"/>
      <c r="I106" s="9" t="s">
        <v>1</v>
      </c>
      <c r="J106" s="43">
        <v>6500</v>
      </c>
      <c r="K106" s="9" t="s">
        <v>1</v>
      </c>
      <c r="L106" s="38" t="s">
        <v>1</v>
      </c>
      <c r="M106" s="2"/>
    </row>
    <row r="107" spans="1:13">
      <c r="A107" s="35" t="s">
        <v>161</v>
      </c>
      <c r="B107" s="35" t="s">
        <v>162</v>
      </c>
      <c r="C107" s="9" t="s">
        <v>1</v>
      </c>
      <c r="D107" s="36" t="s">
        <v>1</v>
      </c>
      <c r="E107" s="9" t="s">
        <v>1</v>
      </c>
      <c r="F107" s="39">
        <v>151217.79999999999</v>
      </c>
      <c r="G107" s="2"/>
      <c r="H107" s="2"/>
      <c r="I107" s="9" t="s">
        <v>1</v>
      </c>
      <c r="J107" s="36" t="s">
        <v>1</v>
      </c>
      <c r="K107" s="9" t="s">
        <v>1</v>
      </c>
      <c r="L107" s="39">
        <v>151217.79999999999</v>
      </c>
      <c r="M107" s="2"/>
    </row>
    <row r="108" spans="1:13">
      <c r="A108" s="32" t="s">
        <v>163</v>
      </c>
      <c r="B108" s="32" t="s">
        <v>164</v>
      </c>
      <c r="C108" s="9" t="s">
        <v>1</v>
      </c>
      <c r="D108" s="33" t="s">
        <v>1</v>
      </c>
      <c r="E108" s="9" t="s">
        <v>1</v>
      </c>
      <c r="F108" s="38" t="s">
        <v>1</v>
      </c>
      <c r="G108" s="2"/>
      <c r="H108" s="2"/>
      <c r="I108" s="9" t="s">
        <v>1</v>
      </c>
      <c r="J108" s="33" t="s">
        <v>1</v>
      </c>
      <c r="K108" s="9" t="s">
        <v>1</v>
      </c>
      <c r="L108" s="38" t="s">
        <v>1</v>
      </c>
      <c r="M108" s="2"/>
    </row>
    <row r="109" spans="1:13">
      <c r="A109" s="35" t="s">
        <v>165</v>
      </c>
      <c r="B109" s="35" t="s">
        <v>166</v>
      </c>
      <c r="C109" s="9" t="s">
        <v>1</v>
      </c>
      <c r="D109" s="36" t="s">
        <v>1</v>
      </c>
      <c r="E109" s="9" t="s">
        <v>1</v>
      </c>
      <c r="F109" s="37" t="s">
        <v>1</v>
      </c>
      <c r="G109" s="2"/>
      <c r="H109" s="2"/>
      <c r="I109" s="9" t="s">
        <v>1</v>
      </c>
      <c r="J109" s="36" t="s">
        <v>1</v>
      </c>
      <c r="K109" s="9" t="s">
        <v>1</v>
      </c>
      <c r="L109" s="37" t="s">
        <v>1</v>
      </c>
      <c r="M109" s="2"/>
    </row>
    <row r="110" spans="1:13">
      <c r="A110" s="32" t="s">
        <v>167</v>
      </c>
      <c r="B110" s="32" t="s">
        <v>168</v>
      </c>
      <c r="C110" s="9" t="s">
        <v>1</v>
      </c>
      <c r="D110" s="43">
        <v>663354.1</v>
      </c>
      <c r="E110" s="9" t="s">
        <v>1</v>
      </c>
      <c r="F110" s="38" t="s">
        <v>1</v>
      </c>
      <c r="G110" s="2"/>
      <c r="H110" s="2"/>
      <c r="I110" s="9" t="s">
        <v>1</v>
      </c>
      <c r="J110" s="43">
        <v>663354.1</v>
      </c>
      <c r="K110" s="9" t="s">
        <v>1</v>
      </c>
      <c r="L110" s="38" t="s">
        <v>1</v>
      </c>
      <c r="M110" s="2"/>
    </row>
    <row r="111" spans="1:13">
      <c r="A111" s="35" t="s">
        <v>169</v>
      </c>
      <c r="B111" s="35" t="s">
        <v>170</v>
      </c>
      <c r="C111" s="9" t="s">
        <v>1</v>
      </c>
      <c r="D111" s="44">
        <v>8510425.0099999998</v>
      </c>
      <c r="E111" s="9" t="s">
        <v>1</v>
      </c>
      <c r="F111" s="37" t="s">
        <v>1</v>
      </c>
      <c r="G111" s="2"/>
      <c r="H111" s="2"/>
      <c r="I111" s="9" t="s">
        <v>1</v>
      </c>
      <c r="J111" s="44">
        <v>8510425.0099999998</v>
      </c>
      <c r="K111" s="9" t="s">
        <v>1</v>
      </c>
      <c r="L111" s="37" t="s">
        <v>1</v>
      </c>
      <c r="M111" s="2"/>
    </row>
    <row r="112" spans="1:13">
      <c r="A112" s="32" t="s">
        <v>171</v>
      </c>
      <c r="B112" s="32" t="s">
        <v>172</v>
      </c>
      <c r="C112" s="9" t="s">
        <v>1</v>
      </c>
      <c r="D112" s="43">
        <v>1765641.09</v>
      </c>
      <c r="E112" s="9" t="s">
        <v>1</v>
      </c>
      <c r="F112" s="38" t="s">
        <v>1</v>
      </c>
      <c r="G112" s="2"/>
      <c r="H112" s="2"/>
      <c r="I112" s="9" t="s">
        <v>1</v>
      </c>
      <c r="J112" s="43">
        <v>1765641.09</v>
      </c>
      <c r="K112" s="9" t="s">
        <v>1</v>
      </c>
      <c r="L112" s="38" t="s">
        <v>1</v>
      </c>
      <c r="M112" s="2"/>
    </row>
    <row r="113" spans="1:13">
      <c r="A113" s="35" t="s">
        <v>173</v>
      </c>
      <c r="B113" s="35" t="s">
        <v>174</v>
      </c>
      <c r="C113" s="9" t="s">
        <v>1</v>
      </c>
      <c r="D113" s="44">
        <v>217535.35999999999</v>
      </c>
      <c r="E113" s="9" t="s">
        <v>1</v>
      </c>
      <c r="F113" s="37" t="s">
        <v>1</v>
      </c>
      <c r="G113" s="2"/>
      <c r="H113" s="2"/>
      <c r="I113" s="9" t="s">
        <v>1</v>
      </c>
      <c r="J113" s="44">
        <v>217535.35999999999</v>
      </c>
      <c r="K113" s="9" t="s">
        <v>1</v>
      </c>
      <c r="L113" s="37" t="s">
        <v>1</v>
      </c>
      <c r="M113" s="2"/>
    </row>
    <row r="114" spans="1:13">
      <c r="A114" s="32" t="s">
        <v>175</v>
      </c>
      <c r="B114" s="32" t="s">
        <v>176</v>
      </c>
      <c r="C114" s="9" t="s">
        <v>1</v>
      </c>
      <c r="D114" s="43">
        <v>239750</v>
      </c>
      <c r="E114" s="9" t="s">
        <v>1</v>
      </c>
      <c r="F114" s="38" t="s">
        <v>1</v>
      </c>
      <c r="G114" s="2"/>
      <c r="H114" s="2"/>
      <c r="I114" s="9" t="s">
        <v>1</v>
      </c>
      <c r="J114" s="43">
        <v>239750</v>
      </c>
      <c r="K114" s="9" t="s">
        <v>1</v>
      </c>
      <c r="L114" s="38" t="s">
        <v>1</v>
      </c>
      <c r="M114" s="2"/>
    </row>
    <row r="115" spans="1:13">
      <c r="A115" s="35" t="s">
        <v>177</v>
      </c>
      <c r="B115" s="35" t="s">
        <v>87</v>
      </c>
      <c r="C115" s="9" t="s">
        <v>1</v>
      </c>
      <c r="D115" s="36" t="s">
        <v>1</v>
      </c>
      <c r="E115" s="9" t="s">
        <v>1</v>
      </c>
      <c r="F115" s="37" t="s">
        <v>1</v>
      </c>
      <c r="G115" s="2"/>
      <c r="H115" s="2"/>
      <c r="I115" s="9" t="s">
        <v>1</v>
      </c>
      <c r="J115" s="36" t="s">
        <v>1</v>
      </c>
      <c r="K115" s="9" t="s">
        <v>1</v>
      </c>
      <c r="L115" s="37" t="s">
        <v>1</v>
      </c>
      <c r="M115" s="2"/>
    </row>
    <row r="116" spans="1:13">
      <c r="A116" s="32" t="s">
        <v>178</v>
      </c>
      <c r="B116" s="32" t="s">
        <v>179</v>
      </c>
      <c r="C116" s="9" t="s">
        <v>1</v>
      </c>
      <c r="D116" s="33" t="s">
        <v>1</v>
      </c>
      <c r="E116" s="9" t="s">
        <v>1</v>
      </c>
      <c r="F116" s="38" t="s">
        <v>1</v>
      </c>
      <c r="G116" s="2"/>
      <c r="H116" s="2"/>
      <c r="I116" s="9" t="s">
        <v>1</v>
      </c>
      <c r="J116" s="33" t="s">
        <v>1</v>
      </c>
      <c r="K116" s="9" t="s">
        <v>1</v>
      </c>
      <c r="L116" s="38" t="s">
        <v>1</v>
      </c>
      <c r="M116" s="2"/>
    </row>
    <row r="117" spans="1:13">
      <c r="A117" s="35" t="s">
        <v>180</v>
      </c>
      <c r="B117" s="35" t="s">
        <v>181</v>
      </c>
      <c r="C117" s="9" t="s">
        <v>1</v>
      </c>
      <c r="D117" s="36" t="s">
        <v>1</v>
      </c>
      <c r="E117" s="9" t="s">
        <v>1</v>
      </c>
      <c r="F117" s="37" t="s">
        <v>1</v>
      </c>
      <c r="G117" s="2"/>
      <c r="H117" s="2"/>
      <c r="I117" s="9" t="s">
        <v>1</v>
      </c>
      <c r="J117" s="36" t="s">
        <v>1</v>
      </c>
      <c r="K117" s="9" t="s">
        <v>1</v>
      </c>
      <c r="L117" s="37" t="s">
        <v>1</v>
      </c>
      <c r="M117" s="2"/>
    </row>
    <row r="118" spans="1:13">
      <c r="A118" s="32" t="s">
        <v>182</v>
      </c>
      <c r="B118" s="32" t="s">
        <v>183</v>
      </c>
      <c r="C118" s="9" t="s">
        <v>1</v>
      </c>
      <c r="D118" s="33" t="s">
        <v>1</v>
      </c>
      <c r="E118" s="9" t="s">
        <v>1</v>
      </c>
      <c r="F118" s="38" t="s">
        <v>1</v>
      </c>
      <c r="G118" s="2"/>
      <c r="H118" s="2"/>
      <c r="I118" s="9" t="s">
        <v>1</v>
      </c>
      <c r="J118" s="33" t="s">
        <v>1</v>
      </c>
      <c r="K118" s="9" t="s">
        <v>1</v>
      </c>
      <c r="L118" s="38" t="s">
        <v>1</v>
      </c>
      <c r="M118" s="2"/>
    </row>
    <row r="119" spans="1:13">
      <c r="A119" s="25" t="s">
        <v>184</v>
      </c>
      <c r="B119" s="25" t="s">
        <v>185</v>
      </c>
      <c r="C119" s="11" t="s">
        <v>1</v>
      </c>
      <c r="D119" s="42">
        <v>24819144.07</v>
      </c>
      <c r="E119" s="11" t="s">
        <v>1</v>
      </c>
      <c r="F119" s="27" t="s">
        <v>1</v>
      </c>
      <c r="G119" s="2"/>
      <c r="H119" s="2"/>
      <c r="I119" s="11" t="s">
        <v>1</v>
      </c>
      <c r="J119" s="42">
        <v>24819144.07</v>
      </c>
      <c r="K119" s="11" t="s">
        <v>1</v>
      </c>
      <c r="L119" s="27" t="s">
        <v>1</v>
      </c>
      <c r="M119" s="2"/>
    </row>
    <row r="120" spans="1:13">
      <c r="A120" s="32" t="s">
        <v>186</v>
      </c>
      <c r="B120" s="32" t="s">
        <v>187</v>
      </c>
      <c r="C120" s="9" t="s">
        <v>1</v>
      </c>
      <c r="D120" s="33" t="s">
        <v>1</v>
      </c>
      <c r="E120" s="9" t="s">
        <v>1</v>
      </c>
      <c r="F120" s="38" t="s">
        <v>1</v>
      </c>
      <c r="G120" s="2"/>
      <c r="H120" s="2"/>
      <c r="I120" s="9" t="s">
        <v>1</v>
      </c>
      <c r="J120" s="33" t="s">
        <v>1</v>
      </c>
      <c r="K120" s="9" t="s">
        <v>1</v>
      </c>
      <c r="L120" s="38" t="s">
        <v>1</v>
      </c>
      <c r="M120" s="2"/>
    </row>
    <row r="121" spans="1:13">
      <c r="A121" s="35" t="s">
        <v>188</v>
      </c>
      <c r="B121" s="35" t="s">
        <v>189</v>
      </c>
      <c r="C121" s="9" t="s">
        <v>1</v>
      </c>
      <c r="D121" s="44">
        <v>590560</v>
      </c>
      <c r="E121" s="9" t="s">
        <v>1</v>
      </c>
      <c r="F121" s="37" t="s">
        <v>1</v>
      </c>
      <c r="G121" s="2"/>
      <c r="H121" s="2"/>
      <c r="I121" s="9" t="s">
        <v>1</v>
      </c>
      <c r="J121" s="44">
        <v>590560</v>
      </c>
      <c r="K121" s="9" t="s">
        <v>1</v>
      </c>
      <c r="L121" s="37" t="s">
        <v>1</v>
      </c>
      <c r="M121" s="2"/>
    </row>
    <row r="122" spans="1:13">
      <c r="A122" s="32" t="s">
        <v>190</v>
      </c>
      <c r="B122" s="32" t="s">
        <v>191</v>
      </c>
      <c r="C122" s="9" t="s">
        <v>1</v>
      </c>
      <c r="D122" s="43">
        <v>877603</v>
      </c>
      <c r="E122" s="9" t="s">
        <v>1</v>
      </c>
      <c r="F122" s="38" t="s">
        <v>1</v>
      </c>
      <c r="G122" s="2"/>
      <c r="H122" s="2"/>
      <c r="I122" s="9" t="s">
        <v>1</v>
      </c>
      <c r="J122" s="43">
        <v>877603</v>
      </c>
      <c r="K122" s="9" t="s">
        <v>1</v>
      </c>
      <c r="L122" s="38" t="s">
        <v>1</v>
      </c>
      <c r="M122" s="2"/>
    </row>
    <row r="123" spans="1:13">
      <c r="A123" s="35" t="s">
        <v>192</v>
      </c>
      <c r="B123" s="35" t="s">
        <v>193</v>
      </c>
      <c r="C123" s="9" t="s">
        <v>1</v>
      </c>
      <c r="D123" s="44">
        <v>194377.5</v>
      </c>
      <c r="E123" s="9" t="s">
        <v>1</v>
      </c>
      <c r="F123" s="37" t="s">
        <v>1</v>
      </c>
      <c r="G123" s="2"/>
      <c r="H123" s="2"/>
      <c r="I123" s="9" t="s">
        <v>1</v>
      </c>
      <c r="J123" s="44">
        <v>194377.5</v>
      </c>
      <c r="K123" s="9" t="s">
        <v>1</v>
      </c>
      <c r="L123" s="37" t="s">
        <v>1</v>
      </c>
      <c r="M123" s="2"/>
    </row>
    <row r="124" spans="1:13">
      <c r="A124" s="32" t="s">
        <v>194</v>
      </c>
      <c r="B124" s="32" t="s">
        <v>195</v>
      </c>
      <c r="C124" s="9" t="s">
        <v>1</v>
      </c>
      <c r="D124" s="33" t="s">
        <v>1</v>
      </c>
      <c r="E124" s="9" t="s">
        <v>1</v>
      </c>
      <c r="F124" s="38" t="s">
        <v>1</v>
      </c>
      <c r="G124" s="2"/>
      <c r="H124" s="2"/>
      <c r="I124" s="9" t="s">
        <v>1</v>
      </c>
      <c r="J124" s="33" t="s">
        <v>1</v>
      </c>
      <c r="K124" s="9" t="s">
        <v>1</v>
      </c>
      <c r="L124" s="38" t="s">
        <v>1</v>
      </c>
      <c r="M124" s="2"/>
    </row>
    <row r="125" spans="1:13">
      <c r="A125" s="35" t="s">
        <v>196</v>
      </c>
      <c r="B125" s="35" t="s">
        <v>197</v>
      </c>
      <c r="C125" s="9" t="s">
        <v>1</v>
      </c>
      <c r="D125" s="44">
        <v>85300</v>
      </c>
      <c r="E125" s="9" t="s">
        <v>1</v>
      </c>
      <c r="F125" s="37" t="s">
        <v>1</v>
      </c>
      <c r="G125" s="2"/>
      <c r="H125" s="2"/>
      <c r="I125" s="9" t="s">
        <v>1</v>
      </c>
      <c r="J125" s="44">
        <v>85300</v>
      </c>
      <c r="K125" s="9" t="s">
        <v>1</v>
      </c>
      <c r="L125" s="37" t="s">
        <v>1</v>
      </c>
      <c r="M125" s="2"/>
    </row>
    <row r="126" spans="1:13">
      <c r="A126" s="32" t="s">
        <v>198</v>
      </c>
      <c r="B126" s="32" t="s">
        <v>199</v>
      </c>
      <c r="C126" s="9" t="s">
        <v>1</v>
      </c>
      <c r="D126" s="43">
        <v>1225990</v>
      </c>
      <c r="E126" s="9" t="s">
        <v>1</v>
      </c>
      <c r="F126" s="38" t="s">
        <v>1</v>
      </c>
      <c r="G126" s="2"/>
      <c r="H126" s="2"/>
      <c r="I126" s="9" t="s">
        <v>1</v>
      </c>
      <c r="J126" s="43">
        <v>1225990</v>
      </c>
      <c r="K126" s="9" t="s">
        <v>1</v>
      </c>
      <c r="L126" s="38" t="s">
        <v>1</v>
      </c>
      <c r="M126" s="2"/>
    </row>
    <row r="127" spans="1:13">
      <c r="A127" s="35" t="s">
        <v>200</v>
      </c>
      <c r="B127" s="35" t="s">
        <v>201</v>
      </c>
      <c r="C127" s="9" t="s">
        <v>1</v>
      </c>
      <c r="D127" s="44">
        <v>2729617.75</v>
      </c>
      <c r="E127" s="9" t="s">
        <v>1</v>
      </c>
      <c r="F127" s="37" t="s">
        <v>1</v>
      </c>
      <c r="G127" s="2"/>
      <c r="H127" s="2"/>
      <c r="I127" s="9" t="s">
        <v>1</v>
      </c>
      <c r="J127" s="44">
        <v>2729617.75</v>
      </c>
      <c r="K127" s="9" t="s">
        <v>1</v>
      </c>
      <c r="L127" s="37" t="s">
        <v>1</v>
      </c>
      <c r="M127" s="2"/>
    </row>
    <row r="128" spans="1:13">
      <c r="A128" s="32" t="s">
        <v>202</v>
      </c>
      <c r="B128" s="32" t="s">
        <v>203</v>
      </c>
      <c r="C128" s="9" t="s">
        <v>1</v>
      </c>
      <c r="D128" s="43">
        <v>12995672.439999999</v>
      </c>
      <c r="E128" s="9" t="s">
        <v>1</v>
      </c>
      <c r="F128" s="38" t="s">
        <v>1</v>
      </c>
      <c r="G128" s="2"/>
      <c r="H128" s="2"/>
      <c r="I128" s="9" t="s">
        <v>1</v>
      </c>
      <c r="J128" s="43">
        <v>12995672.439999999</v>
      </c>
      <c r="K128" s="9" t="s">
        <v>1</v>
      </c>
      <c r="L128" s="38" t="s">
        <v>1</v>
      </c>
      <c r="M128" s="2"/>
    </row>
    <row r="129" spans="1:13">
      <c r="A129" s="35" t="s">
        <v>204</v>
      </c>
      <c r="B129" s="35" t="s">
        <v>205</v>
      </c>
      <c r="C129" s="9" t="s">
        <v>1</v>
      </c>
      <c r="D129" s="44">
        <v>3264721.02</v>
      </c>
      <c r="E129" s="9" t="s">
        <v>1</v>
      </c>
      <c r="F129" s="37" t="s">
        <v>1</v>
      </c>
      <c r="G129" s="2"/>
      <c r="H129" s="2"/>
      <c r="I129" s="9" t="s">
        <v>1</v>
      </c>
      <c r="J129" s="44">
        <v>3264721.02</v>
      </c>
      <c r="K129" s="9" t="s">
        <v>1</v>
      </c>
      <c r="L129" s="37" t="s">
        <v>1</v>
      </c>
      <c r="M129" s="2"/>
    </row>
    <row r="130" spans="1:13">
      <c r="A130" s="32" t="s">
        <v>206</v>
      </c>
      <c r="B130" s="32" t="s">
        <v>207</v>
      </c>
      <c r="C130" s="9" t="s">
        <v>1</v>
      </c>
      <c r="D130" s="43">
        <v>2855302.36</v>
      </c>
      <c r="E130" s="9" t="s">
        <v>1</v>
      </c>
      <c r="F130" s="38" t="s">
        <v>1</v>
      </c>
      <c r="G130" s="2"/>
      <c r="H130" s="2"/>
      <c r="I130" s="9" t="s">
        <v>1</v>
      </c>
      <c r="J130" s="43">
        <v>2855302.36</v>
      </c>
      <c r="K130" s="9" t="s">
        <v>1</v>
      </c>
      <c r="L130" s="38" t="s">
        <v>1</v>
      </c>
      <c r="M130" s="2"/>
    </row>
    <row r="131" spans="1:13" ht="23">
      <c r="A131" s="25" t="s">
        <v>208</v>
      </c>
      <c r="B131" s="25" t="s">
        <v>209</v>
      </c>
      <c r="C131" s="11" t="s">
        <v>1</v>
      </c>
      <c r="D131" s="42">
        <v>16791284.489999998</v>
      </c>
      <c r="E131" s="11" t="s">
        <v>1</v>
      </c>
      <c r="F131" s="27" t="s">
        <v>1</v>
      </c>
      <c r="G131" s="2"/>
      <c r="H131" s="2"/>
      <c r="I131" s="11" t="s">
        <v>1</v>
      </c>
      <c r="J131" s="42">
        <v>16791284.489999998</v>
      </c>
      <c r="K131" s="11" t="s">
        <v>1</v>
      </c>
      <c r="L131" s="27" t="s">
        <v>1</v>
      </c>
      <c r="M131" s="2"/>
    </row>
    <row r="132" spans="1:13">
      <c r="A132" s="32" t="s">
        <v>210</v>
      </c>
      <c r="B132" s="32" t="s">
        <v>211</v>
      </c>
      <c r="C132" s="9" t="s">
        <v>1</v>
      </c>
      <c r="D132" s="43">
        <v>4734790.42</v>
      </c>
      <c r="E132" s="9" t="s">
        <v>1</v>
      </c>
      <c r="F132" s="38" t="s">
        <v>1</v>
      </c>
      <c r="G132" s="2"/>
      <c r="H132" s="2"/>
      <c r="I132" s="9" t="s">
        <v>1</v>
      </c>
      <c r="J132" s="43">
        <v>4734790.42</v>
      </c>
      <c r="K132" s="9" t="s">
        <v>1</v>
      </c>
      <c r="L132" s="38" t="s">
        <v>1</v>
      </c>
      <c r="M132" s="2"/>
    </row>
    <row r="133" spans="1:13">
      <c r="A133" s="35" t="s">
        <v>212</v>
      </c>
      <c r="B133" s="35" t="s">
        <v>213</v>
      </c>
      <c r="C133" s="9" t="s">
        <v>1</v>
      </c>
      <c r="D133" s="44">
        <v>798671.17</v>
      </c>
      <c r="E133" s="9" t="s">
        <v>1</v>
      </c>
      <c r="F133" s="37" t="s">
        <v>1</v>
      </c>
      <c r="G133" s="2"/>
      <c r="H133" s="2"/>
      <c r="I133" s="9" t="s">
        <v>1</v>
      </c>
      <c r="J133" s="44">
        <v>798671.17</v>
      </c>
      <c r="K133" s="9" t="s">
        <v>1</v>
      </c>
      <c r="L133" s="37" t="s">
        <v>1</v>
      </c>
      <c r="M133" s="2"/>
    </row>
    <row r="134" spans="1:13">
      <c r="A134" s="32" t="s">
        <v>214</v>
      </c>
      <c r="B134" s="32" t="s">
        <v>215</v>
      </c>
      <c r="C134" s="9" t="s">
        <v>1</v>
      </c>
      <c r="D134" s="43">
        <v>51295.199999999997</v>
      </c>
      <c r="E134" s="9" t="s">
        <v>1</v>
      </c>
      <c r="F134" s="38" t="s">
        <v>1</v>
      </c>
      <c r="G134" s="2"/>
      <c r="H134" s="2"/>
      <c r="I134" s="9" t="s">
        <v>1</v>
      </c>
      <c r="J134" s="43">
        <v>51295.199999999997</v>
      </c>
      <c r="K134" s="9" t="s">
        <v>1</v>
      </c>
      <c r="L134" s="38" t="s">
        <v>1</v>
      </c>
      <c r="M134" s="2"/>
    </row>
    <row r="135" spans="1:13">
      <c r="A135" s="35" t="s">
        <v>216</v>
      </c>
      <c r="B135" s="35" t="s">
        <v>217</v>
      </c>
      <c r="C135" s="9" t="s">
        <v>1</v>
      </c>
      <c r="D135" s="36" t="s">
        <v>1</v>
      </c>
      <c r="E135" s="9" t="s">
        <v>1</v>
      </c>
      <c r="F135" s="37" t="s">
        <v>1</v>
      </c>
      <c r="G135" s="2"/>
      <c r="H135" s="2"/>
      <c r="I135" s="9" t="s">
        <v>1</v>
      </c>
      <c r="J135" s="36" t="s">
        <v>1</v>
      </c>
      <c r="K135" s="9" t="s">
        <v>1</v>
      </c>
      <c r="L135" s="37" t="s">
        <v>1</v>
      </c>
      <c r="M135" s="2"/>
    </row>
    <row r="136" spans="1:13">
      <c r="A136" s="32" t="s">
        <v>218</v>
      </c>
      <c r="B136" s="32" t="s">
        <v>219</v>
      </c>
      <c r="C136" s="9" t="s">
        <v>1</v>
      </c>
      <c r="D136" s="43">
        <v>62596</v>
      </c>
      <c r="E136" s="9" t="s">
        <v>1</v>
      </c>
      <c r="F136" s="38" t="s">
        <v>1</v>
      </c>
      <c r="G136" s="2"/>
      <c r="H136" s="2"/>
      <c r="I136" s="9" t="s">
        <v>1</v>
      </c>
      <c r="J136" s="43">
        <v>62596</v>
      </c>
      <c r="K136" s="9" t="s">
        <v>1</v>
      </c>
      <c r="L136" s="38" t="s">
        <v>1</v>
      </c>
      <c r="M136" s="2"/>
    </row>
    <row r="137" spans="1:13">
      <c r="A137" s="35" t="s">
        <v>220</v>
      </c>
      <c r="B137" s="35" t="s">
        <v>221</v>
      </c>
      <c r="C137" s="9" t="s">
        <v>1</v>
      </c>
      <c r="D137" s="44">
        <v>69600</v>
      </c>
      <c r="E137" s="9" t="s">
        <v>1</v>
      </c>
      <c r="F137" s="37" t="s">
        <v>1</v>
      </c>
      <c r="G137" s="2"/>
      <c r="H137" s="2"/>
      <c r="I137" s="9" t="s">
        <v>1</v>
      </c>
      <c r="J137" s="44">
        <v>69600</v>
      </c>
      <c r="K137" s="9" t="s">
        <v>1</v>
      </c>
      <c r="L137" s="37" t="s">
        <v>1</v>
      </c>
      <c r="M137" s="2"/>
    </row>
    <row r="138" spans="1:13">
      <c r="A138" s="32" t="s">
        <v>222</v>
      </c>
      <c r="B138" s="32" t="s">
        <v>223</v>
      </c>
      <c r="C138" s="9" t="s">
        <v>1</v>
      </c>
      <c r="D138" s="43">
        <v>234710</v>
      </c>
      <c r="E138" s="9" t="s">
        <v>1</v>
      </c>
      <c r="F138" s="38" t="s">
        <v>1</v>
      </c>
      <c r="G138" s="2"/>
      <c r="H138" s="2"/>
      <c r="I138" s="9" t="s">
        <v>1</v>
      </c>
      <c r="J138" s="43">
        <v>234710</v>
      </c>
      <c r="K138" s="9" t="s">
        <v>1</v>
      </c>
      <c r="L138" s="38" t="s">
        <v>1</v>
      </c>
      <c r="M138" s="2"/>
    </row>
    <row r="139" spans="1:13">
      <c r="A139" s="35" t="s">
        <v>224</v>
      </c>
      <c r="B139" s="35" t="s">
        <v>225</v>
      </c>
      <c r="C139" s="9" t="s">
        <v>1</v>
      </c>
      <c r="D139" s="44">
        <v>325623.52</v>
      </c>
      <c r="E139" s="9" t="s">
        <v>1</v>
      </c>
      <c r="F139" s="37" t="s">
        <v>1</v>
      </c>
      <c r="G139" s="2"/>
      <c r="H139" s="2"/>
      <c r="I139" s="9" t="s">
        <v>1</v>
      </c>
      <c r="J139" s="44">
        <v>325623.52</v>
      </c>
      <c r="K139" s="9" t="s">
        <v>1</v>
      </c>
      <c r="L139" s="37" t="s">
        <v>1</v>
      </c>
      <c r="M139" s="2"/>
    </row>
    <row r="140" spans="1:13">
      <c r="A140" s="32" t="s">
        <v>226</v>
      </c>
      <c r="B140" s="32" t="s">
        <v>227</v>
      </c>
      <c r="C140" s="9" t="s">
        <v>1</v>
      </c>
      <c r="D140" s="43">
        <v>88000</v>
      </c>
      <c r="E140" s="9" t="s">
        <v>1</v>
      </c>
      <c r="F140" s="38" t="s">
        <v>1</v>
      </c>
      <c r="G140" s="2"/>
      <c r="H140" s="2"/>
      <c r="I140" s="9" t="s">
        <v>1</v>
      </c>
      <c r="J140" s="43">
        <v>88000</v>
      </c>
      <c r="K140" s="9" t="s">
        <v>1</v>
      </c>
      <c r="L140" s="38" t="s">
        <v>1</v>
      </c>
      <c r="M140" s="2"/>
    </row>
    <row r="141" spans="1:13">
      <c r="A141" s="35" t="s">
        <v>228</v>
      </c>
      <c r="B141" s="35" t="s">
        <v>229</v>
      </c>
      <c r="C141" s="9" t="s">
        <v>1</v>
      </c>
      <c r="D141" s="44">
        <v>343068.52</v>
      </c>
      <c r="E141" s="9" t="s">
        <v>1</v>
      </c>
      <c r="F141" s="37" t="s">
        <v>1</v>
      </c>
      <c r="G141" s="2"/>
      <c r="H141" s="2"/>
      <c r="I141" s="9" t="s">
        <v>1</v>
      </c>
      <c r="J141" s="44">
        <v>343068.52</v>
      </c>
      <c r="K141" s="9" t="s">
        <v>1</v>
      </c>
      <c r="L141" s="37" t="s">
        <v>1</v>
      </c>
      <c r="M141" s="2"/>
    </row>
    <row r="142" spans="1:13">
      <c r="A142" s="32" t="s">
        <v>230</v>
      </c>
      <c r="B142" s="32" t="s">
        <v>231</v>
      </c>
      <c r="C142" s="9" t="s">
        <v>1</v>
      </c>
      <c r="D142" s="43">
        <v>549695.75</v>
      </c>
      <c r="E142" s="9" t="s">
        <v>1</v>
      </c>
      <c r="F142" s="38" t="s">
        <v>1</v>
      </c>
      <c r="G142" s="2"/>
      <c r="H142" s="2"/>
      <c r="I142" s="9" t="s">
        <v>1</v>
      </c>
      <c r="J142" s="43">
        <v>549695.75</v>
      </c>
      <c r="K142" s="9" t="s">
        <v>1</v>
      </c>
      <c r="L142" s="38" t="s">
        <v>1</v>
      </c>
      <c r="M142" s="2"/>
    </row>
    <row r="143" spans="1:13">
      <c r="A143" s="35" t="s">
        <v>232</v>
      </c>
      <c r="B143" s="35" t="s">
        <v>233</v>
      </c>
      <c r="C143" s="9" t="s">
        <v>1</v>
      </c>
      <c r="D143" s="44">
        <v>60000</v>
      </c>
      <c r="E143" s="9" t="s">
        <v>1</v>
      </c>
      <c r="F143" s="37" t="s">
        <v>1</v>
      </c>
      <c r="G143" s="2"/>
      <c r="H143" s="2"/>
      <c r="I143" s="9" t="s">
        <v>1</v>
      </c>
      <c r="J143" s="44">
        <v>60000</v>
      </c>
      <c r="K143" s="9" t="s">
        <v>1</v>
      </c>
      <c r="L143" s="37" t="s">
        <v>1</v>
      </c>
      <c r="M143" s="2"/>
    </row>
    <row r="144" spans="1:13">
      <c r="A144" s="32" t="s">
        <v>234</v>
      </c>
      <c r="B144" s="32" t="s">
        <v>235</v>
      </c>
      <c r="C144" s="9" t="s">
        <v>1</v>
      </c>
      <c r="D144" s="43">
        <v>50300</v>
      </c>
      <c r="E144" s="9" t="s">
        <v>1</v>
      </c>
      <c r="F144" s="38" t="s">
        <v>1</v>
      </c>
      <c r="G144" s="2"/>
      <c r="H144" s="2"/>
      <c r="I144" s="9" t="s">
        <v>1</v>
      </c>
      <c r="J144" s="43">
        <v>50300</v>
      </c>
      <c r="K144" s="9" t="s">
        <v>1</v>
      </c>
      <c r="L144" s="38" t="s">
        <v>1</v>
      </c>
      <c r="M144" s="2"/>
    </row>
    <row r="145" spans="1:13">
      <c r="A145" s="35" t="s">
        <v>236</v>
      </c>
      <c r="B145" s="35" t="s">
        <v>237</v>
      </c>
      <c r="C145" s="9" t="s">
        <v>1</v>
      </c>
      <c r="D145" s="44">
        <v>945726.94</v>
      </c>
      <c r="E145" s="9" t="s">
        <v>1</v>
      </c>
      <c r="F145" s="37" t="s">
        <v>1</v>
      </c>
      <c r="G145" s="2"/>
      <c r="H145" s="2"/>
      <c r="I145" s="9" t="s">
        <v>1</v>
      </c>
      <c r="J145" s="44">
        <v>945726.94</v>
      </c>
      <c r="K145" s="9" t="s">
        <v>1</v>
      </c>
      <c r="L145" s="37" t="s">
        <v>1</v>
      </c>
      <c r="M145" s="2"/>
    </row>
    <row r="146" spans="1:13">
      <c r="A146" s="32" t="s">
        <v>238</v>
      </c>
      <c r="B146" s="32" t="s">
        <v>239</v>
      </c>
      <c r="C146" s="9" t="s">
        <v>1</v>
      </c>
      <c r="D146" s="33" t="s">
        <v>1</v>
      </c>
      <c r="E146" s="9" t="s">
        <v>1</v>
      </c>
      <c r="F146" s="38" t="s">
        <v>1</v>
      </c>
      <c r="G146" s="2"/>
      <c r="H146" s="2"/>
      <c r="I146" s="9" t="s">
        <v>1</v>
      </c>
      <c r="J146" s="33" t="s">
        <v>1</v>
      </c>
      <c r="K146" s="9" t="s">
        <v>1</v>
      </c>
      <c r="L146" s="38" t="s">
        <v>1</v>
      </c>
      <c r="M146" s="2"/>
    </row>
    <row r="147" spans="1:13">
      <c r="A147" s="35" t="s">
        <v>240</v>
      </c>
      <c r="B147" s="35" t="s">
        <v>241</v>
      </c>
      <c r="C147" s="9" t="s">
        <v>1</v>
      </c>
      <c r="D147" s="44">
        <v>2145876.16</v>
      </c>
      <c r="E147" s="9" t="s">
        <v>1</v>
      </c>
      <c r="F147" s="37" t="s">
        <v>1</v>
      </c>
      <c r="G147" s="2"/>
      <c r="H147" s="2"/>
      <c r="I147" s="9" t="s">
        <v>1</v>
      </c>
      <c r="J147" s="44">
        <v>2145876.16</v>
      </c>
      <c r="K147" s="9" t="s">
        <v>1</v>
      </c>
      <c r="L147" s="37" t="s">
        <v>1</v>
      </c>
      <c r="M147" s="2"/>
    </row>
    <row r="148" spans="1:13">
      <c r="A148" s="32" t="s">
        <v>242</v>
      </c>
      <c r="B148" s="32" t="s">
        <v>243</v>
      </c>
      <c r="C148" s="9" t="s">
        <v>1</v>
      </c>
      <c r="D148" s="43">
        <v>3421520</v>
      </c>
      <c r="E148" s="9" t="s">
        <v>1</v>
      </c>
      <c r="F148" s="38" t="s">
        <v>1</v>
      </c>
      <c r="G148" s="2"/>
      <c r="H148" s="2"/>
      <c r="I148" s="9" t="s">
        <v>1</v>
      </c>
      <c r="J148" s="43">
        <v>3421520</v>
      </c>
      <c r="K148" s="9" t="s">
        <v>1</v>
      </c>
      <c r="L148" s="38" t="s">
        <v>1</v>
      </c>
      <c r="M148" s="2"/>
    </row>
    <row r="149" spans="1:13">
      <c r="A149" s="35" t="s">
        <v>244</v>
      </c>
      <c r="B149" s="35" t="s">
        <v>245</v>
      </c>
      <c r="C149" s="9" t="s">
        <v>1</v>
      </c>
      <c r="D149" s="44">
        <v>2473447.56</v>
      </c>
      <c r="E149" s="9" t="s">
        <v>1</v>
      </c>
      <c r="F149" s="37" t="s">
        <v>1</v>
      </c>
      <c r="G149" s="2"/>
      <c r="H149" s="2"/>
      <c r="I149" s="9" t="s">
        <v>1</v>
      </c>
      <c r="J149" s="44">
        <v>2473447.56</v>
      </c>
      <c r="K149" s="9" t="s">
        <v>1</v>
      </c>
      <c r="L149" s="37" t="s">
        <v>1</v>
      </c>
      <c r="M149" s="2"/>
    </row>
    <row r="150" spans="1:13">
      <c r="A150" s="32" t="s">
        <v>246</v>
      </c>
      <c r="B150" s="32" t="s">
        <v>247</v>
      </c>
      <c r="C150" s="9" t="s">
        <v>1</v>
      </c>
      <c r="D150" s="43">
        <v>422289.25</v>
      </c>
      <c r="E150" s="9" t="s">
        <v>1</v>
      </c>
      <c r="F150" s="38" t="s">
        <v>1</v>
      </c>
      <c r="G150" s="2"/>
      <c r="H150" s="2"/>
      <c r="I150" s="9" t="s">
        <v>1</v>
      </c>
      <c r="J150" s="43">
        <v>422289.25</v>
      </c>
      <c r="K150" s="9" t="s">
        <v>1</v>
      </c>
      <c r="L150" s="38" t="s">
        <v>1</v>
      </c>
      <c r="M150" s="2"/>
    </row>
    <row r="151" spans="1:13">
      <c r="A151" s="35" t="s">
        <v>248</v>
      </c>
      <c r="B151" s="35" t="s">
        <v>249</v>
      </c>
      <c r="C151" s="9" t="s">
        <v>1</v>
      </c>
      <c r="D151" s="44">
        <v>14074</v>
      </c>
      <c r="E151" s="9" t="s">
        <v>1</v>
      </c>
      <c r="F151" s="37" t="s">
        <v>1</v>
      </c>
      <c r="G151" s="2"/>
      <c r="H151" s="2"/>
      <c r="I151" s="9" t="s">
        <v>1</v>
      </c>
      <c r="J151" s="44">
        <v>14074</v>
      </c>
      <c r="K151" s="9" t="s">
        <v>1</v>
      </c>
      <c r="L151" s="37" t="s">
        <v>1</v>
      </c>
      <c r="M151" s="2"/>
    </row>
    <row r="152" spans="1:13" ht="23">
      <c r="A152" s="28" t="s">
        <v>250</v>
      </c>
      <c r="B152" s="28" t="s">
        <v>251</v>
      </c>
      <c r="C152" s="11" t="s">
        <v>1</v>
      </c>
      <c r="D152" s="40">
        <v>4253340.38</v>
      </c>
      <c r="E152" s="11" t="s">
        <v>1</v>
      </c>
      <c r="F152" s="41" t="s">
        <v>1</v>
      </c>
      <c r="G152" s="2"/>
      <c r="H152" s="2"/>
      <c r="I152" s="11" t="s">
        <v>1</v>
      </c>
      <c r="J152" s="40">
        <v>4253340.38</v>
      </c>
      <c r="K152" s="11" t="s">
        <v>1</v>
      </c>
      <c r="L152" s="41" t="s">
        <v>1</v>
      </c>
      <c r="M152" s="2"/>
    </row>
    <row r="153" spans="1:13">
      <c r="A153" s="35" t="s">
        <v>252</v>
      </c>
      <c r="B153" s="35" t="s">
        <v>73</v>
      </c>
      <c r="C153" s="9" t="s">
        <v>1</v>
      </c>
      <c r="D153" s="36" t="s">
        <v>1</v>
      </c>
      <c r="E153" s="9" t="s">
        <v>1</v>
      </c>
      <c r="F153" s="37" t="s">
        <v>1</v>
      </c>
      <c r="G153" s="2"/>
      <c r="H153" s="2"/>
      <c r="I153" s="9" t="s">
        <v>1</v>
      </c>
      <c r="J153" s="36" t="s">
        <v>1</v>
      </c>
      <c r="K153" s="9" t="s">
        <v>1</v>
      </c>
      <c r="L153" s="37" t="s">
        <v>1</v>
      </c>
      <c r="M153" s="2"/>
    </row>
    <row r="154" spans="1:13">
      <c r="A154" s="32" t="s">
        <v>253</v>
      </c>
      <c r="B154" s="32" t="s">
        <v>75</v>
      </c>
      <c r="C154" s="9" t="s">
        <v>1</v>
      </c>
      <c r="D154" s="33" t="s">
        <v>1</v>
      </c>
      <c r="E154" s="9" t="s">
        <v>1</v>
      </c>
      <c r="F154" s="38" t="s">
        <v>1</v>
      </c>
      <c r="G154" s="2"/>
      <c r="H154" s="2"/>
      <c r="I154" s="9" t="s">
        <v>1</v>
      </c>
      <c r="J154" s="33" t="s">
        <v>1</v>
      </c>
      <c r="K154" s="9" t="s">
        <v>1</v>
      </c>
      <c r="L154" s="38" t="s">
        <v>1</v>
      </c>
      <c r="M154" s="2"/>
    </row>
    <row r="155" spans="1:13">
      <c r="A155" s="35" t="s">
        <v>254</v>
      </c>
      <c r="B155" s="35" t="s">
        <v>77</v>
      </c>
      <c r="C155" s="9" t="s">
        <v>1</v>
      </c>
      <c r="D155" s="36" t="s">
        <v>1</v>
      </c>
      <c r="E155" s="9" t="s">
        <v>1</v>
      </c>
      <c r="F155" s="37" t="s">
        <v>1</v>
      </c>
      <c r="G155" s="2"/>
      <c r="H155" s="2"/>
      <c r="I155" s="9" t="s">
        <v>1</v>
      </c>
      <c r="J155" s="36" t="s">
        <v>1</v>
      </c>
      <c r="K155" s="9" t="s">
        <v>1</v>
      </c>
      <c r="L155" s="37" t="s">
        <v>1</v>
      </c>
      <c r="M155" s="2"/>
    </row>
    <row r="156" spans="1:13">
      <c r="A156" s="32" t="s">
        <v>255</v>
      </c>
      <c r="B156" s="32" t="s">
        <v>256</v>
      </c>
      <c r="C156" s="9" t="s">
        <v>1</v>
      </c>
      <c r="D156" s="43">
        <v>10000</v>
      </c>
      <c r="E156" s="9" t="s">
        <v>1</v>
      </c>
      <c r="F156" s="38" t="s">
        <v>1</v>
      </c>
      <c r="G156" s="2"/>
      <c r="H156" s="2"/>
      <c r="I156" s="9" t="s">
        <v>1</v>
      </c>
      <c r="J156" s="43">
        <v>10000</v>
      </c>
      <c r="K156" s="9" t="s">
        <v>1</v>
      </c>
      <c r="L156" s="38" t="s">
        <v>1</v>
      </c>
      <c r="M156" s="2"/>
    </row>
    <row r="157" spans="1:13">
      <c r="A157" s="35" t="s">
        <v>257</v>
      </c>
      <c r="B157" s="35" t="s">
        <v>258</v>
      </c>
      <c r="C157" s="9" t="s">
        <v>1</v>
      </c>
      <c r="D157" s="36" t="s">
        <v>1</v>
      </c>
      <c r="E157" s="9" t="s">
        <v>1</v>
      </c>
      <c r="F157" s="37" t="s">
        <v>1</v>
      </c>
      <c r="G157" s="2"/>
      <c r="H157" s="2"/>
      <c r="I157" s="9" t="s">
        <v>1</v>
      </c>
      <c r="J157" s="36" t="s">
        <v>1</v>
      </c>
      <c r="K157" s="9" t="s">
        <v>1</v>
      </c>
      <c r="L157" s="37" t="s">
        <v>1</v>
      </c>
      <c r="M157" s="2"/>
    </row>
    <row r="158" spans="1:13">
      <c r="A158" s="32" t="s">
        <v>259</v>
      </c>
      <c r="B158" s="32" t="s">
        <v>260</v>
      </c>
      <c r="C158" s="9" t="s">
        <v>1</v>
      </c>
      <c r="D158" s="43">
        <v>63800</v>
      </c>
      <c r="E158" s="9" t="s">
        <v>1</v>
      </c>
      <c r="F158" s="38" t="s">
        <v>1</v>
      </c>
      <c r="G158" s="2"/>
      <c r="H158" s="2"/>
      <c r="I158" s="9" t="s">
        <v>1</v>
      </c>
      <c r="J158" s="43">
        <v>63800</v>
      </c>
      <c r="K158" s="9" t="s">
        <v>1</v>
      </c>
      <c r="L158" s="38" t="s">
        <v>1</v>
      </c>
      <c r="M158" s="2"/>
    </row>
    <row r="159" spans="1:13">
      <c r="A159" s="35" t="s">
        <v>261</v>
      </c>
      <c r="B159" s="35" t="s">
        <v>81</v>
      </c>
      <c r="C159" s="9" t="s">
        <v>1</v>
      </c>
      <c r="D159" s="44">
        <v>3031620.38</v>
      </c>
      <c r="E159" s="9" t="s">
        <v>1</v>
      </c>
      <c r="F159" s="37" t="s">
        <v>1</v>
      </c>
      <c r="G159" s="2"/>
      <c r="H159" s="2"/>
      <c r="I159" s="9" t="s">
        <v>1</v>
      </c>
      <c r="J159" s="44">
        <v>3031620.38</v>
      </c>
      <c r="K159" s="9" t="s">
        <v>1</v>
      </c>
      <c r="L159" s="37" t="s">
        <v>1</v>
      </c>
      <c r="M159" s="2"/>
    </row>
    <row r="160" spans="1:13">
      <c r="A160" s="32" t="s">
        <v>262</v>
      </c>
      <c r="B160" s="32" t="s">
        <v>83</v>
      </c>
      <c r="C160" s="9" t="s">
        <v>1</v>
      </c>
      <c r="D160" s="33" t="s">
        <v>1</v>
      </c>
      <c r="E160" s="9" t="s">
        <v>1</v>
      </c>
      <c r="F160" s="38" t="s">
        <v>1</v>
      </c>
      <c r="G160" s="2"/>
      <c r="H160" s="2"/>
      <c r="I160" s="9" t="s">
        <v>1</v>
      </c>
      <c r="J160" s="33" t="s">
        <v>1</v>
      </c>
      <c r="K160" s="9" t="s">
        <v>1</v>
      </c>
      <c r="L160" s="38" t="s">
        <v>1</v>
      </c>
      <c r="M160" s="2"/>
    </row>
    <row r="161" spans="1:13">
      <c r="A161" s="35" t="s">
        <v>263</v>
      </c>
      <c r="B161" s="35" t="s">
        <v>85</v>
      </c>
      <c r="C161" s="9" t="s">
        <v>1</v>
      </c>
      <c r="D161" s="44">
        <v>1147920</v>
      </c>
      <c r="E161" s="9" t="s">
        <v>1</v>
      </c>
      <c r="F161" s="37" t="s">
        <v>1</v>
      </c>
      <c r="G161" s="2"/>
      <c r="H161" s="2"/>
      <c r="I161" s="9" t="s">
        <v>1</v>
      </c>
      <c r="J161" s="44">
        <v>1147920</v>
      </c>
      <c r="K161" s="9" t="s">
        <v>1</v>
      </c>
      <c r="L161" s="37" t="s">
        <v>1</v>
      </c>
      <c r="M161" s="2"/>
    </row>
    <row r="162" spans="1:13">
      <c r="A162" s="28" t="s">
        <v>264</v>
      </c>
      <c r="B162" s="28" t="s">
        <v>265</v>
      </c>
      <c r="C162" s="11" t="s">
        <v>1</v>
      </c>
      <c r="D162" s="40">
        <v>24269293.350000001</v>
      </c>
      <c r="E162" s="11" t="s">
        <v>1</v>
      </c>
      <c r="F162" s="41" t="s">
        <v>1</v>
      </c>
      <c r="G162" s="2"/>
      <c r="H162" s="2"/>
      <c r="I162" s="11" t="s">
        <v>1</v>
      </c>
      <c r="J162" s="40">
        <v>24269293.350000001</v>
      </c>
      <c r="K162" s="11" t="s">
        <v>1</v>
      </c>
      <c r="L162" s="41" t="s">
        <v>1</v>
      </c>
      <c r="M162" s="2"/>
    </row>
    <row r="163" spans="1:13">
      <c r="A163" s="35" t="s">
        <v>266</v>
      </c>
      <c r="B163" s="35" t="s">
        <v>97</v>
      </c>
      <c r="C163" s="9" t="s">
        <v>1</v>
      </c>
      <c r="D163" s="44">
        <v>15101017.119999999</v>
      </c>
      <c r="E163" s="9" t="s">
        <v>1</v>
      </c>
      <c r="F163" s="37" t="s">
        <v>1</v>
      </c>
      <c r="G163" s="2"/>
      <c r="H163" s="2"/>
      <c r="I163" s="9" t="s">
        <v>1</v>
      </c>
      <c r="J163" s="44">
        <v>15101017.119999999</v>
      </c>
      <c r="K163" s="9" t="s">
        <v>1</v>
      </c>
      <c r="L163" s="37" t="s">
        <v>1</v>
      </c>
      <c r="M163" s="2"/>
    </row>
    <row r="164" spans="1:13">
      <c r="A164" s="32" t="s">
        <v>267</v>
      </c>
      <c r="B164" s="32" t="s">
        <v>268</v>
      </c>
      <c r="C164" s="9" t="s">
        <v>1</v>
      </c>
      <c r="D164" s="43">
        <v>1078090</v>
      </c>
      <c r="E164" s="9" t="s">
        <v>1</v>
      </c>
      <c r="F164" s="38" t="s">
        <v>1</v>
      </c>
      <c r="G164" s="2"/>
      <c r="H164" s="2"/>
      <c r="I164" s="9" t="s">
        <v>1</v>
      </c>
      <c r="J164" s="43">
        <v>1078090</v>
      </c>
      <c r="K164" s="9" t="s">
        <v>1</v>
      </c>
      <c r="L164" s="38" t="s">
        <v>1</v>
      </c>
      <c r="M164" s="2"/>
    </row>
    <row r="165" spans="1:13">
      <c r="A165" s="35" t="s">
        <v>269</v>
      </c>
      <c r="B165" s="35" t="s">
        <v>107</v>
      </c>
      <c r="C165" s="9" t="s">
        <v>1</v>
      </c>
      <c r="D165" s="44">
        <v>485819</v>
      </c>
      <c r="E165" s="9" t="s">
        <v>1</v>
      </c>
      <c r="F165" s="37" t="s">
        <v>1</v>
      </c>
      <c r="G165" s="2"/>
      <c r="H165" s="2"/>
      <c r="I165" s="9" t="s">
        <v>1</v>
      </c>
      <c r="J165" s="44">
        <v>485819</v>
      </c>
      <c r="K165" s="9" t="s">
        <v>1</v>
      </c>
      <c r="L165" s="37" t="s">
        <v>1</v>
      </c>
      <c r="M165" s="2"/>
    </row>
    <row r="166" spans="1:13">
      <c r="A166" s="32" t="s">
        <v>270</v>
      </c>
      <c r="B166" s="32" t="s">
        <v>79</v>
      </c>
      <c r="C166" s="9" t="s">
        <v>1</v>
      </c>
      <c r="D166" s="33" t="s">
        <v>1</v>
      </c>
      <c r="E166" s="9" t="s">
        <v>1</v>
      </c>
      <c r="F166" s="38" t="s">
        <v>1</v>
      </c>
      <c r="G166" s="2"/>
      <c r="H166" s="2"/>
      <c r="I166" s="9" t="s">
        <v>1</v>
      </c>
      <c r="J166" s="33" t="s">
        <v>1</v>
      </c>
      <c r="K166" s="9" t="s">
        <v>1</v>
      </c>
      <c r="L166" s="38" t="s">
        <v>1</v>
      </c>
      <c r="M166" s="2"/>
    </row>
    <row r="167" spans="1:13">
      <c r="A167" s="35" t="s">
        <v>271</v>
      </c>
      <c r="B167" s="35" t="s">
        <v>81</v>
      </c>
      <c r="C167" s="9" t="s">
        <v>1</v>
      </c>
      <c r="D167" s="44">
        <v>3164375.14</v>
      </c>
      <c r="E167" s="9" t="s">
        <v>1</v>
      </c>
      <c r="F167" s="37" t="s">
        <v>1</v>
      </c>
      <c r="G167" s="2"/>
      <c r="H167" s="2"/>
      <c r="I167" s="9" t="s">
        <v>1</v>
      </c>
      <c r="J167" s="44">
        <v>3164375.14</v>
      </c>
      <c r="K167" s="9" t="s">
        <v>1</v>
      </c>
      <c r="L167" s="37" t="s">
        <v>1</v>
      </c>
      <c r="M167" s="2"/>
    </row>
    <row r="168" spans="1:13">
      <c r="A168" s="32" t="s">
        <v>272</v>
      </c>
      <c r="B168" s="32" t="s">
        <v>83</v>
      </c>
      <c r="C168" s="9" t="s">
        <v>1</v>
      </c>
      <c r="D168" s="43">
        <v>1646138.25</v>
      </c>
      <c r="E168" s="9" t="s">
        <v>1</v>
      </c>
      <c r="F168" s="38" t="s">
        <v>1</v>
      </c>
      <c r="G168" s="2"/>
      <c r="H168" s="2"/>
      <c r="I168" s="9" t="s">
        <v>1</v>
      </c>
      <c r="J168" s="43">
        <v>1646138.25</v>
      </c>
      <c r="K168" s="9" t="s">
        <v>1</v>
      </c>
      <c r="L168" s="38" t="s">
        <v>1</v>
      </c>
      <c r="M168" s="2"/>
    </row>
    <row r="169" spans="1:13">
      <c r="A169" s="35" t="s">
        <v>273</v>
      </c>
      <c r="B169" s="35" t="s">
        <v>85</v>
      </c>
      <c r="C169" s="9" t="s">
        <v>1</v>
      </c>
      <c r="D169" s="44">
        <v>1501601.68</v>
      </c>
      <c r="E169" s="9" t="s">
        <v>1</v>
      </c>
      <c r="F169" s="37" t="s">
        <v>1</v>
      </c>
      <c r="G169" s="2"/>
      <c r="H169" s="2"/>
      <c r="I169" s="9" t="s">
        <v>1</v>
      </c>
      <c r="J169" s="44">
        <v>1501601.68</v>
      </c>
      <c r="K169" s="9" t="s">
        <v>1</v>
      </c>
      <c r="L169" s="37" t="s">
        <v>1</v>
      </c>
      <c r="M169" s="2"/>
    </row>
    <row r="170" spans="1:13">
      <c r="A170" s="32" t="s">
        <v>274</v>
      </c>
      <c r="B170" s="32" t="s">
        <v>91</v>
      </c>
      <c r="C170" s="9" t="s">
        <v>1</v>
      </c>
      <c r="D170" s="43">
        <v>1292252.1599999999</v>
      </c>
      <c r="E170" s="9" t="s">
        <v>1</v>
      </c>
      <c r="F170" s="38" t="s">
        <v>1</v>
      </c>
      <c r="G170" s="2"/>
      <c r="H170" s="2"/>
      <c r="I170" s="9" t="s">
        <v>1</v>
      </c>
      <c r="J170" s="43">
        <v>1292252.1599999999</v>
      </c>
      <c r="K170" s="9" t="s">
        <v>1</v>
      </c>
      <c r="L170" s="38" t="s">
        <v>1</v>
      </c>
      <c r="M170" s="2"/>
    </row>
    <row r="171" spans="1:13">
      <c r="A171" s="35" t="s">
        <v>275</v>
      </c>
      <c r="B171" s="35" t="s">
        <v>276</v>
      </c>
      <c r="C171" s="9" t="s">
        <v>1</v>
      </c>
      <c r="D171" s="36" t="s">
        <v>1</v>
      </c>
      <c r="E171" s="9" t="s">
        <v>1</v>
      </c>
      <c r="F171" s="37" t="s">
        <v>1</v>
      </c>
      <c r="G171" s="2"/>
      <c r="H171" s="2"/>
      <c r="I171" s="9" t="s">
        <v>1</v>
      </c>
      <c r="J171" s="36" t="s">
        <v>1</v>
      </c>
      <c r="K171" s="9" t="s">
        <v>1</v>
      </c>
      <c r="L171" s="37" t="s">
        <v>1</v>
      </c>
      <c r="M171" s="2"/>
    </row>
    <row r="172" spans="1:13">
      <c r="A172" s="32" t="s">
        <v>277</v>
      </c>
      <c r="B172" s="32" t="s">
        <v>278</v>
      </c>
      <c r="C172" s="9" t="s">
        <v>1</v>
      </c>
      <c r="D172" s="33" t="s">
        <v>1</v>
      </c>
      <c r="E172" s="9" t="s">
        <v>1</v>
      </c>
      <c r="F172" s="38" t="s">
        <v>1</v>
      </c>
      <c r="G172" s="2"/>
      <c r="H172" s="2"/>
      <c r="I172" s="9" t="s">
        <v>1</v>
      </c>
      <c r="J172" s="33" t="s">
        <v>1</v>
      </c>
      <c r="K172" s="9" t="s">
        <v>1</v>
      </c>
      <c r="L172" s="38" t="s">
        <v>1</v>
      </c>
      <c r="M172" s="2"/>
    </row>
    <row r="173" spans="1:13">
      <c r="A173" s="35" t="s">
        <v>279</v>
      </c>
      <c r="B173" s="35" t="s">
        <v>280</v>
      </c>
      <c r="C173" s="9" t="s">
        <v>1</v>
      </c>
      <c r="D173" s="36" t="s">
        <v>1</v>
      </c>
      <c r="E173" s="9" t="s">
        <v>1</v>
      </c>
      <c r="F173" s="37" t="s">
        <v>1</v>
      </c>
      <c r="G173" s="2"/>
      <c r="H173" s="2"/>
      <c r="I173" s="9" t="s">
        <v>1</v>
      </c>
      <c r="J173" s="36" t="s">
        <v>1</v>
      </c>
      <c r="K173" s="9" t="s">
        <v>1</v>
      </c>
      <c r="L173" s="37" t="s">
        <v>1</v>
      </c>
      <c r="M173" s="2"/>
    </row>
    <row r="174" spans="1:13">
      <c r="A174" s="32" t="s">
        <v>281</v>
      </c>
      <c r="B174" s="32" t="s">
        <v>282</v>
      </c>
      <c r="C174" s="9" t="s">
        <v>1</v>
      </c>
      <c r="D174" s="33" t="s">
        <v>1</v>
      </c>
      <c r="E174" s="9" t="s">
        <v>1</v>
      </c>
      <c r="F174" s="38" t="s">
        <v>1</v>
      </c>
      <c r="G174" s="2"/>
      <c r="H174" s="2"/>
      <c r="I174" s="9" t="s">
        <v>1</v>
      </c>
      <c r="J174" s="33" t="s">
        <v>1</v>
      </c>
      <c r="K174" s="9" t="s">
        <v>1</v>
      </c>
      <c r="L174" s="38" t="s">
        <v>1</v>
      </c>
      <c r="M174" s="2"/>
    </row>
    <row r="175" spans="1:13">
      <c r="A175" s="35" t="s">
        <v>283</v>
      </c>
      <c r="B175" s="35" t="s">
        <v>284</v>
      </c>
      <c r="C175" s="9" t="s">
        <v>1</v>
      </c>
      <c r="D175" s="36" t="s">
        <v>1</v>
      </c>
      <c r="E175" s="9" t="s">
        <v>1</v>
      </c>
      <c r="F175" s="37" t="s">
        <v>1</v>
      </c>
      <c r="G175" s="2"/>
      <c r="H175" s="2"/>
      <c r="I175" s="9" t="s">
        <v>1</v>
      </c>
      <c r="J175" s="36" t="s">
        <v>1</v>
      </c>
      <c r="K175" s="9" t="s">
        <v>1</v>
      </c>
      <c r="L175" s="37" t="s">
        <v>1</v>
      </c>
      <c r="M175" s="2"/>
    </row>
    <row r="176" spans="1:13">
      <c r="A176" s="32" t="s">
        <v>285</v>
      </c>
      <c r="B176" s="32" t="s">
        <v>286</v>
      </c>
      <c r="C176" s="9" t="s">
        <v>1</v>
      </c>
      <c r="D176" s="33" t="s">
        <v>1</v>
      </c>
      <c r="E176" s="9" t="s">
        <v>1</v>
      </c>
      <c r="F176" s="38" t="s">
        <v>1</v>
      </c>
      <c r="G176" s="2"/>
      <c r="H176" s="2"/>
      <c r="I176" s="9" t="s">
        <v>1</v>
      </c>
      <c r="J176" s="33" t="s">
        <v>1</v>
      </c>
      <c r="K176" s="9" t="s">
        <v>1</v>
      </c>
      <c r="L176" s="38" t="s">
        <v>1</v>
      </c>
      <c r="M176" s="2"/>
    </row>
    <row r="177" spans="1:13">
      <c r="A177" s="35" t="s">
        <v>287</v>
      </c>
      <c r="B177" s="35" t="s">
        <v>288</v>
      </c>
      <c r="C177" s="9" t="s">
        <v>1</v>
      </c>
      <c r="D177" s="36" t="s">
        <v>1</v>
      </c>
      <c r="E177" s="9" t="s">
        <v>1</v>
      </c>
      <c r="F177" s="37" t="s">
        <v>1</v>
      </c>
      <c r="G177" s="2"/>
      <c r="H177" s="2"/>
      <c r="I177" s="9" t="s">
        <v>1</v>
      </c>
      <c r="J177" s="36" t="s">
        <v>1</v>
      </c>
      <c r="K177" s="9" t="s">
        <v>1</v>
      </c>
      <c r="L177" s="37" t="s">
        <v>1</v>
      </c>
      <c r="M177" s="2"/>
    </row>
    <row r="178" spans="1:13">
      <c r="A178" s="32" t="s">
        <v>289</v>
      </c>
      <c r="B178" s="32" t="s">
        <v>290</v>
      </c>
      <c r="C178" s="9" t="s">
        <v>1</v>
      </c>
      <c r="D178" s="43">
        <v>116140.52</v>
      </c>
      <c r="E178" s="9" t="s">
        <v>1</v>
      </c>
      <c r="F178" s="38" t="s">
        <v>1</v>
      </c>
      <c r="G178" s="2"/>
      <c r="H178" s="2"/>
      <c r="I178" s="9" t="s">
        <v>1</v>
      </c>
      <c r="J178" s="43">
        <v>116140.52</v>
      </c>
      <c r="K178" s="9" t="s">
        <v>1</v>
      </c>
      <c r="L178" s="38" t="s">
        <v>1</v>
      </c>
      <c r="M178" s="2"/>
    </row>
    <row r="179" spans="1:13">
      <c r="A179" s="35" t="s">
        <v>291</v>
      </c>
      <c r="B179" s="35" t="s">
        <v>292</v>
      </c>
      <c r="C179" s="9" t="s">
        <v>1</v>
      </c>
      <c r="D179" s="36" t="s">
        <v>1</v>
      </c>
      <c r="E179" s="9" t="s">
        <v>1</v>
      </c>
      <c r="F179" s="37" t="s">
        <v>1</v>
      </c>
      <c r="G179" s="2"/>
      <c r="H179" s="2"/>
      <c r="I179" s="9" t="s">
        <v>1</v>
      </c>
      <c r="J179" s="36" t="s">
        <v>1</v>
      </c>
      <c r="K179" s="9" t="s">
        <v>1</v>
      </c>
      <c r="L179" s="37" t="s">
        <v>1</v>
      </c>
      <c r="M179" s="2"/>
    </row>
    <row r="180" spans="1:13">
      <c r="A180" s="28" t="s">
        <v>293</v>
      </c>
      <c r="B180" s="28" t="s">
        <v>294</v>
      </c>
      <c r="C180" s="11" t="s">
        <v>1</v>
      </c>
      <c r="D180" s="29" t="s">
        <v>1</v>
      </c>
      <c r="E180" s="11" t="s">
        <v>1</v>
      </c>
      <c r="F180" s="41" t="s">
        <v>1</v>
      </c>
      <c r="G180" s="2"/>
      <c r="H180" s="2"/>
      <c r="I180" s="11" t="s">
        <v>1</v>
      </c>
      <c r="J180" s="29" t="s">
        <v>1</v>
      </c>
      <c r="K180" s="11" t="s">
        <v>1</v>
      </c>
      <c r="L180" s="41" t="s">
        <v>1</v>
      </c>
      <c r="M180" s="2"/>
    </row>
    <row r="181" spans="1:13">
      <c r="A181" s="25" t="s">
        <v>295</v>
      </c>
      <c r="B181" s="25" t="s">
        <v>296</v>
      </c>
      <c r="C181" s="11" t="s">
        <v>1</v>
      </c>
      <c r="D181" s="26" t="s">
        <v>1</v>
      </c>
      <c r="E181" s="11" t="s">
        <v>1</v>
      </c>
      <c r="F181" s="27" t="s">
        <v>1</v>
      </c>
      <c r="G181" s="2"/>
      <c r="H181" s="2"/>
      <c r="I181" s="11" t="s">
        <v>1</v>
      </c>
      <c r="J181" s="26" t="s">
        <v>1</v>
      </c>
      <c r="K181" s="11" t="s">
        <v>1</v>
      </c>
      <c r="L181" s="27" t="s">
        <v>1</v>
      </c>
      <c r="M181" s="2"/>
    </row>
    <row r="182" spans="1:13">
      <c r="A182" s="32" t="s">
        <v>297</v>
      </c>
      <c r="B182" s="32" t="s">
        <v>298</v>
      </c>
      <c r="C182" s="9" t="s">
        <v>1</v>
      </c>
      <c r="D182" s="43">
        <v>18574591.219999999</v>
      </c>
      <c r="E182" s="9" t="s">
        <v>1</v>
      </c>
      <c r="F182" s="38" t="s">
        <v>1</v>
      </c>
      <c r="G182" s="2"/>
      <c r="H182" s="2"/>
      <c r="I182" s="9" t="s">
        <v>1</v>
      </c>
      <c r="J182" s="33" t="s">
        <v>1</v>
      </c>
      <c r="K182" s="9" t="s">
        <v>1</v>
      </c>
      <c r="L182" s="34">
        <v>13423554.779999999</v>
      </c>
      <c r="M182" s="2"/>
    </row>
    <row r="183" spans="1:13">
      <c r="A183" s="35" t="s">
        <v>299</v>
      </c>
      <c r="B183" s="35" t="s">
        <v>300</v>
      </c>
      <c r="C183" s="9" t="s">
        <v>1</v>
      </c>
      <c r="D183" s="36" t="s">
        <v>1</v>
      </c>
      <c r="E183" s="9" t="s">
        <v>1</v>
      </c>
      <c r="F183" s="39">
        <v>18574591.219999999</v>
      </c>
      <c r="G183" s="2"/>
      <c r="H183" s="2"/>
      <c r="I183" s="9" t="s">
        <v>1</v>
      </c>
      <c r="J183" s="36" t="s">
        <v>1</v>
      </c>
      <c r="K183" s="9" t="s">
        <v>1</v>
      </c>
      <c r="L183" s="37" t="s">
        <v>1</v>
      </c>
      <c r="M183" s="2"/>
    </row>
    <row r="184" spans="1:13">
      <c r="A184" s="32" t="s">
        <v>301</v>
      </c>
      <c r="B184" s="32" t="s">
        <v>302</v>
      </c>
      <c r="C184" s="9" t="s">
        <v>1</v>
      </c>
      <c r="D184" s="33" t="s">
        <v>1</v>
      </c>
      <c r="E184" s="9" t="s">
        <v>1</v>
      </c>
      <c r="F184" s="38" t="s">
        <v>1</v>
      </c>
      <c r="G184" s="2"/>
      <c r="H184" s="2"/>
      <c r="I184" s="9" t="s">
        <v>1</v>
      </c>
      <c r="J184" s="33" t="s">
        <v>1</v>
      </c>
      <c r="K184" s="9" t="s">
        <v>1</v>
      </c>
      <c r="L184" s="38" t="s">
        <v>1</v>
      </c>
      <c r="M184" s="2"/>
    </row>
    <row r="185" spans="1:13">
      <c r="A185" s="25" t="s">
        <v>303</v>
      </c>
      <c r="B185" s="25" t="s">
        <v>304</v>
      </c>
      <c r="C185" s="11" t="s">
        <v>1</v>
      </c>
      <c r="D185" s="26" t="s">
        <v>1</v>
      </c>
      <c r="E185" s="11" t="s">
        <v>1</v>
      </c>
      <c r="F185" s="31">
        <v>52874849.880000003</v>
      </c>
      <c r="G185" s="2"/>
      <c r="H185" s="2"/>
      <c r="I185" s="11" t="s">
        <v>1</v>
      </c>
      <c r="J185" s="26" t="s">
        <v>1</v>
      </c>
      <c r="K185" s="11" t="s">
        <v>1</v>
      </c>
      <c r="L185" s="31">
        <v>66298404.659999996</v>
      </c>
      <c r="M185" s="2"/>
    </row>
    <row r="186" spans="1:13">
      <c r="A186" s="28" t="s">
        <v>305</v>
      </c>
      <c r="B186" s="28" t="s">
        <v>306</v>
      </c>
      <c r="C186" s="11" t="s">
        <v>1</v>
      </c>
      <c r="D186" s="40">
        <v>18600302.539999999</v>
      </c>
      <c r="E186" s="11" t="s">
        <v>1</v>
      </c>
      <c r="F186" s="41" t="s">
        <v>1</v>
      </c>
      <c r="G186" s="2"/>
      <c r="H186" s="2"/>
      <c r="I186" s="11" t="s">
        <v>1</v>
      </c>
      <c r="J186" s="29" t="s">
        <v>1</v>
      </c>
      <c r="K186" s="11" t="s">
        <v>1</v>
      </c>
      <c r="L186" s="30">
        <v>78308431.459999993</v>
      </c>
      <c r="M186" s="2"/>
    </row>
    <row r="187" spans="1:13">
      <c r="A187" s="35" t="s">
        <v>307</v>
      </c>
      <c r="B187" s="35" t="s">
        <v>308</v>
      </c>
      <c r="C187" s="9" t="s">
        <v>1</v>
      </c>
      <c r="D187" s="36" t="s">
        <v>1</v>
      </c>
      <c r="E187" s="9" t="s">
        <v>1</v>
      </c>
      <c r="F187" s="37" t="s">
        <v>1</v>
      </c>
      <c r="G187" s="2"/>
      <c r="H187" s="2"/>
      <c r="I187" s="9" t="s">
        <v>1</v>
      </c>
      <c r="J187" s="36" t="s">
        <v>1</v>
      </c>
      <c r="K187" s="9" t="s">
        <v>1</v>
      </c>
      <c r="L187" s="39">
        <v>4334445</v>
      </c>
      <c r="M187" s="2"/>
    </row>
    <row r="188" spans="1:13">
      <c r="A188" s="32" t="s">
        <v>309</v>
      </c>
      <c r="B188" s="32" t="s">
        <v>310</v>
      </c>
      <c r="C188" s="9" t="s">
        <v>1</v>
      </c>
      <c r="D188" s="43">
        <v>65428432.5</v>
      </c>
      <c r="E188" s="9" t="s">
        <v>1</v>
      </c>
      <c r="F188" s="38" t="s">
        <v>1</v>
      </c>
      <c r="G188" s="2"/>
      <c r="H188" s="2"/>
      <c r="I188" s="9" t="s">
        <v>1</v>
      </c>
      <c r="J188" s="33" t="s">
        <v>1</v>
      </c>
      <c r="K188" s="9" t="s">
        <v>1</v>
      </c>
      <c r="L188" s="34">
        <v>7675581</v>
      </c>
      <c r="M188" s="2"/>
    </row>
    <row r="189" spans="1:13">
      <c r="A189" s="35" t="s">
        <v>311</v>
      </c>
      <c r="B189" s="35" t="s">
        <v>312</v>
      </c>
      <c r="C189" s="9" t="s">
        <v>1</v>
      </c>
      <c r="D189" s="36" t="s">
        <v>1</v>
      </c>
      <c r="E189" s="9" t="s">
        <v>1</v>
      </c>
      <c r="F189" s="37" t="s">
        <v>1</v>
      </c>
      <c r="G189" s="2"/>
      <c r="H189" s="2"/>
      <c r="I189" s="9" t="s">
        <v>1</v>
      </c>
      <c r="J189" s="36" t="s">
        <v>1</v>
      </c>
      <c r="K189" s="9" t="s">
        <v>1</v>
      </c>
      <c r="L189" s="37" t="s">
        <v>1</v>
      </c>
      <c r="M189" s="2"/>
    </row>
    <row r="190" spans="1:13">
      <c r="A190" s="28" t="s">
        <v>313</v>
      </c>
      <c r="B190" s="28" t="s">
        <v>314</v>
      </c>
      <c r="C190" s="11" t="s">
        <v>1</v>
      </c>
      <c r="D190" s="40">
        <v>6046719.9199999999</v>
      </c>
      <c r="E190" s="11" t="s">
        <v>1</v>
      </c>
      <c r="F190" s="41" t="s">
        <v>1</v>
      </c>
      <c r="G190" s="2"/>
      <c r="H190" s="2"/>
      <c r="I190" s="11" t="s">
        <v>1</v>
      </c>
      <c r="J190" s="29" t="s">
        <v>1</v>
      </c>
      <c r="K190" s="11" t="s">
        <v>1</v>
      </c>
      <c r="L190" s="30">
        <v>0.8</v>
      </c>
      <c r="M190" s="2"/>
    </row>
    <row r="191" spans="1:13">
      <c r="A191" s="35" t="s">
        <v>315</v>
      </c>
      <c r="B191" s="35" t="s">
        <v>316</v>
      </c>
      <c r="C191" s="9" t="s">
        <v>1</v>
      </c>
      <c r="D191" s="44">
        <v>6046719.9199999999</v>
      </c>
      <c r="E191" s="9" t="s">
        <v>1</v>
      </c>
      <c r="F191" s="37" t="s">
        <v>1</v>
      </c>
      <c r="G191" s="2"/>
      <c r="H191" s="2"/>
      <c r="I191" s="9" t="s">
        <v>1</v>
      </c>
      <c r="J191" s="36" t="s">
        <v>1</v>
      </c>
      <c r="K191" s="9" t="s">
        <v>1</v>
      </c>
      <c r="L191" s="39">
        <v>0.8</v>
      </c>
      <c r="M191" s="2"/>
    </row>
    <row r="192" spans="1:13">
      <c r="A192" s="32" t="s">
        <v>317</v>
      </c>
      <c r="B192" s="32" t="s">
        <v>318</v>
      </c>
      <c r="C192" s="9" t="s">
        <v>1</v>
      </c>
      <c r="D192" s="33" t="s">
        <v>1</v>
      </c>
      <c r="E192" s="9" t="s">
        <v>1</v>
      </c>
      <c r="F192" s="38" t="s">
        <v>1</v>
      </c>
      <c r="G192" s="2"/>
      <c r="H192" s="2"/>
      <c r="I192" s="9" t="s">
        <v>1</v>
      </c>
      <c r="J192" s="33" t="s">
        <v>1</v>
      </c>
      <c r="K192" s="9" t="s">
        <v>1</v>
      </c>
      <c r="L192" s="38" t="s">
        <v>1</v>
      </c>
      <c r="M192" s="2"/>
    </row>
    <row r="193" spans="1:13">
      <c r="A193" s="35" t="s">
        <v>319</v>
      </c>
      <c r="B193" s="35" t="s">
        <v>320</v>
      </c>
      <c r="C193" s="9" t="s">
        <v>1</v>
      </c>
      <c r="D193" s="36" t="s">
        <v>1</v>
      </c>
      <c r="E193" s="9" t="s">
        <v>1</v>
      </c>
      <c r="F193" s="37" t="s">
        <v>1</v>
      </c>
      <c r="G193" s="2"/>
      <c r="H193" s="2"/>
      <c r="I193" s="9" t="s">
        <v>1</v>
      </c>
      <c r="J193" s="36" t="s">
        <v>1</v>
      </c>
      <c r="K193" s="9" t="s">
        <v>1</v>
      </c>
      <c r="L193" s="37" t="s">
        <v>1</v>
      </c>
      <c r="M193" s="2"/>
    </row>
    <row r="194" spans="1:13">
      <c r="A194" s="28" t="s">
        <v>321</v>
      </c>
      <c r="B194" s="28" t="s">
        <v>322</v>
      </c>
      <c r="C194" s="11" t="s">
        <v>1</v>
      </c>
      <c r="D194" s="29" t="s">
        <v>1</v>
      </c>
      <c r="E194" s="11" t="s">
        <v>1</v>
      </c>
      <c r="F194" s="30">
        <v>70080302.540000007</v>
      </c>
      <c r="G194" s="2"/>
      <c r="H194" s="2"/>
      <c r="I194" s="11" t="s">
        <v>1</v>
      </c>
      <c r="J194" s="40">
        <v>26828430.84</v>
      </c>
      <c r="K194" s="11" t="s">
        <v>1</v>
      </c>
      <c r="L194" s="41" t="s">
        <v>1</v>
      </c>
      <c r="M194" s="2"/>
    </row>
    <row r="195" spans="1:13">
      <c r="A195" s="25" t="s">
        <v>323</v>
      </c>
      <c r="B195" s="25" t="s">
        <v>324</v>
      </c>
      <c r="C195" s="11" t="s">
        <v>1</v>
      </c>
      <c r="D195" s="42">
        <v>114840</v>
      </c>
      <c r="E195" s="11" t="s">
        <v>1</v>
      </c>
      <c r="F195" s="27" t="s">
        <v>1</v>
      </c>
      <c r="G195" s="2"/>
      <c r="H195" s="2"/>
      <c r="I195" s="11" t="s">
        <v>1</v>
      </c>
      <c r="J195" s="42">
        <v>4449285</v>
      </c>
      <c r="K195" s="11" t="s">
        <v>1</v>
      </c>
      <c r="L195" s="27" t="s">
        <v>1</v>
      </c>
      <c r="M195" s="2"/>
    </row>
    <row r="196" spans="1:13">
      <c r="A196" s="28" t="s">
        <v>325</v>
      </c>
      <c r="B196" s="28" t="s">
        <v>326</v>
      </c>
      <c r="C196" s="11" t="s">
        <v>1</v>
      </c>
      <c r="D196" s="29" t="s">
        <v>1</v>
      </c>
      <c r="E196" s="11" t="s">
        <v>1</v>
      </c>
      <c r="F196" s="41" t="s">
        <v>1</v>
      </c>
      <c r="G196" s="2"/>
      <c r="H196" s="2"/>
      <c r="I196" s="11" t="s">
        <v>1</v>
      </c>
      <c r="J196" s="29" t="s">
        <v>1</v>
      </c>
      <c r="K196" s="11" t="s">
        <v>1</v>
      </c>
      <c r="L196" s="41" t="s">
        <v>1</v>
      </c>
      <c r="M196" s="2"/>
    </row>
    <row r="197" spans="1:13">
      <c r="A197" s="35" t="s">
        <v>327</v>
      </c>
      <c r="B197" s="35" t="s">
        <v>328</v>
      </c>
      <c r="C197" s="9" t="s">
        <v>1</v>
      </c>
      <c r="D197" s="36" t="s">
        <v>1</v>
      </c>
      <c r="E197" s="9" t="s">
        <v>1</v>
      </c>
      <c r="F197" s="37" t="s">
        <v>1</v>
      </c>
      <c r="G197" s="2"/>
      <c r="H197" s="2"/>
      <c r="I197" s="9" t="s">
        <v>1</v>
      </c>
      <c r="J197" s="36" t="s">
        <v>1</v>
      </c>
      <c r="K197" s="9" t="s">
        <v>1</v>
      </c>
      <c r="L197" s="37" t="s">
        <v>1</v>
      </c>
      <c r="M197" s="2"/>
    </row>
    <row r="198" spans="1:13">
      <c r="A198" s="32" t="s">
        <v>329</v>
      </c>
      <c r="B198" s="32" t="s">
        <v>330</v>
      </c>
      <c r="C198" s="9" t="s">
        <v>1</v>
      </c>
      <c r="D198" s="33" t="s">
        <v>1</v>
      </c>
      <c r="E198" s="9" t="s">
        <v>1</v>
      </c>
      <c r="F198" s="38" t="s">
        <v>1</v>
      </c>
      <c r="G198" s="2"/>
      <c r="H198" s="2"/>
      <c r="I198" s="9" t="s">
        <v>1</v>
      </c>
      <c r="J198" s="33" t="s">
        <v>1</v>
      </c>
      <c r="K198" s="9" t="s">
        <v>1</v>
      </c>
      <c r="L198" s="38" t="s">
        <v>1</v>
      </c>
      <c r="M198" s="2"/>
    </row>
    <row r="199" spans="1:13">
      <c r="A199" s="25" t="s">
        <v>331</v>
      </c>
      <c r="B199" s="25" t="s">
        <v>332</v>
      </c>
      <c r="C199" s="11" t="s">
        <v>1</v>
      </c>
      <c r="D199" s="26" t="s">
        <v>1</v>
      </c>
      <c r="E199" s="11" t="s">
        <v>1</v>
      </c>
      <c r="F199" s="27" t="s">
        <v>1</v>
      </c>
      <c r="G199" s="2"/>
      <c r="H199" s="2"/>
      <c r="I199" s="11" t="s">
        <v>1</v>
      </c>
      <c r="J199" s="26" t="s">
        <v>1</v>
      </c>
      <c r="K199" s="11" t="s">
        <v>1</v>
      </c>
      <c r="L199" s="27" t="s">
        <v>1</v>
      </c>
      <c r="M199" s="2"/>
    </row>
    <row r="200" spans="1:13">
      <c r="A200" s="32" t="s">
        <v>333</v>
      </c>
      <c r="B200" s="32" t="s">
        <v>334</v>
      </c>
      <c r="C200" s="9" t="s">
        <v>1</v>
      </c>
      <c r="D200" s="33" t="s">
        <v>1</v>
      </c>
      <c r="E200" s="9" t="s">
        <v>1</v>
      </c>
      <c r="F200" s="38" t="s">
        <v>1</v>
      </c>
      <c r="G200" s="2"/>
      <c r="H200" s="2"/>
      <c r="I200" s="9" t="s">
        <v>1</v>
      </c>
      <c r="J200" s="33" t="s">
        <v>1</v>
      </c>
      <c r="K200" s="9" t="s">
        <v>1</v>
      </c>
      <c r="L200" s="38" t="s">
        <v>1</v>
      </c>
      <c r="M200" s="2"/>
    </row>
    <row r="201" spans="1:13">
      <c r="A201" s="35" t="s">
        <v>335</v>
      </c>
      <c r="B201" s="35" t="s">
        <v>336</v>
      </c>
      <c r="C201" s="9" t="s">
        <v>1</v>
      </c>
      <c r="D201" s="36" t="s">
        <v>1</v>
      </c>
      <c r="E201" s="9" t="s">
        <v>1</v>
      </c>
      <c r="F201" s="37" t="s">
        <v>1</v>
      </c>
      <c r="G201" s="2"/>
      <c r="H201" s="2"/>
      <c r="I201" s="9" t="s">
        <v>1</v>
      </c>
      <c r="J201" s="36" t="s">
        <v>1</v>
      </c>
      <c r="K201" s="9" t="s">
        <v>1</v>
      </c>
      <c r="L201" s="37" t="s">
        <v>1</v>
      </c>
      <c r="M201" s="2"/>
    </row>
    <row r="202" spans="1:13">
      <c r="A202" s="28" t="s">
        <v>337</v>
      </c>
      <c r="B202" s="28" t="s">
        <v>338</v>
      </c>
      <c r="C202" s="11" t="s">
        <v>1</v>
      </c>
      <c r="D202" s="40">
        <v>114840</v>
      </c>
      <c r="E202" s="11" t="s">
        <v>1</v>
      </c>
      <c r="F202" s="41" t="s">
        <v>1</v>
      </c>
      <c r="G202" s="2"/>
      <c r="H202" s="2"/>
      <c r="I202" s="11" t="s">
        <v>1</v>
      </c>
      <c r="J202" s="40">
        <v>1386147</v>
      </c>
      <c r="K202" s="11" t="s">
        <v>1</v>
      </c>
      <c r="L202" s="41" t="s">
        <v>1</v>
      </c>
      <c r="M202" s="2"/>
    </row>
    <row r="203" spans="1:13">
      <c r="A203" s="35" t="s">
        <v>339</v>
      </c>
      <c r="B203" s="35" t="s">
        <v>340</v>
      </c>
      <c r="C203" s="9" t="s">
        <v>1</v>
      </c>
      <c r="D203" s="44">
        <v>114840</v>
      </c>
      <c r="E203" s="9" t="s">
        <v>1</v>
      </c>
      <c r="F203" s="37" t="s">
        <v>1</v>
      </c>
      <c r="G203" s="2"/>
      <c r="H203" s="2"/>
      <c r="I203" s="9" t="s">
        <v>1</v>
      </c>
      <c r="J203" s="44">
        <v>6917309</v>
      </c>
      <c r="K203" s="9" t="s">
        <v>1</v>
      </c>
      <c r="L203" s="37" t="s">
        <v>1</v>
      </c>
      <c r="M203" s="2"/>
    </row>
    <row r="204" spans="1:13">
      <c r="A204" s="32" t="s">
        <v>341</v>
      </c>
      <c r="B204" s="32" t="s">
        <v>342</v>
      </c>
      <c r="C204" s="9" t="s">
        <v>1</v>
      </c>
      <c r="D204" s="33" t="s">
        <v>1</v>
      </c>
      <c r="E204" s="9" t="s">
        <v>1</v>
      </c>
      <c r="F204" s="38" t="s">
        <v>1</v>
      </c>
      <c r="G204" s="2"/>
      <c r="H204" s="2"/>
      <c r="I204" s="9" t="s">
        <v>1</v>
      </c>
      <c r="J204" s="33" t="s">
        <v>1</v>
      </c>
      <c r="K204" s="9" t="s">
        <v>1</v>
      </c>
      <c r="L204" s="34">
        <v>5531162</v>
      </c>
      <c r="M204" s="2"/>
    </row>
    <row r="205" spans="1:13">
      <c r="A205" s="25" t="s">
        <v>343</v>
      </c>
      <c r="B205" s="25" t="s">
        <v>344</v>
      </c>
      <c r="C205" s="11" t="s">
        <v>1</v>
      </c>
      <c r="D205" s="26" t="s">
        <v>1</v>
      </c>
      <c r="E205" s="11" t="s">
        <v>1</v>
      </c>
      <c r="F205" s="27" t="s">
        <v>1</v>
      </c>
      <c r="G205" s="2"/>
      <c r="H205" s="2"/>
      <c r="I205" s="11" t="s">
        <v>1</v>
      </c>
      <c r="J205" s="26" t="s">
        <v>1</v>
      </c>
      <c r="K205" s="11" t="s">
        <v>1</v>
      </c>
      <c r="L205" s="27" t="s">
        <v>1</v>
      </c>
      <c r="M205" s="2"/>
    </row>
    <row r="206" spans="1:13">
      <c r="A206" s="32" t="s">
        <v>345</v>
      </c>
      <c r="B206" s="32" t="s">
        <v>346</v>
      </c>
      <c r="C206" s="9" t="s">
        <v>1</v>
      </c>
      <c r="D206" s="33" t="s">
        <v>1</v>
      </c>
      <c r="E206" s="9" t="s">
        <v>1</v>
      </c>
      <c r="F206" s="38" t="s">
        <v>1</v>
      </c>
      <c r="G206" s="2"/>
      <c r="H206" s="2"/>
      <c r="I206" s="9" t="s">
        <v>1</v>
      </c>
      <c r="J206" s="33" t="s">
        <v>1</v>
      </c>
      <c r="K206" s="9" t="s">
        <v>1</v>
      </c>
      <c r="L206" s="38" t="s">
        <v>1</v>
      </c>
      <c r="M206" s="2"/>
    </row>
    <row r="207" spans="1:13">
      <c r="A207" s="35" t="s">
        <v>347</v>
      </c>
      <c r="B207" s="35" t="s">
        <v>348</v>
      </c>
      <c r="C207" s="9" t="s">
        <v>1</v>
      </c>
      <c r="D207" s="36" t="s">
        <v>1</v>
      </c>
      <c r="E207" s="9" t="s">
        <v>1</v>
      </c>
      <c r="F207" s="37" t="s">
        <v>1</v>
      </c>
      <c r="G207" s="2"/>
      <c r="H207" s="2"/>
      <c r="I207" s="9" t="s">
        <v>1</v>
      </c>
      <c r="J207" s="36" t="s">
        <v>1</v>
      </c>
      <c r="K207" s="9" t="s">
        <v>1</v>
      </c>
      <c r="L207" s="37" t="s">
        <v>1</v>
      </c>
      <c r="M207" s="2"/>
    </row>
    <row r="208" spans="1:13">
      <c r="A208" s="28" t="s">
        <v>349</v>
      </c>
      <c r="B208" s="28" t="s">
        <v>350</v>
      </c>
      <c r="C208" s="11" t="s">
        <v>1</v>
      </c>
      <c r="D208" s="29" t="s">
        <v>1</v>
      </c>
      <c r="E208" s="11" t="s">
        <v>1</v>
      </c>
      <c r="F208" s="41" t="s">
        <v>1</v>
      </c>
      <c r="G208" s="2"/>
      <c r="H208" s="2"/>
      <c r="I208" s="11" t="s">
        <v>1</v>
      </c>
      <c r="J208" s="40">
        <v>3063138</v>
      </c>
      <c r="K208" s="11" t="s">
        <v>1</v>
      </c>
      <c r="L208" s="41" t="s">
        <v>1</v>
      </c>
      <c r="M208" s="2"/>
    </row>
    <row r="209" spans="1:13">
      <c r="A209" s="35" t="s">
        <v>351</v>
      </c>
      <c r="B209" s="35" t="s">
        <v>352</v>
      </c>
      <c r="C209" s="9" t="s">
        <v>1</v>
      </c>
      <c r="D209" s="36" t="s">
        <v>1</v>
      </c>
      <c r="E209" s="9" t="s">
        <v>1</v>
      </c>
      <c r="F209" s="37" t="s">
        <v>1</v>
      </c>
      <c r="G209" s="2"/>
      <c r="H209" s="2"/>
      <c r="I209" s="9" t="s">
        <v>1</v>
      </c>
      <c r="J209" s="44">
        <v>7512577</v>
      </c>
      <c r="K209" s="9" t="s">
        <v>1</v>
      </c>
      <c r="L209" s="37" t="s">
        <v>1</v>
      </c>
      <c r="M209" s="2"/>
    </row>
    <row r="210" spans="1:13">
      <c r="A210" s="32" t="s">
        <v>353</v>
      </c>
      <c r="B210" s="32" t="s">
        <v>354</v>
      </c>
      <c r="C210" s="9" t="s">
        <v>1</v>
      </c>
      <c r="D210" s="33" t="s">
        <v>1</v>
      </c>
      <c r="E210" s="9" t="s">
        <v>1</v>
      </c>
      <c r="F210" s="38" t="s">
        <v>1</v>
      </c>
      <c r="G210" s="2"/>
      <c r="H210" s="2"/>
      <c r="I210" s="9" t="s">
        <v>1</v>
      </c>
      <c r="J210" s="33" t="s">
        <v>1</v>
      </c>
      <c r="K210" s="9" t="s">
        <v>1</v>
      </c>
      <c r="L210" s="34">
        <v>4449439</v>
      </c>
      <c r="M210" s="2"/>
    </row>
    <row r="211" spans="1:13">
      <c r="A211" s="25" t="s">
        <v>355</v>
      </c>
      <c r="B211" s="25" t="s">
        <v>356</v>
      </c>
      <c r="C211" s="11" t="s">
        <v>1</v>
      </c>
      <c r="D211" s="26" t="s">
        <v>1</v>
      </c>
      <c r="E211" s="11" t="s">
        <v>1</v>
      </c>
      <c r="F211" s="27" t="s">
        <v>1</v>
      </c>
      <c r="G211" s="2"/>
      <c r="H211" s="2"/>
      <c r="I211" s="11" t="s">
        <v>1</v>
      </c>
      <c r="J211" s="42">
        <v>69740</v>
      </c>
      <c r="K211" s="11" t="s">
        <v>1</v>
      </c>
      <c r="L211" s="27" t="s">
        <v>1</v>
      </c>
      <c r="M211" s="2"/>
    </row>
    <row r="212" spans="1:13">
      <c r="A212" s="32" t="s">
        <v>357</v>
      </c>
      <c r="B212" s="32" t="s">
        <v>358</v>
      </c>
      <c r="C212" s="9" t="s">
        <v>1</v>
      </c>
      <c r="D212" s="33" t="s">
        <v>1</v>
      </c>
      <c r="E212" s="9" t="s">
        <v>1</v>
      </c>
      <c r="F212" s="38" t="s">
        <v>1</v>
      </c>
      <c r="G212" s="2"/>
      <c r="H212" s="2"/>
      <c r="I212" s="9" t="s">
        <v>1</v>
      </c>
      <c r="J212" s="33" t="s">
        <v>1</v>
      </c>
      <c r="K212" s="9" t="s">
        <v>1</v>
      </c>
      <c r="L212" s="38" t="s">
        <v>1</v>
      </c>
      <c r="M212" s="2"/>
    </row>
    <row r="213" spans="1:13">
      <c r="A213" s="35" t="s">
        <v>359</v>
      </c>
      <c r="B213" s="35" t="s">
        <v>360</v>
      </c>
      <c r="C213" s="9" t="s">
        <v>1</v>
      </c>
      <c r="D213" s="36" t="s">
        <v>1</v>
      </c>
      <c r="E213" s="9" t="s">
        <v>1</v>
      </c>
      <c r="F213" s="37" t="s">
        <v>1</v>
      </c>
      <c r="G213" s="2"/>
      <c r="H213" s="2"/>
      <c r="I213" s="9" t="s">
        <v>1</v>
      </c>
      <c r="J213" s="36" t="s">
        <v>1</v>
      </c>
      <c r="K213" s="9" t="s">
        <v>1</v>
      </c>
      <c r="L213" s="37" t="s">
        <v>1</v>
      </c>
      <c r="M213" s="2"/>
    </row>
    <row r="214" spans="1:13">
      <c r="A214" s="32" t="s">
        <v>361</v>
      </c>
      <c r="B214" s="32" t="s">
        <v>362</v>
      </c>
      <c r="C214" s="9" t="s">
        <v>1</v>
      </c>
      <c r="D214" s="33" t="s">
        <v>1</v>
      </c>
      <c r="E214" s="9" t="s">
        <v>1</v>
      </c>
      <c r="F214" s="38" t="s">
        <v>1</v>
      </c>
      <c r="G214" s="2"/>
      <c r="H214" s="2"/>
      <c r="I214" s="9" t="s">
        <v>1</v>
      </c>
      <c r="J214" s="43">
        <v>69740</v>
      </c>
      <c r="K214" s="9" t="s">
        <v>1</v>
      </c>
      <c r="L214" s="38" t="s">
        <v>1</v>
      </c>
      <c r="M214" s="2"/>
    </row>
    <row r="215" spans="1:13">
      <c r="A215" s="25" t="s">
        <v>363</v>
      </c>
      <c r="B215" s="25" t="s">
        <v>364</v>
      </c>
      <c r="C215" s="11" t="s">
        <v>1</v>
      </c>
      <c r="D215" s="26" t="s">
        <v>1</v>
      </c>
      <c r="E215" s="11" t="s">
        <v>1</v>
      </c>
      <c r="F215" s="27" t="s">
        <v>1</v>
      </c>
      <c r="G215" s="2"/>
      <c r="H215" s="2"/>
      <c r="I215" s="11" t="s">
        <v>1</v>
      </c>
      <c r="J215" s="26" t="s">
        <v>1</v>
      </c>
      <c r="K215" s="11" t="s">
        <v>1</v>
      </c>
      <c r="L215" s="27" t="s">
        <v>1</v>
      </c>
      <c r="M215" s="2"/>
    </row>
    <row r="216" spans="1:13">
      <c r="A216" s="32" t="s">
        <v>365</v>
      </c>
      <c r="B216" s="32" t="s">
        <v>366</v>
      </c>
      <c r="C216" s="9" t="s">
        <v>1</v>
      </c>
      <c r="D216" s="33" t="s">
        <v>1</v>
      </c>
      <c r="E216" s="9" t="s">
        <v>1</v>
      </c>
      <c r="F216" s="38" t="s">
        <v>1</v>
      </c>
      <c r="G216" s="2"/>
      <c r="H216" s="2"/>
      <c r="I216" s="9" t="s">
        <v>1</v>
      </c>
      <c r="J216" s="43">
        <v>2107725</v>
      </c>
      <c r="K216" s="9" t="s">
        <v>1</v>
      </c>
      <c r="L216" s="38" t="s">
        <v>1</v>
      </c>
      <c r="M216" s="2"/>
    </row>
    <row r="217" spans="1:13">
      <c r="A217" s="35" t="s">
        <v>367</v>
      </c>
      <c r="B217" s="35" t="s">
        <v>368</v>
      </c>
      <c r="C217" s="9" t="s">
        <v>1</v>
      </c>
      <c r="D217" s="36" t="s">
        <v>1</v>
      </c>
      <c r="E217" s="9" t="s">
        <v>1</v>
      </c>
      <c r="F217" s="37" t="s">
        <v>1</v>
      </c>
      <c r="G217" s="2"/>
      <c r="H217" s="2"/>
      <c r="I217" s="9" t="s">
        <v>1</v>
      </c>
      <c r="J217" s="36" t="s">
        <v>1</v>
      </c>
      <c r="K217" s="9" t="s">
        <v>1</v>
      </c>
      <c r="L217" s="39">
        <v>2107725</v>
      </c>
      <c r="M217" s="2"/>
    </row>
    <row r="218" spans="1:13">
      <c r="A218" s="32" t="s">
        <v>369</v>
      </c>
      <c r="B218" s="32" t="s">
        <v>370</v>
      </c>
      <c r="C218" s="9" t="s">
        <v>1</v>
      </c>
      <c r="D218" s="33" t="s">
        <v>1</v>
      </c>
      <c r="E218" s="9" t="s">
        <v>1</v>
      </c>
      <c r="F218" s="38" t="s">
        <v>1</v>
      </c>
      <c r="G218" s="2"/>
      <c r="H218" s="2"/>
      <c r="I218" s="9" t="s">
        <v>1</v>
      </c>
      <c r="J218" s="33" t="s">
        <v>1</v>
      </c>
      <c r="K218" s="9" t="s">
        <v>1</v>
      </c>
      <c r="L218" s="38" t="s">
        <v>1</v>
      </c>
      <c r="M218" s="2"/>
    </row>
    <row r="219" spans="1:13">
      <c r="A219" s="35" t="s">
        <v>371</v>
      </c>
      <c r="B219" s="35" t="s">
        <v>372</v>
      </c>
      <c r="C219" s="9" t="s">
        <v>1</v>
      </c>
      <c r="D219" s="36" t="s">
        <v>1</v>
      </c>
      <c r="E219" s="9" t="s">
        <v>1</v>
      </c>
      <c r="F219" s="37" t="s">
        <v>1</v>
      </c>
      <c r="G219" s="2"/>
      <c r="H219" s="2"/>
      <c r="I219" s="9" t="s">
        <v>1</v>
      </c>
      <c r="J219" s="36" t="s">
        <v>1</v>
      </c>
      <c r="K219" s="9" t="s">
        <v>1</v>
      </c>
      <c r="L219" s="37" t="s">
        <v>1</v>
      </c>
      <c r="M219" s="2"/>
    </row>
    <row r="220" spans="1:13">
      <c r="A220" s="28" t="s">
        <v>373</v>
      </c>
      <c r="B220" s="28" t="s">
        <v>374</v>
      </c>
      <c r="C220" s="11" t="s">
        <v>1</v>
      </c>
      <c r="D220" s="40">
        <v>131842.46</v>
      </c>
      <c r="E220" s="11" t="s">
        <v>1</v>
      </c>
      <c r="F220" s="41" t="s">
        <v>1</v>
      </c>
      <c r="G220" s="2"/>
      <c r="H220" s="2"/>
      <c r="I220" s="11" t="s">
        <v>1</v>
      </c>
      <c r="J220" s="40">
        <v>1246064.26</v>
      </c>
      <c r="K220" s="11" t="s">
        <v>1</v>
      </c>
      <c r="L220" s="41" t="s">
        <v>1</v>
      </c>
      <c r="M220" s="2"/>
    </row>
    <row r="221" spans="1:13">
      <c r="A221" s="35" t="s">
        <v>375</v>
      </c>
      <c r="B221" s="35" t="s">
        <v>376</v>
      </c>
      <c r="C221" s="9" t="s">
        <v>1</v>
      </c>
      <c r="D221" s="44">
        <v>131842.46</v>
      </c>
      <c r="E221" s="9" t="s">
        <v>1</v>
      </c>
      <c r="F221" s="37" t="s">
        <v>1</v>
      </c>
      <c r="G221" s="2"/>
      <c r="H221" s="2"/>
      <c r="I221" s="9" t="s">
        <v>1</v>
      </c>
      <c r="J221" s="44">
        <v>1246064.26</v>
      </c>
      <c r="K221" s="9" t="s">
        <v>1</v>
      </c>
      <c r="L221" s="37" t="s">
        <v>1</v>
      </c>
      <c r="M221" s="2"/>
    </row>
    <row r="222" spans="1:13">
      <c r="A222" s="32" t="s">
        <v>377</v>
      </c>
      <c r="B222" s="32" t="s">
        <v>378</v>
      </c>
      <c r="C222" s="9" t="s">
        <v>1</v>
      </c>
      <c r="D222" s="33" t="s">
        <v>1</v>
      </c>
      <c r="E222" s="9" t="s">
        <v>1</v>
      </c>
      <c r="F222" s="38" t="s">
        <v>1</v>
      </c>
      <c r="G222" s="2"/>
      <c r="H222" s="2"/>
      <c r="I222" s="9" t="s">
        <v>1</v>
      </c>
      <c r="J222" s="33" t="s">
        <v>1</v>
      </c>
      <c r="K222" s="9" t="s">
        <v>1</v>
      </c>
      <c r="L222" s="38" t="s">
        <v>1</v>
      </c>
      <c r="M222" s="2"/>
    </row>
    <row r="223" spans="1:13">
      <c r="A223" s="35" t="s">
        <v>379</v>
      </c>
      <c r="B223" s="35" t="s">
        <v>380</v>
      </c>
      <c r="C223" s="9" t="s">
        <v>1</v>
      </c>
      <c r="D223" s="36" t="s">
        <v>1</v>
      </c>
      <c r="E223" s="9" t="s">
        <v>1</v>
      </c>
      <c r="F223" s="37" t="s">
        <v>1</v>
      </c>
      <c r="G223" s="2"/>
      <c r="H223" s="2"/>
      <c r="I223" s="9" t="s">
        <v>1</v>
      </c>
      <c r="J223" s="36" t="s">
        <v>1</v>
      </c>
      <c r="K223" s="9" t="s">
        <v>1</v>
      </c>
      <c r="L223" s="37" t="s">
        <v>1</v>
      </c>
      <c r="M223" s="2"/>
    </row>
    <row r="224" spans="1:13">
      <c r="A224" s="32" t="s">
        <v>381</v>
      </c>
      <c r="B224" s="32" t="s">
        <v>382</v>
      </c>
      <c r="C224" s="9" t="s">
        <v>1</v>
      </c>
      <c r="D224" s="33" t="s">
        <v>1</v>
      </c>
      <c r="E224" s="9" t="s">
        <v>1</v>
      </c>
      <c r="F224" s="38" t="s">
        <v>1</v>
      </c>
      <c r="G224" s="2"/>
      <c r="H224" s="2"/>
      <c r="I224" s="9" t="s">
        <v>1</v>
      </c>
      <c r="J224" s="33" t="s">
        <v>1</v>
      </c>
      <c r="K224" s="9" t="s">
        <v>1</v>
      </c>
      <c r="L224" s="38" t="s">
        <v>1</v>
      </c>
      <c r="M224" s="2"/>
    </row>
    <row r="225" spans="1:13">
      <c r="A225" s="25" t="s">
        <v>383</v>
      </c>
      <c r="B225" s="25" t="s">
        <v>384</v>
      </c>
      <c r="C225" s="11" t="s">
        <v>1</v>
      </c>
      <c r="D225" s="26" t="s">
        <v>1</v>
      </c>
      <c r="E225" s="11" t="s">
        <v>1</v>
      </c>
      <c r="F225" s="31">
        <v>52067663.990000002</v>
      </c>
      <c r="G225" s="2"/>
      <c r="H225" s="2"/>
      <c r="I225" s="11" t="s">
        <v>1</v>
      </c>
      <c r="J225" s="42">
        <v>24345220.309999999</v>
      </c>
      <c r="K225" s="11" t="s">
        <v>1</v>
      </c>
      <c r="L225" s="27" t="s">
        <v>1</v>
      </c>
      <c r="M225" s="2"/>
    </row>
    <row r="226" spans="1:13">
      <c r="A226" s="32" t="s">
        <v>385</v>
      </c>
      <c r="B226" s="32" t="s">
        <v>386</v>
      </c>
      <c r="C226" s="9" t="s">
        <v>1</v>
      </c>
      <c r="D226" s="43">
        <v>3613143.67</v>
      </c>
      <c r="E226" s="9" t="s">
        <v>1</v>
      </c>
      <c r="F226" s="38" t="s">
        <v>1</v>
      </c>
      <c r="G226" s="2"/>
      <c r="H226" s="2"/>
      <c r="I226" s="9" t="s">
        <v>1</v>
      </c>
      <c r="J226" s="43">
        <v>9092135.8499999996</v>
      </c>
      <c r="K226" s="9" t="s">
        <v>1</v>
      </c>
      <c r="L226" s="38" t="s">
        <v>1</v>
      </c>
      <c r="M226" s="2"/>
    </row>
    <row r="227" spans="1:13">
      <c r="A227" s="35" t="s">
        <v>387</v>
      </c>
      <c r="B227" s="35" t="s">
        <v>388</v>
      </c>
      <c r="C227" s="9" t="s">
        <v>1</v>
      </c>
      <c r="D227" s="44">
        <v>96993</v>
      </c>
      <c r="E227" s="9" t="s">
        <v>1</v>
      </c>
      <c r="F227" s="37" t="s">
        <v>1</v>
      </c>
      <c r="G227" s="2"/>
      <c r="H227" s="2"/>
      <c r="I227" s="9" t="s">
        <v>1</v>
      </c>
      <c r="J227" s="44">
        <v>142213</v>
      </c>
      <c r="K227" s="9" t="s">
        <v>1</v>
      </c>
      <c r="L227" s="37" t="s">
        <v>1</v>
      </c>
      <c r="M227" s="2"/>
    </row>
    <row r="228" spans="1:13">
      <c r="A228" s="32" t="s">
        <v>389</v>
      </c>
      <c r="B228" s="32" t="s">
        <v>390</v>
      </c>
      <c r="C228" s="9" t="s">
        <v>1</v>
      </c>
      <c r="D228" s="33" t="s">
        <v>1</v>
      </c>
      <c r="E228" s="9" t="s">
        <v>1</v>
      </c>
      <c r="F228" s="34">
        <v>55784599.890000001</v>
      </c>
      <c r="G228" s="2"/>
      <c r="H228" s="2"/>
      <c r="I228" s="9" t="s">
        <v>1</v>
      </c>
      <c r="J228" s="43">
        <v>15105874.210000001</v>
      </c>
      <c r="K228" s="9" t="s">
        <v>1</v>
      </c>
      <c r="L228" s="38" t="s">
        <v>1</v>
      </c>
      <c r="M228" s="2"/>
    </row>
    <row r="229" spans="1:13">
      <c r="A229" s="35" t="s">
        <v>391</v>
      </c>
      <c r="B229" s="35" t="s">
        <v>392</v>
      </c>
      <c r="C229" s="9" t="s">
        <v>1</v>
      </c>
      <c r="D229" s="44">
        <v>6799.23</v>
      </c>
      <c r="E229" s="9" t="s">
        <v>1</v>
      </c>
      <c r="F229" s="37" t="s">
        <v>1</v>
      </c>
      <c r="G229" s="2"/>
      <c r="H229" s="2"/>
      <c r="I229" s="9" t="s">
        <v>1</v>
      </c>
      <c r="J229" s="44">
        <v>4997.24</v>
      </c>
      <c r="K229" s="9" t="s">
        <v>1</v>
      </c>
      <c r="L229" s="37" t="s">
        <v>1</v>
      </c>
      <c r="M229" s="2"/>
    </row>
    <row r="230" spans="1:13">
      <c r="A230" s="32" t="s">
        <v>393</v>
      </c>
      <c r="B230" s="32" t="s">
        <v>394</v>
      </c>
      <c r="C230" s="9" t="s">
        <v>1</v>
      </c>
      <c r="D230" s="33" t="s">
        <v>1</v>
      </c>
      <c r="E230" s="9" t="s">
        <v>1</v>
      </c>
      <c r="F230" s="38" t="s">
        <v>1</v>
      </c>
      <c r="G230" s="2"/>
      <c r="H230" s="2"/>
      <c r="I230" s="9" t="s">
        <v>1</v>
      </c>
      <c r="J230" s="43">
        <v>0.01</v>
      </c>
      <c r="K230" s="9" t="s">
        <v>1</v>
      </c>
      <c r="L230" s="38" t="s">
        <v>1</v>
      </c>
      <c r="M230" s="2"/>
    </row>
    <row r="231" spans="1:13">
      <c r="A231" s="35" t="s">
        <v>395</v>
      </c>
      <c r="B231" s="35" t="s">
        <v>396</v>
      </c>
      <c r="C231" s="9" t="s">
        <v>1</v>
      </c>
      <c r="D231" s="36" t="s">
        <v>1</v>
      </c>
      <c r="E231" s="9" t="s">
        <v>1</v>
      </c>
      <c r="F231" s="39">
        <v>7883035.4500000002</v>
      </c>
      <c r="G231" s="2"/>
      <c r="H231" s="2"/>
      <c r="I231" s="9" t="s">
        <v>1</v>
      </c>
      <c r="J231" s="36" t="s">
        <v>1</v>
      </c>
      <c r="K231" s="9" t="s">
        <v>1</v>
      </c>
      <c r="L231" s="39">
        <v>3995553.98</v>
      </c>
      <c r="M231" s="2"/>
    </row>
    <row r="232" spans="1:13">
      <c r="A232" s="32" t="s">
        <v>397</v>
      </c>
      <c r="B232" s="32" t="s">
        <v>398</v>
      </c>
      <c r="C232" s="9" t="s">
        <v>1</v>
      </c>
      <c r="D232" s="33" t="s">
        <v>1</v>
      </c>
      <c r="E232" s="9" t="s">
        <v>1</v>
      </c>
      <c r="F232" s="34">
        <v>10376285.560000001</v>
      </c>
      <c r="G232" s="2"/>
      <c r="H232" s="2"/>
      <c r="I232" s="9" t="s">
        <v>1</v>
      </c>
      <c r="J232" s="43">
        <v>713675.25</v>
      </c>
      <c r="K232" s="9" t="s">
        <v>1</v>
      </c>
      <c r="L232" s="38" t="s">
        <v>1</v>
      </c>
      <c r="M232" s="2"/>
    </row>
    <row r="233" spans="1:13">
      <c r="A233" s="35" t="s">
        <v>399</v>
      </c>
      <c r="B233" s="35" t="s">
        <v>400</v>
      </c>
      <c r="C233" s="9" t="s">
        <v>1</v>
      </c>
      <c r="D233" s="44">
        <v>51480000</v>
      </c>
      <c r="E233" s="9" t="s">
        <v>1</v>
      </c>
      <c r="F233" s="37" t="s">
        <v>1</v>
      </c>
      <c r="G233" s="2"/>
      <c r="H233" s="2"/>
      <c r="I233" s="9" t="s">
        <v>1</v>
      </c>
      <c r="J233" s="44">
        <v>51480000</v>
      </c>
      <c r="K233" s="9" t="s">
        <v>1</v>
      </c>
      <c r="L233" s="37" t="s">
        <v>1</v>
      </c>
      <c r="M233" s="2"/>
    </row>
    <row r="234" spans="1:13">
      <c r="A234" s="32" t="s">
        <v>401</v>
      </c>
      <c r="B234" s="32" t="s">
        <v>402</v>
      </c>
      <c r="C234" s="9" t="s">
        <v>1</v>
      </c>
      <c r="D234" s="33" t="s">
        <v>1</v>
      </c>
      <c r="E234" s="9" t="s">
        <v>1</v>
      </c>
      <c r="F234" s="38" t="s">
        <v>1</v>
      </c>
      <c r="G234" s="2"/>
      <c r="H234" s="2"/>
      <c r="I234" s="9" t="s">
        <v>1</v>
      </c>
      <c r="J234" s="43">
        <v>0.62</v>
      </c>
      <c r="K234" s="9" t="s">
        <v>1</v>
      </c>
      <c r="L234" s="38" t="s">
        <v>1</v>
      </c>
      <c r="M234" s="2"/>
    </row>
  </sheetData>
  <mergeCells count="448">
    <mergeCell ref="F234:H234"/>
    <mergeCell ref="L234:M234"/>
    <mergeCell ref="F231:H231"/>
    <mergeCell ref="L231:M231"/>
    <mergeCell ref="F232:H232"/>
    <mergeCell ref="L232:M232"/>
    <mergeCell ref="F233:H233"/>
    <mergeCell ref="L233:M233"/>
    <mergeCell ref="F228:H228"/>
    <mergeCell ref="L228:M228"/>
    <mergeCell ref="F229:H229"/>
    <mergeCell ref="L229:M229"/>
    <mergeCell ref="F230:H230"/>
    <mergeCell ref="L230:M230"/>
    <mergeCell ref="F225:H225"/>
    <mergeCell ref="L225:M225"/>
    <mergeCell ref="F226:H226"/>
    <mergeCell ref="L226:M226"/>
    <mergeCell ref="F227:H227"/>
    <mergeCell ref="L227:M227"/>
    <mergeCell ref="F222:H222"/>
    <mergeCell ref="L222:M222"/>
    <mergeCell ref="F223:H223"/>
    <mergeCell ref="L223:M223"/>
    <mergeCell ref="F224:H224"/>
    <mergeCell ref="L224:M224"/>
    <mergeCell ref="F219:H219"/>
    <mergeCell ref="L219:M219"/>
    <mergeCell ref="F220:H220"/>
    <mergeCell ref="L220:M220"/>
    <mergeCell ref="F221:H221"/>
    <mergeCell ref="L221:M221"/>
    <mergeCell ref="F216:H216"/>
    <mergeCell ref="L216:M216"/>
    <mergeCell ref="F217:H217"/>
    <mergeCell ref="L217:M217"/>
    <mergeCell ref="F218:H218"/>
    <mergeCell ref="L218:M218"/>
    <mergeCell ref="F213:H213"/>
    <mergeCell ref="L213:M213"/>
    <mergeCell ref="F214:H214"/>
    <mergeCell ref="L214:M214"/>
    <mergeCell ref="F215:H215"/>
    <mergeCell ref="L215:M215"/>
    <mergeCell ref="F210:H210"/>
    <mergeCell ref="L210:M210"/>
    <mergeCell ref="F211:H211"/>
    <mergeCell ref="L211:M211"/>
    <mergeCell ref="F212:H212"/>
    <mergeCell ref="L212:M212"/>
    <mergeCell ref="F207:H207"/>
    <mergeCell ref="L207:M207"/>
    <mergeCell ref="F208:H208"/>
    <mergeCell ref="L208:M208"/>
    <mergeCell ref="F209:H209"/>
    <mergeCell ref="L209:M209"/>
    <mergeCell ref="F204:H204"/>
    <mergeCell ref="L204:M204"/>
    <mergeCell ref="F205:H205"/>
    <mergeCell ref="L205:M205"/>
    <mergeCell ref="F206:H206"/>
    <mergeCell ref="L206:M206"/>
    <mergeCell ref="F201:H201"/>
    <mergeCell ref="L201:M201"/>
    <mergeCell ref="F202:H202"/>
    <mergeCell ref="L202:M202"/>
    <mergeCell ref="F203:H203"/>
    <mergeCell ref="L203:M203"/>
    <mergeCell ref="F198:H198"/>
    <mergeCell ref="L198:M198"/>
    <mergeCell ref="F199:H199"/>
    <mergeCell ref="L199:M199"/>
    <mergeCell ref="F200:H200"/>
    <mergeCell ref="L200:M200"/>
    <mergeCell ref="F195:H195"/>
    <mergeCell ref="L195:M195"/>
    <mergeCell ref="F196:H196"/>
    <mergeCell ref="L196:M196"/>
    <mergeCell ref="F197:H197"/>
    <mergeCell ref="L197:M197"/>
    <mergeCell ref="F192:H192"/>
    <mergeCell ref="L192:M192"/>
    <mergeCell ref="F193:H193"/>
    <mergeCell ref="L193:M193"/>
    <mergeCell ref="F194:H194"/>
    <mergeCell ref="L194:M194"/>
    <mergeCell ref="F189:H189"/>
    <mergeCell ref="L189:M189"/>
    <mergeCell ref="F190:H190"/>
    <mergeCell ref="L190:M190"/>
    <mergeCell ref="F191:H191"/>
    <mergeCell ref="L191:M191"/>
    <mergeCell ref="F186:H186"/>
    <mergeCell ref="L186:M186"/>
    <mergeCell ref="F187:H187"/>
    <mergeCell ref="L187:M187"/>
    <mergeCell ref="F188:H188"/>
    <mergeCell ref="L188:M188"/>
    <mergeCell ref="F183:H183"/>
    <mergeCell ref="L183:M183"/>
    <mergeCell ref="F184:H184"/>
    <mergeCell ref="L184:M184"/>
    <mergeCell ref="F185:H185"/>
    <mergeCell ref="L185:M185"/>
    <mergeCell ref="F180:H180"/>
    <mergeCell ref="L180:M180"/>
    <mergeCell ref="F181:H181"/>
    <mergeCell ref="L181:M181"/>
    <mergeCell ref="F182:H182"/>
    <mergeCell ref="L182:M182"/>
    <mergeCell ref="F177:H177"/>
    <mergeCell ref="L177:M177"/>
    <mergeCell ref="F178:H178"/>
    <mergeCell ref="L178:M178"/>
    <mergeCell ref="F179:H179"/>
    <mergeCell ref="L179:M179"/>
    <mergeCell ref="F174:H174"/>
    <mergeCell ref="L174:M174"/>
    <mergeCell ref="F175:H175"/>
    <mergeCell ref="L175:M175"/>
    <mergeCell ref="F176:H176"/>
    <mergeCell ref="L176:M176"/>
    <mergeCell ref="F171:H171"/>
    <mergeCell ref="L171:M171"/>
    <mergeCell ref="F172:H172"/>
    <mergeCell ref="L172:M172"/>
    <mergeCell ref="F173:H173"/>
    <mergeCell ref="L173:M173"/>
    <mergeCell ref="F168:H168"/>
    <mergeCell ref="L168:M168"/>
    <mergeCell ref="F169:H169"/>
    <mergeCell ref="L169:M169"/>
    <mergeCell ref="F170:H170"/>
    <mergeCell ref="L170:M170"/>
    <mergeCell ref="F165:H165"/>
    <mergeCell ref="L165:M165"/>
    <mergeCell ref="F166:H166"/>
    <mergeCell ref="L166:M166"/>
    <mergeCell ref="F167:H167"/>
    <mergeCell ref="L167:M167"/>
    <mergeCell ref="F162:H162"/>
    <mergeCell ref="L162:M162"/>
    <mergeCell ref="F163:H163"/>
    <mergeCell ref="L163:M163"/>
    <mergeCell ref="F164:H164"/>
    <mergeCell ref="L164:M164"/>
    <mergeCell ref="F159:H159"/>
    <mergeCell ref="L159:M159"/>
    <mergeCell ref="F160:H160"/>
    <mergeCell ref="L160:M160"/>
    <mergeCell ref="F161:H161"/>
    <mergeCell ref="L161:M161"/>
    <mergeCell ref="F156:H156"/>
    <mergeCell ref="L156:M156"/>
    <mergeCell ref="F157:H157"/>
    <mergeCell ref="L157:M157"/>
    <mergeCell ref="F158:H158"/>
    <mergeCell ref="L158:M158"/>
    <mergeCell ref="F153:H153"/>
    <mergeCell ref="L153:M153"/>
    <mergeCell ref="F154:H154"/>
    <mergeCell ref="L154:M154"/>
    <mergeCell ref="F155:H155"/>
    <mergeCell ref="L155:M155"/>
    <mergeCell ref="F150:H150"/>
    <mergeCell ref="L150:M150"/>
    <mergeCell ref="F151:H151"/>
    <mergeCell ref="L151:M151"/>
    <mergeCell ref="F152:H152"/>
    <mergeCell ref="L152:M152"/>
    <mergeCell ref="F147:H147"/>
    <mergeCell ref="L147:M147"/>
    <mergeCell ref="F148:H148"/>
    <mergeCell ref="L148:M148"/>
    <mergeCell ref="F149:H149"/>
    <mergeCell ref="L149:M149"/>
    <mergeCell ref="F144:H144"/>
    <mergeCell ref="L144:M144"/>
    <mergeCell ref="F145:H145"/>
    <mergeCell ref="L145:M145"/>
    <mergeCell ref="F146:H146"/>
    <mergeCell ref="L146:M146"/>
    <mergeCell ref="F141:H141"/>
    <mergeCell ref="L141:M141"/>
    <mergeCell ref="F142:H142"/>
    <mergeCell ref="L142:M142"/>
    <mergeCell ref="F143:H143"/>
    <mergeCell ref="L143:M143"/>
    <mergeCell ref="F138:H138"/>
    <mergeCell ref="L138:M138"/>
    <mergeCell ref="F139:H139"/>
    <mergeCell ref="L139:M139"/>
    <mergeCell ref="F140:H140"/>
    <mergeCell ref="L140:M140"/>
    <mergeCell ref="F135:H135"/>
    <mergeCell ref="L135:M135"/>
    <mergeCell ref="F136:H136"/>
    <mergeCell ref="L136:M136"/>
    <mergeCell ref="F137:H137"/>
    <mergeCell ref="L137:M137"/>
    <mergeCell ref="F132:H132"/>
    <mergeCell ref="L132:M132"/>
    <mergeCell ref="F133:H133"/>
    <mergeCell ref="L133:M133"/>
    <mergeCell ref="F134:H134"/>
    <mergeCell ref="L134:M134"/>
    <mergeCell ref="F129:H129"/>
    <mergeCell ref="L129:M129"/>
    <mergeCell ref="F130:H130"/>
    <mergeCell ref="L130:M130"/>
    <mergeCell ref="F131:H131"/>
    <mergeCell ref="L131:M131"/>
    <mergeCell ref="F126:H126"/>
    <mergeCell ref="L126:M126"/>
    <mergeCell ref="F127:H127"/>
    <mergeCell ref="L127:M127"/>
    <mergeCell ref="F128:H128"/>
    <mergeCell ref="L128:M128"/>
    <mergeCell ref="F123:H123"/>
    <mergeCell ref="L123:M123"/>
    <mergeCell ref="F124:H124"/>
    <mergeCell ref="L124:M124"/>
    <mergeCell ref="F125:H125"/>
    <mergeCell ref="L125:M125"/>
    <mergeCell ref="F120:H120"/>
    <mergeCell ref="L120:M120"/>
    <mergeCell ref="F121:H121"/>
    <mergeCell ref="L121:M121"/>
    <mergeCell ref="F122:H122"/>
    <mergeCell ref="L122:M122"/>
    <mergeCell ref="F117:H117"/>
    <mergeCell ref="L117:M117"/>
    <mergeCell ref="F118:H118"/>
    <mergeCell ref="L118:M118"/>
    <mergeCell ref="F119:H119"/>
    <mergeCell ref="L119:M119"/>
    <mergeCell ref="F114:H114"/>
    <mergeCell ref="L114:M114"/>
    <mergeCell ref="F115:H115"/>
    <mergeCell ref="L115:M115"/>
    <mergeCell ref="F116:H116"/>
    <mergeCell ref="L116:M116"/>
    <mergeCell ref="F111:H111"/>
    <mergeCell ref="L111:M111"/>
    <mergeCell ref="F112:H112"/>
    <mergeCell ref="L112:M112"/>
    <mergeCell ref="F113:H113"/>
    <mergeCell ref="L113:M113"/>
    <mergeCell ref="F108:H108"/>
    <mergeCell ref="L108:M108"/>
    <mergeCell ref="F109:H109"/>
    <mergeCell ref="L109:M109"/>
    <mergeCell ref="F110:H110"/>
    <mergeCell ref="L110:M110"/>
    <mergeCell ref="F105:H105"/>
    <mergeCell ref="L105:M105"/>
    <mergeCell ref="F106:H106"/>
    <mergeCell ref="L106:M106"/>
    <mergeCell ref="F107:H107"/>
    <mergeCell ref="L107:M107"/>
    <mergeCell ref="F102:H102"/>
    <mergeCell ref="L102:M102"/>
    <mergeCell ref="F103:H103"/>
    <mergeCell ref="L103:M103"/>
    <mergeCell ref="F104:H104"/>
    <mergeCell ref="L104:M104"/>
    <mergeCell ref="F99:H99"/>
    <mergeCell ref="L99:M99"/>
    <mergeCell ref="F100:H100"/>
    <mergeCell ref="L100:M100"/>
    <mergeCell ref="F101:H101"/>
    <mergeCell ref="L101:M101"/>
    <mergeCell ref="F96:H96"/>
    <mergeCell ref="L96:M96"/>
    <mergeCell ref="F97:H97"/>
    <mergeCell ref="L97:M97"/>
    <mergeCell ref="F98:H98"/>
    <mergeCell ref="L98:M98"/>
    <mergeCell ref="F93:H93"/>
    <mergeCell ref="L93:M93"/>
    <mergeCell ref="F94:H94"/>
    <mergeCell ref="L94:M94"/>
    <mergeCell ref="F95:H95"/>
    <mergeCell ref="L95:M95"/>
    <mergeCell ref="F90:H90"/>
    <mergeCell ref="L90:M90"/>
    <mergeCell ref="F91:H91"/>
    <mergeCell ref="L91:M91"/>
    <mergeCell ref="F92:H92"/>
    <mergeCell ref="L92:M92"/>
    <mergeCell ref="F87:H87"/>
    <mergeCell ref="L87:M87"/>
    <mergeCell ref="F88:H88"/>
    <mergeCell ref="L88:M88"/>
    <mergeCell ref="F89:H89"/>
    <mergeCell ref="L89:M89"/>
    <mergeCell ref="F84:H84"/>
    <mergeCell ref="L84:M84"/>
    <mergeCell ref="F85:H85"/>
    <mergeCell ref="L85:M85"/>
    <mergeCell ref="F86:H86"/>
    <mergeCell ref="L86:M86"/>
    <mergeCell ref="F81:H81"/>
    <mergeCell ref="L81:M81"/>
    <mergeCell ref="F82:H82"/>
    <mergeCell ref="L82:M82"/>
    <mergeCell ref="F83:H83"/>
    <mergeCell ref="L83:M83"/>
    <mergeCell ref="F78:H78"/>
    <mergeCell ref="L78:M78"/>
    <mergeCell ref="F79:H79"/>
    <mergeCell ref="L79:M79"/>
    <mergeCell ref="F80:H80"/>
    <mergeCell ref="L80:M80"/>
    <mergeCell ref="F75:H75"/>
    <mergeCell ref="L75:M75"/>
    <mergeCell ref="F76:H76"/>
    <mergeCell ref="L76:M76"/>
    <mergeCell ref="F77:H77"/>
    <mergeCell ref="L77:M77"/>
    <mergeCell ref="F72:H72"/>
    <mergeCell ref="L72:M72"/>
    <mergeCell ref="F73:H73"/>
    <mergeCell ref="L73:M73"/>
    <mergeCell ref="F74:H74"/>
    <mergeCell ref="L74:M74"/>
    <mergeCell ref="F69:H69"/>
    <mergeCell ref="L69:M69"/>
    <mergeCell ref="F70:H70"/>
    <mergeCell ref="L70:M70"/>
    <mergeCell ref="F71:H71"/>
    <mergeCell ref="L71:M71"/>
    <mergeCell ref="F66:H66"/>
    <mergeCell ref="L66:M66"/>
    <mergeCell ref="F67:H67"/>
    <mergeCell ref="L67:M67"/>
    <mergeCell ref="F68:H68"/>
    <mergeCell ref="L68:M68"/>
    <mergeCell ref="F63:H63"/>
    <mergeCell ref="L63:M63"/>
    <mergeCell ref="F64:H64"/>
    <mergeCell ref="L64:M64"/>
    <mergeCell ref="F65:H65"/>
    <mergeCell ref="L65:M65"/>
    <mergeCell ref="F60:H60"/>
    <mergeCell ref="L60:M60"/>
    <mergeCell ref="F61:H61"/>
    <mergeCell ref="L61:M61"/>
    <mergeCell ref="F62:H62"/>
    <mergeCell ref="L62:M62"/>
    <mergeCell ref="F57:H57"/>
    <mergeCell ref="L57:M57"/>
    <mergeCell ref="F58:H58"/>
    <mergeCell ref="L58:M58"/>
    <mergeCell ref="F59:H59"/>
    <mergeCell ref="L59:M59"/>
    <mergeCell ref="F54:H54"/>
    <mergeCell ref="L54:M54"/>
    <mergeCell ref="F55:H55"/>
    <mergeCell ref="L55:M55"/>
    <mergeCell ref="F56:H56"/>
    <mergeCell ref="L56:M56"/>
    <mergeCell ref="F51:H51"/>
    <mergeCell ref="L51:M51"/>
    <mergeCell ref="F52:H52"/>
    <mergeCell ref="L52:M52"/>
    <mergeCell ref="F53:H53"/>
    <mergeCell ref="L53:M53"/>
    <mergeCell ref="F48:H48"/>
    <mergeCell ref="L48:M48"/>
    <mergeCell ref="F49:H49"/>
    <mergeCell ref="L49:M49"/>
    <mergeCell ref="F50:H50"/>
    <mergeCell ref="L50:M50"/>
    <mergeCell ref="F45:H45"/>
    <mergeCell ref="L45:M45"/>
    <mergeCell ref="F46:H46"/>
    <mergeCell ref="L46:M46"/>
    <mergeCell ref="F47:H47"/>
    <mergeCell ref="L47:M47"/>
    <mergeCell ref="F42:H42"/>
    <mergeCell ref="L42:M42"/>
    <mergeCell ref="F43:H43"/>
    <mergeCell ref="L43:M43"/>
    <mergeCell ref="F44:H44"/>
    <mergeCell ref="L44:M44"/>
    <mergeCell ref="F39:H39"/>
    <mergeCell ref="L39:M39"/>
    <mergeCell ref="F40:H40"/>
    <mergeCell ref="L40:M40"/>
    <mergeCell ref="F41:H41"/>
    <mergeCell ref="L41:M41"/>
    <mergeCell ref="F36:H36"/>
    <mergeCell ref="L36:M36"/>
    <mergeCell ref="F37:H37"/>
    <mergeCell ref="L37:M37"/>
    <mergeCell ref="F38:H38"/>
    <mergeCell ref="L38:M38"/>
    <mergeCell ref="F33:H33"/>
    <mergeCell ref="L33:M33"/>
    <mergeCell ref="F34:H34"/>
    <mergeCell ref="L34:M34"/>
    <mergeCell ref="F35:H35"/>
    <mergeCell ref="L35:M35"/>
    <mergeCell ref="F30:H30"/>
    <mergeCell ref="L30:M30"/>
    <mergeCell ref="F31:H31"/>
    <mergeCell ref="L31:M31"/>
    <mergeCell ref="F32:H32"/>
    <mergeCell ref="L32:M32"/>
    <mergeCell ref="F27:H27"/>
    <mergeCell ref="L27:M27"/>
    <mergeCell ref="F28:H28"/>
    <mergeCell ref="L28:M28"/>
    <mergeCell ref="F29:H29"/>
    <mergeCell ref="L29:M29"/>
    <mergeCell ref="F24:H24"/>
    <mergeCell ref="L24:M24"/>
    <mergeCell ref="F25:H25"/>
    <mergeCell ref="L25:M25"/>
    <mergeCell ref="F26:H26"/>
    <mergeCell ref="L26:M26"/>
    <mergeCell ref="F21:H21"/>
    <mergeCell ref="L21:M21"/>
    <mergeCell ref="F22:H22"/>
    <mergeCell ref="L22:M22"/>
    <mergeCell ref="F23:H23"/>
    <mergeCell ref="L23:M23"/>
    <mergeCell ref="F18:H18"/>
    <mergeCell ref="L18:M18"/>
    <mergeCell ref="F19:H19"/>
    <mergeCell ref="L19:M19"/>
    <mergeCell ref="F20:H20"/>
    <mergeCell ref="L20:M20"/>
    <mergeCell ref="A11:F12"/>
    <mergeCell ref="A14:F14"/>
    <mergeCell ref="A15:M15"/>
    <mergeCell ref="F16:H16"/>
    <mergeCell ref="L16:M16"/>
    <mergeCell ref="D17:H17"/>
    <mergeCell ref="J17:M17"/>
    <mergeCell ref="A1:F4"/>
    <mergeCell ref="H2:L2"/>
    <mergeCell ref="H3:L3"/>
    <mergeCell ref="H4:L5"/>
    <mergeCell ref="A5:F7"/>
    <mergeCell ref="H7:L8"/>
    <mergeCell ref="A8:F10"/>
  </mergeCells>
  <pageMargins left="0.59055118110236204" right="0.49212598425196902" top="0.39370078740157499" bottom="0.39370078740157499" header="0.39370078740157499" footer="0.39370078740157499"/>
  <pageSetup paperSize="9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c2dbf829-378d-44c1-b47a-1c043924ddf3}" enabled="0" method="" siteId="{c2dbf829-378d-44c1-b47a-1c043924ddf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Full Report  JULY 25 Report</vt:lpstr>
      <vt:lpstr>Trial Bal&amp;Budget 2025</vt:lpstr>
      <vt:lpstr>Trail Bal. JULY 2025</vt:lpstr>
      <vt:lpstr>'Trail Bal. JULY 2025'!Print_Titles</vt:lpstr>
      <vt:lpstr>'Trial Bal&amp;Budget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Kibue</dc:creator>
  <cp:lastModifiedBy>Francis Kibue</cp:lastModifiedBy>
  <dcterms:created xsi:type="dcterms:W3CDTF">2025-09-04T09:32:11Z</dcterms:created>
  <dcterms:modified xsi:type="dcterms:W3CDTF">2025-09-04T09:57:20Z</dcterms:modified>
</cp:coreProperties>
</file>