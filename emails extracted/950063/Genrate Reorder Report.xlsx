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aina\Downloads\"/>
    </mc:Choice>
  </mc:AlternateContent>
  <xr:revisionPtr revIDLastSave="0" documentId="13_ncr:1_{111E3F91-6313-4E8F-91D1-B67BEEB136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Name" sheetId="1" r:id="rId1"/>
    <sheet name="Inform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" i="1" l="1"/>
</calcChain>
</file>

<file path=xl/sharedStrings.xml><?xml version="1.0" encoding="utf-8"?>
<sst xmlns="http://schemas.openxmlformats.org/spreadsheetml/2006/main" count="98" uniqueCount="75">
  <si>
    <t>PRODUCT CODE</t>
  </si>
  <si>
    <t>PRODUCT DESC</t>
  </si>
  <si>
    <t>DESCRIPTION 2</t>
  </si>
  <si>
    <t>BRAND</t>
  </si>
  <si>
    <t>ITEM CATEGORY</t>
  </si>
  <si>
    <t>ITEM SUB CATEGORY</t>
  </si>
  <si>
    <t>SIZE</t>
  </si>
  <si>
    <t>PATTERN</t>
  </si>
  <si>
    <t>RIM DIAMETER</t>
  </si>
  <si>
    <t>Blocked</t>
  </si>
  <si>
    <t>Last Purchase Date</t>
  </si>
  <si>
    <t>Last Purchase Qty</t>
  </si>
  <si>
    <t>Last Purchase Currency</t>
  </si>
  <si>
    <t>01/12/24</t>
  </si>
  <si>
    <t>01/01/25</t>
  </si>
  <si>
    <t>01/02/25</t>
  </si>
  <si>
    <t>01/03/25</t>
  </si>
  <si>
    <t>01/04/25</t>
  </si>
  <si>
    <t>01/05/25</t>
  </si>
  <si>
    <t>01/06/25</t>
  </si>
  <si>
    <t>01/07/25</t>
  </si>
  <si>
    <t>01/08/25</t>
  </si>
  <si>
    <t>01/09/25</t>
  </si>
  <si>
    <t>01/10/25</t>
  </si>
  <si>
    <t>01/11/25</t>
  </si>
  <si>
    <t>6 MONTHS AVG</t>
  </si>
  <si>
    <t>3 MONTHS AVG</t>
  </si>
  <si>
    <t>STOCK</t>
  </si>
  <si>
    <t>STOCK COVER</t>
  </si>
  <si>
    <t>ON ORDER</t>
  </si>
  <si>
    <t>TOTAL STOCK</t>
  </si>
  <si>
    <t>UNIT COST</t>
  </si>
  <si>
    <t>LANDED COST(KSH)</t>
  </si>
  <si>
    <t>40HC</t>
  </si>
  <si>
    <t>Clearence</t>
  </si>
  <si>
    <t>HK1013885</t>
  </si>
  <si>
    <t>HANKOOK 245/45R19 Ventus S1 evo2 [K117B] RUNFLAT MO 98Y</t>
  </si>
  <si>
    <t/>
  </si>
  <si>
    <t>HANKOOK</t>
  </si>
  <si>
    <t>TYRE</t>
  </si>
  <si>
    <t>PASSENGER</t>
  </si>
  <si>
    <t>245/45R19</t>
  </si>
  <si>
    <t>K117B</t>
  </si>
  <si>
    <t>19</t>
  </si>
  <si>
    <t>No</t>
  </si>
  <si>
    <t>USD</t>
  </si>
  <si>
    <t>540</t>
  </si>
  <si>
    <t>HK1035835</t>
  </si>
  <si>
    <t>HANKOOK 235/60R18 Dynapro HP3 [RA55] XL 107V</t>
  </si>
  <si>
    <t>4X4</t>
  </si>
  <si>
    <t>235/60R18</t>
  </si>
  <si>
    <t>RA55</t>
  </si>
  <si>
    <t>18</t>
  </si>
  <si>
    <t>624</t>
  </si>
  <si>
    <t>HK2020798</t>
  </si>
  <si>
    <t>HANKOOK 235/85R16 Dynapro MT2 [RT05] LT 10PR 120/116Q</t>
  </si>
  <si>
    <t>235/85R16</t>
  </si>
  <si>
    <t>RT05</t>
  </si>
  <si>
    <t>16</t>
  </si>
  <si>
    <t>518</t>
  </si>
  <si>
    <t>HKD2022080</t>
  </si>
  <si>
    <t>HANKOOK 235/85R16 Dynapro AT2 Xtreme [RF12] LT 10PR 120/116S</t>
  </si>
  <si>
    <t>RF12</t>
  </si>
  <si>
    <t>600</t>
  </si>
  <si>
    <t>Company Name</t>
  </si>
  <si>
    <t>Silverstone Tyres Ltd</t>
  </si>
  <si>
    <t>Report Name</t>
  </si>
  <si>
    <t>INVENTORY REORDER REPORT</t>
  </si>
  <si>
    <t>Report No.</t>
  </si>
  <si>
    <t>50216</t>
  </si>
  <si>
    <t>User ID</t>
  </si>
  <si>
    <t>GEORGE@SILVERSTONE.CO.KE</t>
  </si>
  <si>
    <t>Date</t>
  </si>
  <si>
    <t>06/11/25</t>
  </si>
  <si>
    <t>Item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</si>
</sst>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/>
    <xf numFmtId="49" fontId="0" fillId="0" borderId="0" xfId="0" applyNumberFormat="1"/>
    <xf numFmtId="14" fontId="0" fillId="0" borderId="0" xfId="0" applyNumberFormat="1"/>
    <xf numFmtId="0" fontId="1" fillId="0" borderId="1" xfId="0" applyFont="1" applyBorder="1"/>
    <xf numFmtId="49" fontId="1" fillId="0" borderId="0" xfId="0" applyNumberFormat="1" applyFont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"/>
  <sheetViews>
    <sheetView tabSelected="1" workbookViewId="0">
      <selection activeCell="G13" sqref="G13"/>
    </sheetView>
  </sheetViews>
  <sheetFormatPr defaultRowHeight="14.4" x14ac:dyDescent="0.3"/>
  <cols>
    <col min="9" max="9" width="3.5546875" customWidth="1"/>
    <col min="14" max="23" width="4.5546875" customWidth="1"/>
    <col min="24" max="24" width="8.88671875" style="8"/>
    <col min="25" max="25" width="5.88671875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6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3">
        <v>45755</v>
      </c>
      <c r="L2">
        <v>40</v>
      </c>
      <c r="M2" s="2" t="s">
        <v>45</v>
      </c>
      <c r="N2" s="4">
        <v>0</v>
      </c>
      <c r="O2" s="4">
        <v>0</v>
      </c>
      <c r="P2" s="4">
        <v>0</v>
      </c>
      <c r="Q2" s="4">
        <v>0</v>
      </c>
      <c r="R2" s="4">
        <v>1</v>
      </c>
      <c r="S2" s="4">
        <v>8</v>
      </c>
      <c r="T2" s="4">
        <v>12</v>
      </c>
      <c r="U2" s="4">
        <v>6</v>
      </c>
      <c r="V2" s="4">
        <v>6</v>
      </c>
      <c r="W2" s="4">
        <v>3</v>
      </c>
      <c r="X2" s="7">
        <v>2</v>
      </c>
      <c r="Y2" s="4">
        <v>0</v>
      </c>
      <c r="Z2" s="4">
        <v>5</v>
      </c>
      <c r="AA2" s="4">
        <v>2</v>
      </c>
      <c r="AB2" s="4">
        <v>0</v>
      </c>
      <c r="AC2" s="4">
        <v>0</v>
      </c>
      <c r="AD2" s="4">
        <v>44</v>
      </c>
      <c r="AE2" s="4">
        <v>44</v>
      </c>
      <c r="AF2" s="4">
        <v>18043.47</v>
      </c>
      <c r="AG2" s="4">
        <v>16966.001868518517</v>
      </c>
      <c r="AH2" s="2" t="s">
        <v>46</v>
      </c>
      <c r="AI2" s="2" t="s">
        <v>44</v>
      </c>
    </row>
    <row r="3" spans="1:35" x14ac:dyDescent="0.3">
      <c r="A3" s="2" t="s">
        <v>47</v>
      </c>
      <c r="B3" s="2" t="s">
        <v>48</v>
      </c>
      <c r="C3" s="2" t="s">
        <v>37</v>
      </c>
      <c r="D3" s="2" t="s">
        <v>38</v>
      </c>
      <c r="E3" s="2" t="s">
        <v>39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44</v>
      </c>
      <c r="K3" s="3">
        <v>45916</v>
      </c>
      <c r="L3">
        <v>50</v>
      </c>
      <c r="M3" s="2" t="s">
        <v>45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8</v>
      </c>
      <c r="X3" s="7">
        <v>12</v>
      </c>
      <c r="Y3" s="4">
        <v>6</v>
      </c>
      <c r="Z3" s="4">
        <v>4</v>
      </c>
      <c r="AA3" s="4">
        <v>9</v>
      </c>
      <c r="AB3" s="4">
        <v>20</v>
      </c>
      <c r="AC3" s="4">
        <v>6</v>
      </c>
      <c r="AD3" s="4">
        <v>30</v>
      </c>
      <c r="AE3" s="4">
        <v>50</v>
      </c>
      <c r="AF3" s="4">
        <v>12115.82</v>
      </c>
      <c r="AG3" s="4">
        <v>12904.893898717948</v>
      </c>
      <c r="AH3" s="2" t="s">
        <v>53</v>
      </c>
      <c r="AI3" s="2" t="s">
        <v>44</v>
      </c>
    </row>
    <row r="4" spans="1:35" x14ac:dyDescent="0.3">
      <c r="A4" s="2" t="s">
        <v>54</v>
      </c>
      <c r="B4" s="2" t="s">
        <v>55</v>
      </c>
      <c r="C4" s="2" t="s">
        <v>37</v>
      </c>
      <c r="D4" s="2" t="s">
        <v>38</v>
      </c>
      <c r="E4" s="2" t="s">
        <v>39</v>
      </c>
      <c r="F4" s="2" t="s">
        <v>49</v>
      </c>
      <c r="G4" s="2" t="s">
        <v>56</v>
      </c>
      <c r="H4" s="2" t="s">
        <v>57</v>
      </c>
      <c r="I4" s="2" t="s">
        <v>58</v>
      </c>
      <c r="J4" s="2" t="s">
        <v>44</v>
      </c>
      <c r="K4" s="3">
        <v>45719</v>
      </c>
      <c r="L4">
        <v>309</v>
      </c>
      <c r="M4" s="2" t="s">
        <v>45</v>
      </c>
      <c r="N4" s="4">
        <v>0</v>
      </c>
      <c r="O4" s="4">
        <v>24</v>
      </c>
      <c r="P4" s="4">
        <v>22</v>
      </c>
      <c r="Q4" s="4">
        <v>26</v>
      </c>
      <c r="R4" s="4">
        <v>37</v>
      </c>
      <c r="S4" s="4">
        <v>33</v>
      </c>
      <c r="T4" s="4">
        <v>127</v>
      </c>
      <c r="U4" s="4">
        <v>162</v>
      </c>
      <c r="V4" s="4">
        <v>86</v>
      </c>
      <c r="W4" s="4">
        <v>35</v>
      </c>
      <c r="X4" s="7">
        <v>10</v>
      </c>
      <c r="Y4" s="4">
        <v>0</v>
      </c>
      <c r="Z4" s="4">
        <v>70</v>
      </c>
      <c r="AA4" s="4">
        <v>15</v>
      </c>
      <c r="AB4" s="4">
        <v>2</v>
      </c>
      <c r="AC4" s="4">
        <v>0</v>
      </c>
      <c r="AD4" s="4">
        <v>0</v>
      </c>
      <c r="AE4" s="4">
        <v>2</v>
      </c>
      <c r="AF4" s="4">
        <v>20629.34</v>
      </c>
      <c r="AG4" s="4">
        <v>21540.499290540542</v>
      </c>
      <c r="AH4" s="2" t="s">
        <v>59</v>
      </c>
      <c r="AI4" s="2" t="s">
        <v>44</v>
      </c>
    </row>
    <row r="5" spans="1:35" x14ac:dyDescent="0.3">
      <c r="A5" s="2" t="s">
        <v>60</v>
      </c>
      <c r="B5" s="2" t="s">
        <v>61</v>
      </c>
      <c r="C5" s="2" t="s">
        <v>37</v>
      </c>
      <c r="D5" s="2" t="s">
        <v>38</v>
      </c>
      <c r="E5" s="2" t="s">
        <v>39</v>
      </c>
      <c r="F5" s="2" t="s">
        <v>49</v>
      </c>
      <c r="G5" s="2" t="s">
        <v>56</v>
      </c>
      <c r="H5" s="2" t="s">
        <v>62</v>
      </c>
      <c r="I5" s="2" t="s">
        <v>58</v>
      </c>
      <c r="J5" s="2" t="s">
        <v>44</v>
      </c>
      <c r="K5" s="3">
        <v>45897</v>
      </c>
      <c r="L5">
        <v>100</v>
      </c>
      <c r="M5" s="2" t="s">
        <v>45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13</v>
      </c>
      <c r="X5" s="7">
        <v>16</v>
      </c>
      <c r="Y5" s="4">
        <v>0</v>
      </c>
      <c r="Z5" s="4">
        <v>5</v>
      </c>
      <c r="AA5" s="4">
        <v>10</v>
      </c>
      <c r="AB5" s="4">
        <v>51</v>
      </c>
      <c r="AC5" s="4">
        <v>10</v>
      </c>
      <c r="AD5" s="4">
        <v>78</v>
      </c>
      <c r="AE5" s="4">
        <v>129</v>
      </c>
      <c r="AF5" s="4">
        <v>15601.19</v>
      </c>
      <c r="AG5" s="4">
        <v>16459.954666666668</v>
      </c>
      <c r="AH5" s="2" t="s">
        <v>63</v>
      </c>
      <c r="AI5" s="2" t="s">
        <v>44</v>
      </c>
    </row>
    <row r="6" spans="1:35" x14ac:dyDescent="0.3">
      <c r="X6" s="8">
        <f>SUM(X2:X5)</f>
        <v>40</v>
      </c>
    </row>
  </sheetData>
  <pageMargins left="0.7" right="0.7" top="0.75" bottom="0.75" header="0.3" footer="0.3"/>
  <pageSetup paperSize="9" orientation="landscape"/>
  <headerFooter>
    <oddHeader>&amp;BINVENTORY REORDER REPORT&amp;B
Silverstone Tyres Ltd</oddHeader>
    <evenHeader>&amp;D
GEORGE@SILVERSTONE.CO.KE
Page &amp;P</even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s="5" t="s">
        <v>64</v>
      </c>
      <c r="B1" s="2" t="s">
        <v>65</v>
      </c>
    </row>
    <row r="2" spans="1:2" x14ac:dyDescent="0.3">
      <c r="A2" s="5" t="s">
        <v>66</v>
      </c>
      <c r="B2" s="2" t="s">
        <v>67</v>
      </c>
    </row>
    <row r="3" spans="1:2" x14ac:dyDescent="0.3">
      <c r="A3" s="5" t="s">
        <v>68</v>
      </c>
      <c r="B3" s="2" t="s">
        <v>69</v>
      </c>
    </row>
    <row r="4" spans="1:2" x14ac:dyDescent="0.3">
      <c r="A4" s="5" t="s">
        <v>70</v>
      </c>
      <c r="B4" s="2" t="s">
        <v>71</v>
      </c>
    </row>
    <row r="5" spans="1:2" x14ac:dyDescent="0.3">
      <c r="A5" s="5" t="s">
        <v>72</v>
      </c>
      <c r="B5" s="2" t="s">
        <v>73</v>
      </c>
    </row>
    <row r="6" spans="1:2" x14ac:dyDescent="0.3">
      <c r="A6" s="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SheetName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Maina</cp:lastModifiedBy>
  <dcterms:modified xsi:type="dcterms:W3CDTF">2025-11-06T06:24:24Z</dcterms:modified>
</cp:coreProperties>
</file>