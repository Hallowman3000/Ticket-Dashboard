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maina\Downloads\"/>
    </mc:Choice>
  </mc:AlternateContent>
  <xr:revisionPtr revIDLastSave="0" documentId="13_ncr:1_{72A64225-ADBA-4602-B2BA-6B0555FF9FC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  <sheet name="CaptionData" sheetId="2" r:id="rId2"/>
    <sheet name="Aggregated Metadata" sheetId="3" state="hidden" r:id="rId3"/>
    <sheet name="TranslationData" sheetId="4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0" i="1" l="1"/>
  <c r="D19" i="1"/>
  <c r="D8" i="1"/>
  <c r="D18" i="1"/>
  <c r="D13" i="1"/>
  <c r="D12" i="1"/>
  <c r="D11" i="1"/>
  <c r="D17" i="1"/>
  <c r="D16" i="1"/>
  <c r="D3" i="1"/>
  <c r="D2" i="1"/>
  <c r="D15" i="1"/>
  <c r="D10" i="1"/>
  <c r="D9" i="1"/>
  <c r="D14" i="1"/>
  <c r="D7" i="1"/>
  <c r="D6" i="1"/>
  <c r="D5" i="1"/>
  <c r="D4" i="1"/>
</calcChain>
</file>

<file path=xl/sharedStrings.xml><?xml version="1.0" encoding="utf-8"?>
<sst xmlns="http://schemas.openxmlformats.org/spreadsheetml/2006/main" count="430" uniqueCount="145">
  <si>
    <t>userId</t>
  </si>
  <si>
    <t>Picture</t>
  </si>
  <si>
    <t>No_</t>
  </si>
  <si>
    <t>ShowInvoicing</t>
  </si>
  <si>
    <t>CustName</t>
  </si>
  <si>
    <t>Cost_per_Unit</t>
  </si>
  <si>
    <t>Item_No_</t>
  </si>
  <si>
    <t>Document_Type</t>
  </si>
  <si>
    <t>DocDate</t>
  </si>
  <si>
    <t>Rim</t>
  </si>
  <si>
    <t>Pattern</t>
  </si>
  <si>
    <t>Size</t>
  </si>
  <si>
    <t>ItemSubCategory</t>
  </si>
  <si>
    <t>ItemCategory</t>
  </si>
  <si>
    <t>BrandText</t>
  </si>
  <si>
    <t>Description</t>
  </si>
  <si>
    <t>UnitPrice</t>
  </si>
  <si>
    <t>Salespers__Purch__Code</t>
  </si>
  <si>
    <t>DisccountGroup</t>
  </si>
  <si>
    <t>Sales_Amount__Actual_</t>
  </si>
  <si>
    <t>Cost_Amount__Actual_</t>
  </si>
  <si>
    <t>Discount_Amount</t>
  </si>
  <si>
    <t>Invoiced_Quantity</t>
  </si>
  <si>
    <t>Profit</t>
  </si>
  <si>
    <t>ProfitPercentage</t>
  </si>
  <si>
    <t>GEORGE@SILVERSTONE.CO.KE</t>
  </si>
  <si>
    <t>Binary data (32686 bytes)</t>
  </si>
  <si>
    <t>C0000001210</t>
  </si>
  <si>
    <t>CASH SALE</t>
  </si>
  <si>
    <t>HK1035835</t>
  </si>
  <si>
    <t>Sales Invoice</t>
  </si>
  <si>
    <t>31/10/25</t>
  </si>
  <si>
    <t>18</t>
  </si>
  <si>
    <t>RA55</t>
  </si>
  <si>
    <t>235/60R18</t>
  </si>
  <si>
    <t>4X4</t>
  </si>
  <si>
    <t>TYRE</t>
  </si>
  <si>
    <t>HANKOOK</t>
  </si>
  <si>
    <t>HANKOOK 235/60R18 Dynapro HP3 [RA55] XL 107V</t>
  </si>
  <si>
    <t>TCWL WESTLANDS</t>
  </si>
  <si>
    <t>Retail</t>
  </si>
  <si>
    <t>C0000002180</t>
  </si>
  <si>
    <t>GLACIER PRODUCTS LTD.</t>
  </si>
  <si>
    <t>16/10/25</t>
  </si>
  <si>
    <t>TCLR  Walk In</t>
  </si>
  <si>
    <t>C0000002890</t>
  </si>
  <si>
    <t>CONTIPARTNER CASH SALE - LUSAKA RD</t>
  </si>
  <si>
    <t>Service Invoice</t>
  </si>
  <si>
    <t>C0000004015</t>
  </si>
  <si>
    <t>AZAN ENTERPRISES</t>
  </si>
  <si>
    <t>08/10/25</t>
  </si>
  <si>
    <t>Patrick</t>
  </si>
  <si>
    <t>Dealer</t>
  </si>
  <si>
    <t>C0000005785</t>
  </si>
  <si>
    <t>POLLMAN'S TOURS AND SAFARIS LTD</t>
  </si>
  <si>
    <t>HKD2022080</t>
  </si>
  <si>
    <t>16</t>
  </si>
  <si>
    <t>RF12</t>
  </si>
  <si>
    <t>235/85R16</t>
  </si>
  <si>
    <t>HANKOOK 235/85R16 Dynapro AT2 Xtreme [RF12] LT 10PR 120/116S</t>
  </si>
  <si>
    <t>JOSEPH WAINAINA</t>
  </si>
  <si>
    <t>C0000006980</t>
  </si>
  <si>
    <t>SUNWORLD SAFARIS LTD</t>
  </si>
  <si>
    <t>HK2020798</t>
  </si>
  <si>
    <t>13/10/25</t>
  </si>
  <si>
    <t>RT05</t>
  </si>
  <si>
    <t>HANKOOK 235/85R16 Dynapro MT2 [RT05] LT 10PR 120/116Q</t>
  </si>
  <si>
    <t>MEEHIR SHAH</t>
  </si>
  <si>
    <t>Corporate Fleet</t>
  </si>
  <si>
    <t>C0000007025</t>
  </si>
  <si>
    <t>ASILIA KENYA LIMITED</t>
  </si>
  <si>
    <t>02/10/25</t>
  </si>
  <si>
    <t>C0000007660</t>
  </si>
  <si>
    <t>CONTIPARTNER - C/SALE - DENNIS PRITT RD</t>
  </si>
  <si>
    <t>HK1013885</t>
  </si>
  <si>
    <t>19</t>
  </si>
  <si>
    <t>K117B</t>
  </si>
  <si>
    <t>245/45R19</t>
  </si>
  <si>
    <t>PASSENGER</t>
  </si>
  <si>
    <t>HANKOOK 245/45R19 Ventus S1 evo2 [K117B] RUNFLAT MO 98Y</t>
  </si>
  <si>
    <t>TC DENNIS PRITT</t>
  </si>
  <si>
    <t>C0000007730</t>
  </si>
  <si>
    <t>XCEPTIONS TYRE CENTRE LIMITED</t>
  </si>
  <si>
    <t>Sales Credit Memo</t>
  </si>
  <si>
    <t>01/10/25</t>
  </si>
  <si>
    <t>Naftally</t>
  </si>
  <si>
    <t>C0000009390</t>
  </si>
  <si>
    <t>RENTCO AFRICA LIMITED</t>
  </si>
  <si>
    <t>22/10/25</t>
  </si>
  <si>
    <t>C0000009585</t>
  </si>
  <si>
    <t>CONTIPARTNER CASH SALE - SYOKIMAU</t>
  </si>
  <si>
    <t>TC - SYOKIMAU</t>
  </si>
  <si>
    <t>C0000009845</t>
  </si>
  <si>
    <t>TRAVEL SHOPPE CO. LTD</t>
  </si>
  <si>
    <t>SAAWAN SHAH</t>
  </si>
  <si>
    <t>Caption</t>
  </si>
  <si>
    <t>Value</t>
  </si>
  <si>
    <t/>
  </si>
  <si>
    <t>Report Property</t>
  </si>
  <si>
    <t>Report Property Value</t>
  </si>
  <si>
    <t>Request Property</t>
  </si>
  <si>
    <t>Request Property Value</t>
  </si>
  <si>
    <t>Request Page Option</t>
  </si>
  <si>
    <t>Request Page Option Value</t>
  </si>
  <si>
    <t>Filter</t>
  </si>
  <si>
    <t>Filter Value</t>
  </si>
  <si>
    <t>Extension ID</t>
  </si>
  <si>
    <t>96262353-10b8-4039-82a5-5bcf9fef5f00</t>
  </si>
  <si>
    <t>Tenant Id</t>
  </si>
  <si>
    <t>default</t>
  </si>
  <si>
    <t>Value Entry::Value Entry::2::Document Type</t>
  </si>
  <si>
    <t>2|12|4|13</t>
  </si>
  <si>
    <t>Extension Name</t>
  </si>
  <si>
    <t>DP GPL-STL Report by DataposIT</t>
  </si>
  <si>
    <t>Environment name</t>
  </si>
  <si>
    <t>Value Entry::Value Entry::0::Posting Date</t>
  </si>
  <si>
    <t>01/10/25..31/10/25</t>
  </si>
  <si>
    <t>Extension Publisher</t>
  </si>
  <si>
    <t>DataposIT</t>
  </si>
  <si>
    <t>Environment type</t>
  </si>
  <si>
    <t>Production</t>
  </si>
  <si>
    <t>Value Entry::Value Entry::0::Item No.</t>
  </si>
  <si>
    <t>HKD2022080|HK1035835|HK2020798|HK1013885</t>
  </si>
  <si>
    <t>Extension Version</t>
  </si>
  <si>
    <t>1.0.0.4</t>
  </si>
  <si>
    <t>Company name</t>
  </si>
  <si>
    <t>Silverstone Tyres Ltd</t>
  </si>
  <si>
    <t>Value Entry::Value Entry::0::Item Ledger Entry Type</t>
  </si>
  <si>
    <t>1</t>
  </si>
  <si>
    <t>Object ID</t>
  </si>
  <si>
    <t>Company Id</t>
  </si>
  <si>
    <t>{1844EADB-B72E-4A76-9B0D-BE4AD2CAB7A6}</t>
  </si>
  <si>
    <t>Value Entry::Value Entry::0::Source Type</t>
  </si>
  <si>
    <t>Object Name</t>
  </si>
  <si>
    <t>ItemSalesReport</t>
  </si>
  <si>
    <t>User name</t>
  </si>
  <si>
    <t>MAINA GEORGE-Lusaka-SL</t>
  </si>
  <si>
    <t>About This Report Title</t>
  </si>
  <si>
    <t>Date</t>
  </si>
  <si>
    <t>About This Report Text</t>
  </si>
  <si>
    <t>Language</t>
  </si>
  <si>
    <t>Report help link</t>
  </si>
  <si>
    <t>https://ALProject1.com/help/</t>
  </si>
  <si>
    <t>Format Region</t>
  </si>
  <si>
    <t>CaptionKey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</si>
</sst>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2" borderId="0" xfId="0" applyNumberFormat="1" applyFont="1" applyFill="1"/>
    <xf numFmtId="14" fontId="0" fillId="0" borderId="0" xfId="0" applyNumberFormat="1"/>
    <xf numFmtId="49" fontId="0" fillId="0" borderId="0" xfId="0" applyNumberFormat="1"/>
    <xf numFmtId="1" fontId="0" fillId="0" borderId="0" xfId="0" applyNumberFormat="1"/>
    <xf numFmtId="4" fontId="0" fillId="0" borderId="0" xfId="0" applyNumberFormat="1"/>
    <xf numFmtId="49" fontId="1" fillId="3" borderId="0" xfId="0" applyNumberFormat="1" applyFont="1" applyFill="1" applyAlignment="1">
      <alignment horizontal="center"/>
    </xf>
    <xf numFmtId="4" fontId="0" fillId="3" borderId="0" xfId="0" applyNumberFormat="1" applyFont="1" applyFill="1" applyAlignment="1">
      <alignment horizontal="center"/>
    </xf>
    <xf numFmtId="0" fontId="0" fillId="3" borderId="0" xfId="0" applyFont="1" applyFill="1" applyAlignment="1">
      <alignment horizontal="center"/>
    </xf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" displayName="Data" ref="A1:Y20" totalsRowCount="1">
  <autoFilter ref="A1:Y19" xr:uid="{00000000-0009-0000-0100-000001000000}"/>
  <sortState xmlns:xlrd2="http://schemas.microsoft.com/office/spreadsheetml/2017/richdata2" ref="A2:Y19">
    <sortCondition ref="G1:G19"/>
  </sortState>
  <tableColumns count="25">
    <tableColumn id="1" xr3:uid="{00000000-0010-0000-0000-000001000000}" name="userId"/>
    <tableColumn id="2" xr3:uid="{00000000-0010-0000-0000-000002000000}" name="Picture"/>
    <tableColumn id="3" xr3:uid="{00000000-0010-0000-0000-000003000000}" name="No_"/>
    <tableColumn id="4" xr3:uid="{00000000-0010-0000-0000-000004000000}" name="ShowInvoicing"/>
    <tableColumn id="5" xr3:uid="{00000000-0010-0000-0000-000005000000}" name="CustName"/>
    <tableColumn id="6" xr3:uid="{00000000-0010-0000-0000-000006000000}" name="Cost_per_Unit"/>
    <tableColumn id="7" xr3:uid="{00000000-0010-0000-0000-000007000000}" name="Item_No_"/>
    <tableColumn id="8" xr3:uid="{00000000-0010-0000-0000-000008000000}" name="Document_Type"/>
    <tableColumn id="9" xr3:uid="{00000000-0010-0000-0000-000009000000}" name="DocDate"/>
    <tableColumn id="10" xr3:uid="{00000000-0010-0000-0000-00000A000000}" name="Rim"/>
    <tableColumn id="11" xr3:uid="{00000000-0010-0000-0000-00000B000000}" name="Pattern"/>
    <tableColumn id="12" xr3:uid="{00000000-0010-0000-0000-00000C000000}" name="Size"/>
    <tableColumn id="13" xr3:uid="{00000000-0010-0000-0000-00000D000000}" name="ItemSubCategory"/>
    <tableColumn id="14" xr3:uid="{00000000-0010-0000-0000-00000E000000}" name="ItemCategory"/>
    <tableColumn id="15" xr3:uid="{00000000-0010-0000-0000-00000F000000}" name="BrandText"/>
    <tableColumn id="16" xr3:uid="{00000000-0010-0000-0000-000010000000}" name="Description"/>
    <tableColumn id="17" xr3:uid="{00000000-0010-0000-0000-000011000000}" name="UnitPrice"/>
    <tableColumn id="18" xr3:uid="{00000000-0010-0000-0000-000012000000}" name="Salespers__Purch__Code"/>
    <tableColumn id="19" xr3:uid="{00000000-0010-0000-0000-000013000000}" name="DisccountGroup"/>
    <tableColumn id="20" xr3:uid="{00000000-0010-0000-0000-000014000000}" name="Sales_Amount__Actual_"/>
    <tableColumn id="21" xr3:uid="{00000000-0010-0000-0000-000015000000}" name="Cost_Amount__Actual_"/>
    <tableColumn id="22" xr3:uid="{00000000-0010-0000-0000-000016000000}" name="Discount_Amount"/>
    <tableColumn id="23" xr3:uid="{00000000-0010-0000-0000-000017000000}" name="Invoiced_Quantity" totalsRowFunction="sum" dataDxfId="1" totalsRowDxfId="0"/>
    <tableColumn id="24" xr3:uid="{00000000-0010-0000-0000-000018000000}" name="Profit"/>
    <tableColumn id="25" xr3:uid="{00000000-0010-0000-0000-000019000000}" name="ProfitPercentag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aptionData" displayName="CaptionData" ref="A1:B2" totalsRowShown="0">
  <autoFilter ref="A1:B2" xr:uid="{00000000-0009-0000-0100-000002000000}"/>
  <tableColumns count="2">
    <tableColumn id="1" xr3:uid="{00000000-0010-0000-0100-000001000000}" name="Caption"/>
    <tableColumn id="2" xr3:uid="{00000000-0010-0000-0100-000002000000}" name="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eportMetadataValues" displayName="ReportMetadataValues" ref="A1:B10" totalsRowShown="0">
  <autoFilter ref="A1:B10" xr:uid="{00000000-0009-0000-0100-000003000000}"/>
  <tableColumns count="2">
    <tableColumn id="1" xr3:uid="{00000000-0010-0000-0200-000001000000}" name="Report Property"/>
    <tableColumn id="2" xr3:uid="{00000000-0010-0000-0200-000002000000}" name="Report Property Valu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eportRequestValues" displayName="ReportRequestValues" ref="D1:E10" totalsRowShown="0">
  <autoFilter ref="D1:E10" xr:uid="{00000000-0009-0000-0100-000004000000}"/>
  <tableColumns count="2">
    <tableColumn id="1" xr3:uid="{00000000-0010-0000-0300-000001000000}" name="Request Property"/>
    <tableColumn id="2" xr3:uid="{00000000-0010-0000-0300-000002000000}" name="Request Property Valu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ReportRequestPageValues" displayName="ReportRequestPageValues" ref="G1:H2" totalsRowShown="0">
  <autoFilter ref="G1:H2" xr:uid="{00000000-0009-0000-0100-000005000000}"/>
  <tableColumns count="2">
    <tableColumn id="1" xr3:uid="{00000000-0010-0000-0400-000001000000}" name="Request Page Option"/>
    <tableColumn id="2" xr3:uid="{00000000-0010-0000-0400-000002000000}" name="Request Page Option Valu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ReportFilterValues" displayName="ReportFilterValues" ref="J1:K6" totalsRowShown="0">
  <autoFilter ref="J1:K6" xr:uid="{00000000-0009-0000-0100-000006000000}"/>
  <tableColumns count="2">
    <tableColumn id="1" xr3:uid="{00000000-0010-0000-0500-000001000000}" name="Filter"/>
    <tableColumn id="2" xr3:uid="{00000000-0010-0000-0500-000002000000}" name="Filter Valu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ranslationData" displayName="TranslationData" ref="A1:C2" totalsRowShown="0">
  <autoFilter ref="A1:C2" xr:uid="{00000000-0009-0000-0100-000007000000}"/>
  <tableColumns count="3">
    <tableColumn id="1" xr3:uid="{00000000-0010-0000-0600-000001000000}" name="CaptionKey"/>
    <tableColumn id="2" xr3:uid="{00000000-0010-0000-0600-000002000000}" name="Language"/>
    <tableColumn id="3" xr3:uid="{00000000-0010-0000-0600-000003000000}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Relationship Id="rId4" Type="http://schemas.openxmlformats.org/officeDocument/2006/relationships/table" Target="../tables/table6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0"/>
  <sheetViews>
    <sheetView tabSelected="1" topLeftCell="M1" workbookViewId="0">
      <pane ySplit="1" topLeftCell="A2" activePane="bottomLeft" state="frozen"/>
      <selection pane="bottomLeft" activeCell="U24" sqref="U24"/>
    </sheetView>
  </sheetViews>
  <sheetFormatPr defaultRowHeight="14.4" x14ac:dyDescent="0.3"/>
  <cols>
    <col min="1" max="1" width="8.21875" bestFit="1" customWidth="1"/>
    <col min="2" max="2" width="9" bestFit="1" customWidth="1"/>
    <col min="3" max="3" width="6.33203125" bestFit="1" customWidth="1"/>
    <col min="4" max="4" width="15.44140625" bestFit="1" customWidth="1"/>
    <col min="5" max="5" width="11.77734375" bestFit="1" customWidth="1"/>
    <col min="6" max="6" width="15.44140625" bestFit="1" customWidth="1"/>
    <col min="7" max="7" width="11.44140625" bestFit="1" customWidth="1"/>
    <col min="8" max="8" width="17.21875" bestFit="1" customWidth="1"/>
    <col min="9" max="9" width="10.33203125" bestFit="1" customWidth="1"/>
    <col min="10" max="10" width="6.109375" bestFit="1" customWidth="1"/>
    <col min="11" max="11" width="9.33203125" bestFit="1" customWidth="1"/>
    <col min="12" max="12" width="11.109375" customWidth="1"/>
    <col min="13" max="13" width="17.88671875" bestFit="1" customWidth="1"/>
    <col min="14" max="14" width="14.6640625" bestFit="1" customWidth="1"/>
    <col min="15" max="15" width="11.77734375" bestFit="1" customWidth="1"/>
    <col min="16" max="16" width="12.77734375" bestFit="1" customWidth="1"/>
    <col min="17" max="17" width="10.77734375" bestFit="1" customWidth="1"/>
    <col min="18" max="18" width="24.77734375" bestFit="1" customWidth="1"/>
    <col min="19" max="19" width="16.88671875" bestFit="1" customWidth="1"/>
    <col min="20" max="20" width="24.109375" bestFit="1" customWidth="1"/>
    <col min="21" max="21" width="23.5546875" bestFit="1" customWidth="1"/>
    <col min="22" max="22" width="18.6640625" bestFit="1" customWidth="1"/>
    <col min="23" max="23" width="18.88671875" style="8" bestFit="1" customWidth="1"/>
    <col min="24" max="24" width="7.6640625" bestFit="1" customWidth="1"/>
    <col min="25" max="25" width="17.5546875" bestFit="1" customWidth="1"/>
  </cols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6" t="s">
        <v>22</v>
      </c>
      <c r="X1" s="1" t="s">
        <v>23</v>
      </c>
      <c r="Y1" s="1" t="s">
        <v>24</v>
      </c>
    </row>
    <row r="2" spans="1:25" x14ac:dyDescent="0.3">
      <c r="A2" s="3" t="s">
        <v>25</v>
      </c>
      <c r="B2" s="3" t="s">
        <v>26</v>
      </c>
      <c r="C2" s="3" t="s">
        <v>72</v>
      </c>
      <c r="D2" s="4" t="b">
        <f>TRUE()</f>
        <v>1</v>
      </c>
      <c r="E2" s="3" t="s">
        <v>73</v>
      </c>
      <c r="F2" s="5">
        <v>36026.660000000003</v>
      </c>
      <c r="G2" s="3" t="s">
        <v>74</v>
      </c>
      <c r="H2" s="3" t="s">
        <v>47</v>
      </c>
      <c r="I2" s="3" t="s">
        <v>71</v>
      </c>
      <c r="J2" s="3" t="s">
        <v>75</v>
      </c>
      <c r="K2" s="3" t="s">
        <v>76</v>
      </c>
      <c r="L2" s="3" t="s">
        <v>77</v>
      </c>
      <c r="M2" s="3" t="s">
        <v>78</v>
      </c>
      <c r="N2" s="3" t="s">
        <v>36</v>
      </c>
      <c r="O2" s="3" t="s">
        <v>37</v>
      </c>
      <c r="P2" s="3" t="s">
        <v>79</v>
      </c>
      <c r="Q2" s="5">
        <v>18013.330000000002</v>
      </c>
      <c r="R2" s="3" t="s">
        <v>80</v>
      </c>
      <c r="S2" s="3" t="s">
        <v>40</v>
      </c>
      <c r="T2" s="5">
        <v>57724.14</v>
      </c>
      <c r="U2" s="5">
        <v>36026.660000000003</v>
      </c>
      <c r="V2" s="5">
        <v>6413.79</v>
      </c>
      <c r="W2" s="7">
        <v>2</v>
      </c>
      <c r="X2" s="5">
        <v>21697.48</v>
      </c>
      <c r="Y2" s="5">
        <v>60.226176947849176</v>
      </c>
    </row>
    <row r="3" spans="1:25" x14ac:dyDescent="0.3">
      <c r="A3" s="3" t="s">
        <v>25</v>
      </c>
      <c r="B3" s="3" t="s">
        <v>26</v>
      </c>
      <c r="C3" s="3" t="s">
        <v>72</v>
      </c>
      <c r="D3" s="4" t="b">
        <f>TRUE()</f>
        <v>1</v>
      </c>
      <c r="E3" s="3" t="s">
        <v>73</v>
      </c>
      <c r="F3" s="5">
        <v>36086.94</v>
      </c>
      <c r="G3" s="3" t="s">
        <v>74</v>
      </c>
      <c r="H3" s="3" t="s">
        <v>47</v>
      </c>
      <c r="I3" s="3" t="s">
        <v>71</v>
      </c>
      <c r="J3" s="3" t="s">
        <v>75</v>
      </c>
      <c r="K3" s="3" t="s">
        <v>76</v>
      </c>
      <c r="L3" s="3" t="s">
        <v>77</v>
      </c>
      <c r="M3" s="3" t="s">
        <v>78</v>
      </c>
      <c r="N3" s="3" t="s">
        <v>36</v>
      </c>
      <c r="O3" s="3" t="s">
        <v>37</v>
      </c>
      <c r="P3" s="3" t="s">
        <v>79</v>
      </c>
      <c r="Q3" s="5">
        <v>18043.47</v>
      </c>
      <c r="R3" s="3" t="s">
        <v>80</v>
      </c>
      <c r="S3" s="3" t="s">
        <v>40</v>
      </c>
      <c r="T3" s="5">
        <v>57724.14</v>
      </c>
      <c r="U3" s="5">
        <v>36086.94</v>
      </c>
      <c r="V3" s="5">
        <v>6413.79</v>
      </c>
      <c r="W3" s="7">
        <v>2</v>
      </c>
      <c r="X3" s="5">
        <v>21637.200000000001</v>
      </c>
      <c r="Y3" s="5">
        <v>59.958533474991228</v>
      </c>
    </row>
    <row r="4" spans="1:25" x14ac:dyDescent="0.3">
      <c r="A4" s="3" t="s">
        <v>25</v>
      </c>
      <c r="B4" s="3" t="s">
        <v>26</v>
      </c>
      <c r="C4" s="3" t="s">
        <v>27</v>
      </c>
      <c r="D4" s="4" t="b">
        <f>TRUE()</f>
        <v>1</v>
      </c>
      <c r="E4" s="3" t="s">
        <v>28</v>
      </c>
      <c r="F4" s="5">
        <v>48463.28</v>
      </c>
      <c r="G4" s="3" t="s">
        <v>29</v>
      </c>
      <c r="H4" s="3" t="s">
        <v>30</v>
      </c>
      <c r="I4" s="3" t="s">
        <v>31</v>
      </c>
      <c r="J4" s="3" t="s">
        <v>32</v>
      </c>
      <c r="K4" s="3" t="s">
        <v>33</v>
      </c>
      <c r="L4" s="3" t="s">
        <v>34</v>
      </c>
      <c r="M4" s="3" t="s">
        <v>35</v>
      </c>
      <c r="N4" s="3" t="s">
        <v>36</v>
      </c>
      <c r="O4" s="3" t="s">
        <v>37</v>
      </c>
      <c r="P4" s="3" t="s">
        <v>38</v>
      </c>
      <c r="Q4" s="5">
        <v>12115.82</v>
      </c>
      <c r="R4" s="3" t="s">
        <v>39</v>
      </c>
      <c r="S4" s="3" t="s">
        <v>40</v>
      </c>
      <c r="T4" s="5">
        <v>76060.34</v>
      </c>
      <c r="U4" s="5">
        <v>48463.28</v>
      </c>
      <c r="V4" s="5">
        <v>13422.41</v>
      </c>
      <c r="W4" s="7">
        <v>4</v>
      </c>
      <c r="X4" s="5">
        <v>27597.06</v>
      </c>
      <c r="Y4" s="5">
        <v>56.944267907578684</v>
      </c>
    </row>
    <row r="5" spans="1:25" x14ac:dyDescent="0.3">
      <c r="A5" s="3" t="s">
        <v>25</v>
      </c>
      <c r="B5" s="3" t="s">
        <v>26</v>
      </c>
      <c r="C5" s="3" t="s">
        <v>41</v>
      </c>
      <c r="D5" s="4" t="b">
        <f>TRUE()</f>
        <v>1</v>
      </c>
      <c r="E5" s="3" t="s">
        <v>42</v>
      </c>
      <c r="F5" s="5">
        <v>23794.959999999999</v>
      </c>
      <c r="G5" s="3" t="s">
        <v>29</v>
      </c>
      <c r="H5" s="3" t="s">
        <v>30</v>
      </c>
      <c r="I5" s="3" t="s">
        <v>43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5">
        <v>11897.48</v>
      </c>
      <c r="R5" s="3" t="s">
        <v>44</v>
      </c>
      <c r="S5" s="3" t="s">
        <v>40</v>
      </c>
      <c r="T5" s="5">
        <v>32500</v>
      </c>
      <c r="U5" s="5">
        <v>23794.959999999999</v>
      </c>
      <c r="V5" s="5">
        <v>0</v>
      </c>
      <c r="W5" s="7">
        <v>2</v>
      </c>
      <c r="X5" s="5">
        <v>8705.0400000000009</v>
      </c>
      <c r="Y5" s="5">
        <v>36.583545423064379</v>
      </c>
    </row>
    <row r="6" spans="1:25" x14ac:dyDescent="0.3">
      <c r="A6" s="3" t="s">
        <v>25</v>
      </c>
      <c r="B6" s="3" t="s">
        <v>26</v>
      </c>
      <c r="C6" s="3" t="s">
        <v>45</v>
      </c>
      <c r="D6" s="4" t="b">
        <f>TRUE()</f>
        <v>1</v>
      </c>
      <c r="E6" s="3" t="s">
        <v>46</v>
      </c>
      <c r="F6" s="5">
        <v>48463.28</v>
      </c>
      <c r="G6" s="3" t="s">
        <v>29</v>
      </c>
      <c r="H6" s="3" t="s">
        <v>47</v>
      </c>
      <c r="I6" s="3" t="s">
        <v>43</v>
      </c>
      <c r="J6" s="3" t="s">
        <v>32</v>
      </c>
      <c r="K6" s="3" t="s">
        <v>33</v>
      </c>
      <c r="L6" s="3" t="s">
        <v>34</v>
      </c>
      <c r="M6" s="3" t="s">
        <v>35</v>
      </c>
      <c r="N6" s="3" t="s">
        <v>36</v>
      </c>
      <c r="O6" s="3" t="s">
        <v>37</v>
      </c>
      <c r="P6" s="3" t="s">
        <v>38</v>
      </c>
      <c r="Q6" s="5">
        <v>12115.82</v>
      </c>
      <c r="R6" s="3" t="s">
        <v>44</v>
      </c>
      <c r="S6" s="3" t="s">
        <v>40</v>
      </c>
      <c r="T6" s="5">
        <v>78297.41</v>
      </c>
      <c r="U6" s="5">
        <v>48463.28</v>
      </c>
      <c r="V6" s="5">
        <v>11185.35</v>
      </c>
      <c r="W6" s="7">
        <v>4</v>
      </c>
      <c r="X6" s="5">
        <v>29834.13</v>
      </c>
      <c r="Y6" s="5">
        <v>61.560278214763841</v>
      </c>
    </row>
    <row r="7" spans="1:25" x14ac:dyDescent="0.3">
      <c r="A7" s="3" t="s">
        <v>25</v>
      </c>
      <c r="B7" s="3" t="s">
        <v>26</v>
      </c>
      <c r="C7" s="3" t="s">
        <v>48</v>
      </c>
      <c r="D7" s="4" t="b">
        <f>TRUE()</f>
        <v>1</v>
      </c>
      <c r="E7" s="3" t="s">
        <v>49</v>
      </c>
      <c r="F7" s="5">
        <v>47589.919999999998</v>
      </c>
      <c r="G7" s="3" t="s">
        <v>29</v>
      </c>
      <c r="H7" s="3" t="s">
        <v>30</v>
      </c>
      <c r="I7" s="3" t="s">
        <v>50</v>
      </c>
      <c r="J7" s="3" t="s">
        <v>32</v>
      </c>
      <c r="K7" s="3" t="s">
        <v>33</v>
      </c>
      <c r="L7" s="3" t="s">
        <v>34</v>
      </c>
      <c r="M7" s="3" t="s">
        <v>35</v>
      </c>
      <c r="N7" s="3" t="s">
        <v>36</v>
      </c>
      <c r="O7" s="3" t="s">
        <v>37</v>
      </c>
      <c r="P7" s="3" t="s">
        <v>38</v>
      </c>
      <c r="Q7" s="5">
        <v>11897.48</v>
      </c>
      <c r="R7" s="3" t="s">
        <v>51</v>
      </c>
      <c r="S7" s="3" t="s">
        <v>52</v>
      </c>
      <c r="T7" s="5">
        <v>64551.73</v>
      </c>
      <c r="U7" s="5">
        <v>47589.919999999998</v>
      </c>
      <c r="V7" s="5">
        <v>7172.41</v>
      </c>
      <c r="W7" s="7">
        <v>4</v>
      </c>
      <c r="X7" s="5">
        <v>16961.810000000001</v>
      </c>
      <c r="Y7" s="5">
        <v>35.6416022552675</v>
      </c>
    </row>
    <row r="8" spans="1:25" x14ac:dyDescent="0.3">
      <c r="A8" s="3" t="s">
        <v>25</v>
      </c>
      <c r="B8" s="3" t="s">
        <v>26</v>
      </c>
      <c r="C8" s="3" t="s">
        <v>89</v>
      </c>
      <c r="D8" s="4" t="b">
        <f>TRUE()</f>
        <v>1</v>
      </c>
      <c r="E8" s="3" t="s">
        <v>90</v>
      </c>
      <c r="F8" s="5">
        <v>23794.959999999999</v>
      </c>
      <c r="G8" s="3" t="s">
        <v>29</v>
      </c>
      <c r="H8" s="3" t="s">
        <v>47</v>
      </c>
      <c r="I8" s="3" t="s">
        <v>88</v>
      </c>
      <c r="J8" s="3" t="s">
        <v>32</v>
      </c>
      <c r="K8" s="3" t="s">
        <v>33</v>
      </c>
      <c r="L8" s="3" t="s">
        <v>34</v>
      </c>
      <c r="M8" s="3" t="s">
        <v>35</v>
      </c>
      <c r="N8" s="3" t="s">
        <v>36</v>
      </c>
      <c r="O8" s="3" t="s">
        <v>37</v>
      </c>
      <c r="P8" s="3" t="s">
        <v>38</v>
      </c>
      <c r="Q8" s="5">
        <v>11897.48</v>
      </c>
      <c r="R8" s="3" t="s">
        <v>91</v>
      </c>
      <c r="S8" s="3" t="s">
        <v>40</v>
      </c>
      <c r="T8" s="5">
        <v>40267.24</v>
      </c>
      <c r="U8" s="5">
        <v>23794.959999999999</v>
      </c>
      <c r="V8" s="5">
        <v>4474.1400000000003</v>
      </c>
      <c r="W8" s="7">
        <v>2</v>
      </c>
      <c r="X8" s="5">
        <v>16472.28</v>
      </c>
      <c r="Y8" s="5">
        <v>69.225920110813377</v>
      </c>
    </row>
    <row r="9" spans="1:25" x14ac:dyDescent="0.3">
      <c r="A9" s="3" t="s">
        <v>25</v>
      </c>
      <c r="B9" s="3" t="s">
        <v>26</v>
      </c>
      <c r="C9" s="3" t="s">
        <v>61</v>
      </c>
      <c r="D9" s="4" t="b">
        <f>TRUE()</f>
        <v>1</v>
      </c>
      <c r="E9" s="3" t="s">
        <v>62</v>
      </c>
      <c r="F9" s="5">
        <v>20629.34</v>
      </c>
      <c r="G9" s="3" t="s">
        <v>63</v>
      </c>
      <c r="H9" s="3" t="s">
        <v>30</v>
      </c>
      <c r="I9" s="3" t="s">
        <v>64</v>
      </c>
      <c r="J9" s="3" t="s">
        <v>56</v>
      </c>
      <c r="K9" s="3" t="s">
        <v>65</v>
      </c>
      <c r="L9" s="3" t="s">
        <v>58</v>
      </c>
      <c r="M9" s="3" t="s">
        <v>35</v>
      </c>
      <c r="N9" s="3" t="s">
        <v>36</v>
      </c>
      <c r="O9" s="3" t="s">
        <v>37</v>
      </c>
      <c r="P9" s="3" t="s">
        <v>66</v>
      </c>
      <c r="Q9" s="5">
        <v>20629.34</v>
      </c>
      <c r="R9" s="3" t="s">
        <v>67</v>
      </c>
      <c r="S9" s="3" t="s">
        <v>68</v>
      </c>
      <c r="T9" s="5">
        <v>30258.62</v>
      </c>
      <c r="U9" s="5">
        <v>20629.34</v>
      </c>
      <c r="V9" s="5">
        <v>0</v>
      </c>
      <c r="W9" s="7">
        <v>1</v>
      </c>
      <c r="X9" s="5">
        <v>9629.2800000000007</v>
      </c>
      <c r="Y9" s="5">
        <v>46.677596084024017</v>
      </c>
    </row>
    <row r="10" spans="1:25" x14ac:dyDescent="0.3">
      <c r="A10" s="3" t="s">
        <v>25</v>
      </c>
      <c r="B10" s="3" t="s">
        <v>26</v>
      </c>
      <c r="C10" s="3" t="s">
        <v>61</v>
      </c>
      <c r="D10" s="4" t="b">
        <f>TRUE()</f>
        <v>1</v>
      </c>
      <c r="E10" s="3" t="s">
        <v>62</v>
      </c>
      <c r="F10" s="5">
        <v>41258.68</v>
      </c>
      <c r="G10" s="3" t="s">
        <v>63</v>
      </c>
      <c r="H10" s="3" t="s">
        <v>30</v>
      </c>
      <c r="I10" s="3" t="s">
        <v>31</v>
      </c>
      <c r="J10" s="3" t="s">
        <v>56</v>
      </c>
      <c r="K10" s="3" t="s">
        <v>65</v>
      </c>
      <c r="L10" s="3" t="s">
        <v>58</v>
      </c>
      <c r="M10" s="3" t="s">
        <v>35</v>
      </c>
      <c r="N10" s="3" t="s">
        <v>36</v>
      </c>
      <c r="O10" s="3" t="s">
        <v>37</v>
      </c>
      <c r="P10" s="3" t="s">
        <v>66</v>
      </c>
      <c r="Q10" s="5">
        <v>20629.34</v>
      </c>
      <c r="R10" s="3" t="s">
        <v>67</v>
      </c>
      <c r="S10" s="3" t="s">
        <v>68</v>
      </c>
      <c r="T10" s="5">
        <v>52586.2</v>
      </c>
      <c r="U10" s="5">
        <v>41258.68</v>
      </c>
      <c r="V10" s="5">
        <v>0</v>
      </c>
      <c r="W10" s="7">
        <v>2</v>
      </c>
      <c r="X10" s="5">
        <v>11327.52</v>
      </c>
      <c r="Y10" s="5">
        <v>27.454877373682336</v>
      </c>
    </row>
    <row r="11" spans="1:25" x14ac:dyDescent="0.3">
      <c r="A11" s="3" t="s">
        <v>25</v>
      </c>
      <c r="B11" s="3" t="s">
        <v>26</v>
      </c>
      <c r="C11" s="3" t="s">
        <v>81</v>
      </c>
      <c r="D11" s="4" t="b">
        <f>TRUE()</f>
        <v>1</v>
      </c>
      <c r="E11" s="3" t="s">
        <v>82</v>
      </c>
      <c r="F11" s="5">
        <v>-20629.34</v>
      </c>
      <c r="G11" s="3" t="s">
        <v>63</v>
      </c>
      <c r="H11" s="3" t="s">
        <v>83</v>
      </c>
      <c r="I11" s="3" t="s">
        <v>84</v>
      </c>
      <c r="J11" s="3" t="s">
        <v>56</v>
      </c>
      <c r="K11" s="3" t="s">
        <v>65</v>
      </c>
      <c r="L11" s="3" t="s">
        <v>58</v>
      </c>
      <c r="M11" s="3" t="s">
        <v>35</v>
      </c>
      <c r="N11" s="3" t="s">
        <v>36</v>
      </c>
      <c r="O11" s="3" t="s">
        <v>37</v>
      </c>
      <c r="P11" s="3" t="s">
        <v>66</v>
      </c>
      <c r="Q11" s="5">
        <v>20629.34</v>
      </c>
      <c r="R11" s="3" t="s">
        <v>85</v>
      </c>
      <c r="S11" s="3" t="s">
        <v>52</v>
      </c>
      <c r="T11" s="5">
        <v>-28146.55</v>
      </c>
      <c r="U11" s="5">
        <v>20629.34</v>
      </c>
      <c r="V11" s="5">
        <v>0</v>
      </c>
      <c r="W11" s="7">
        <v>-1</v>
      </c>
      <c r="X11" s="5">
        <v>7517.21</v>
      </c>
      <c r="Y11" s="5">
        <v>36.439411052413696</v>
      </c>
    </row>
    <row r="12" spans="1:25" x14ac:dyDescent="0.3">
      <c r="A12" s="3" t="s">
        <v>25</v>
      </c>
      <c r="B12" s="3" t="s">
        <v>26</v>
      </c>
      <c r="C12" s="3" t="s">
        <v>86</v>
      </c>
      <c r="D12" s="4" t="b">
        <f>TRUE()</f>
        <v>1</v>
      </c>
      <c r="E12" s="3" t="s">
        <v>87</v>
      </c>
      <c r="F12" s="5">
        <v>123776.04</v>
      </c>
      <c r="G12" s="3" t="s">
        <v>63</v>
      </c>
      <c r="H12" s="3" t="s">
        <v>30</v>
      </c>
      <c r="I12" s="3" t="s">
        <v>71</v>
      </c>
      <c r="J12" s="3" t="s">
        <v>56</v>
      </c>
      <c r="K12" s="3" t="s">
        <v>65</v>
      </c>
      <c r="L12" s="3" t="s">
        <v>58</v>
      </c>
      <c r="M12" s="3" t="s">
        <v>35</v>
      </c>
      <c r="N12" s="3" t="s">
        <v>36</v>
      </c>
      <c r="O12" s="3" t="s">
        <v>37</v>
      </c>
      <c r="P12" s="3" t="s">
        <v>66</v>
      </c>
      <c r="Q12" s="5">
        <v>20629.34</v>
      </c>
      <c r="R12" s="3" t="s">
        <v>60</v>
      </c>
      <c r="S12" s="3" t="s">
        <v>40</v>
      </c>
      <c r="T12" s="5">
        <v>164482.74</v>
      </c>
      <c r="U12" s="5">
        <v>123776.04</v>
      </c>
      <c r="V12" s="5">
        <v>0</v>
      </c>
      <c r="W12" s="7">
        <v>6</v>
      </c>
      <c r="X12" s="5">
        <v>40706.699999999997</v>
      </c>
      <c r="Y12" s="5">
        <v>32.887382727707234</v>
      </c>
    </row>
    <row r="13" spans="1:25" x14ac:dyDescent="0.3">
      <c r="A13" s="3" t="s">
        <v>25</v>
      </c>
      <c r="B13" s="3" t="s">
        <v>26</v>
      </c>
      <c r="C13" s="3" t="s">
        <v>86</v>
      </c>
      <c r="D13" s="4" t="b">
        <f>TRUE()</f>
        <v>1</v>
      </c>
      <c r="E13" s="3" t="s">
        <v>87</v>
      </c>
      <c r="F13" s="5">
        <v>82517.36</v>
      </c>
      <c r="G13" s="3" t="s">
        <v>63</v>
      </c>
      <c r="H13" s="3" t="s">
        <v>30</v>
      </c>
      <c r="I13" s="3" t="s">
        <v>71</v>
      </c>
      <c r="J13" s="3" t="s">
        <v>56</v>
      </c>
      <c r="K13" s="3" t="s">
        <v>65</v>
      </c>
      <c r="L13" s="3" t="s">
        <v>58</v>
      </c>
      <c r="M13" s="3" t="s">
        <v>35</v>
      </c>
      <c r="N13" s="3" t="s">
        <v>36</v>
      </c>
      <c r="O13" s="3" t="s">
        <v>37</v>
      </c>
      <c r="P13" s="3" t="s">
        <v>66</v>
      </c>
      <c r="Q13" s="5">
        <v>20629.34</v>
      </c>
      <c r="R13" s="3" t="s">
        <v>60</v>
      </c>
      <c r="S13" s="3" t="s">
        <v>40</v>
      </c>
      <c r="T13" s="5">
        <v>109655.16</v>
      </c>
      <c r="U13" s="5">
        <v>82517.36</v>
      </c>
      <c r="V13" s="5">
        <v>0</v>
      </c>
      <c r="W13" s="7">
        <v>4</v>
      </c>
      <c r="X13" s="5">
        <v>27137.8</v>
      </c>
      <c r="Y13" s="5">
        <v>32.887382727707234</v>
      </c>
    </row>
    <row r="14" spans="1:25" x14ac:dyDescent="0.3">
      <c r="A14" s="3" t="s">
        <v>25</v>
      </c>
      <c r="B14" s="3" t="s">
        <v>26</v>
      </c>
      <c r="C14" s="3" t="s">
        <v>53</v>
      </c>
      <c r="D14" s="4" t="b">
        <f>TRUE()</f>
        <v>1</v>
      </c>
      <c r="E14" s="3" t="s">
        <v>54</v>
      </c>
      <c r="F14" s="5">
        <v>312023.8</v>
      </c>
      <c r="G14" s="3" t="s">
        <v>55</v>
      </c>
      <c r="H14" s="3" t="s">
        <v>30</v>
      </c>
      <c r="I14" s="3" t="s">
        <v>31</v>
      </c>
      <c r="J14" s="3" t="s">
        <v>56</v>
      </c>
      <c r="K14" s="3" t="s">
        <v>57</v>
      </c>
      <c r="L14" s="3" t="s">
        <v>58</v>
      </c>
      <c r="M14" s="3" t="s">
        <v>35</v>
      </c>
      <c r="N14" s="3" t="s">
        <v>36</v>
      </c>
      <c r="O14" s="3" t="s">
        <v>37</v>
      </c>
      <c r="P14" s="3" t="s">
        <v>59</v>
      </c>
      <c r="Q14" s="5">
        <v>15601.19</v>
      </c>
      <c r="R14" s="3" t="s">
        <v>60</v>
      </c>
      <c r="S14" s="3" t="s">
        <v>40</v>
      </c>
      <c r="T14" s="5">
        <v>500000</v>
      </c>
      <c r="U14" s="5">
        <v>312023.8</v>
      </c>
      <c r="V14" s="5">
        <v>0</v>
      </c>
      <c r="W14" s="7">
        <v>20</v>
      </c>
      <c r="X14" s="5">
        <v>187976.2</v>
      </c>
      <c r="Y14" s="5">
        <v>60.244186501157927</v>
      </c>
    </row>
    <row r="15" spans="1:25" x14ac:dyDescent="0.3">
      <c r="A15" s="3" t="s">
        <v>25</v>
      </c>
      <c r="B15" s="3" t="s">
        <v>26</v>
      </c>
      <c r="C15" s="3" t="s">
        <v>69</v>
      </c>
      <c r="D15" s="4" t="b">
        <f>TRUE()</f>
        <v>1</v>
      </c>
      <c r="E15" s="3" t="s">
        <v>70</v>
      </c>
      <c r="F15" s="5">
        <v>61424.36</v>
      </c>
      <c r="G15" s="3" t="s">
        <v>55</v>
      </c>
      <c r="H15" s="3" t="s">
        <v>30</v>
      </c>
      <c r="I15" s="3" t="s">
        <v>71</v>
      </c>
      <c r="J15" s="3" t="s">
        <v>56</v>
      </c>
      <c r="K15" s="3" t="s">
        <v>57</v>
      </c>
      <c r="L15" s="3" t="s">
        <v>58</v>
      </c>
      <c r="M15" s="3" t="s">
        <v>35</v>
      </c>
      <c r="N15" s="3" t="s">
        <v>36</v>
      </c>
      <c r="O15" s="3" t="s">
        <v>37</v>
      </c>
      <c r="P15" s="3" t="s">
        <v>59</v>
      </c>
      <c r="Q15" s="5">
        <v>15356.09</v>
      </c>
      <c r="R15" s="3" t="s">
        <v>67</v>
      </c>
      <c r="S15" s="3" t="s">
        <v>40</v>
      </c>
      <c r="T15" s="5">
        <v>91379.32</v>
      </c>
      <c r="U15" s="5">
        <v>61424.36</v>
      </c>
      <c r="V15" s="5">
        <v>0</v>
      </c>
      <c r="W15" s="7">
        <v>4</v>
      </c>
      <c r="X15" s="5">
        <v>29954.959999999999</v>
      </c>
      <c r="Y15" s="5">
        <v>48.767231762772944</v>
      </c>
    </row>
    <row r="16" spans="1:25" x14ac:dyDescent="0.3">
      <c r="A16" s="3" t="s">
        <v>25</v>
      </c>
      <c r="B16" s="3" t="s">
        <v>26</v>
      </c>
      <c r="C16" s="3" t="s">
        <v>72</v>
      </c>
      <c r="D16" s="4" t="b">
        <f>TRUE()</f>
        <v>1</v>
      </c>
      <c r="E16" s="3" t="s">
        <v>73</v>
      </c>
      <c r="F16" s="5">
        <v>30712.18</v>
      </c>
      <c r="G16" s="3" t="s">
        <v>55</v>
      </c>
      <c r="H16" s="3" t="s">
        <v>47</v>
      </c>
      <c r="I16" s="3" t="s">
        <v>71</v>
      </c>
      <c r="J16" s="3" t="s">
        <v>56</v>
      </c>
      <c r="K16" s="3" t="s">
        <v>57</v>
      </c>
      <c r="L16" s="3" t="s">
        <v>58</v>
      </c>
      <c r="M16" s="3" t="s">
        <v>35</v>
      </c>
      <c r="N16" s="3" t="s">
        <v>36</v>
      </c>
      <c r="O16" s="3" t="s">
        <v>37</v>
      </c>
      <c r="P16" s="3" t="s">
        <v>59</v>
      </c>
      <c r="Q16" s="5">
        <v>15356.09</v>
      </c>
      <c r="R16" s="3" t="s">
        <v>80</v>
      </c>
      <c r="S16" s="3" t="s">
        <v>40</v>
      </c>
      <c r="T16" s="5">
        <v>51362.07</v>
      </c>
      <c r="U16" s="5">
        <v>30712.18</v>
      </c>
      <c r="V16" s="5">
        <v>5706.9</v>
      </c>
      <c r="W16" s="7">
        <v>2</v>
      </c>
      <c r="X16" s="5">
        <v>20649.89</v>
      </c>
      <c r="Y16" s="5">
        <v>67.236809630576531</v>
      </c>
    </row>
    <row r="17" spans="1:25" x14ac:dyDescent="0.3">
      <c r="A17" s="3" t="s">
        <v>25</v>
      </c>
      <c r="B17" s="3" t="s">
        <v>26</v>
      </c>
      <c r="C17" s="3" t="s">
        <v>72</v>
      </c>
      <c r="D17" s="4" t="b">
        <f>TRUE()</f>
        <v>1</v>
      </c>
      <c r="E17" s="3" t="s">
        <v>73</v>
      </c>
      <c r="F17" s="5">
        <v>30712.18</v>
      </c>
      <c r="G17" s="3" t="s">
        <v>55</v>
      </c>
      <c r="H17" s="3" t="s">
        <v>47</v>
      </c>
      <c r="I17" s="3" t="s">
        <v>71</v>
      </c>
      <c r="J17" s="3" t="s">
        <v>56</v>
      </c>
      <c r="K17" s="3" t="s">
        <v>57</v>
      </c>
      <c r="L17" s="3" t="s">
        <v>58</v>
      </c>
      <c r="M17" s="3" t="s">
        <v>35</v>
      </c>
      <c r="N17" s="3" t="s">
        <v>36</v>
      </c>
      <c r="O17" s="3" t="s">
        <v>37</v>
      </c>
      <c r="P17" s="3" t="s">
        <v>59</v>
      </c>
      <c r="Q17" s="5">
        <v>15356.09</v>
      </c>
      <c r="R17" s="3" t="s">
        <v>80</v>
      </c>
      <c r="S17" s="3" t="s">
        <v>40</v>
      </c>
      <c r="T17" s="5">
        <v>51362.07</v>
      </c>
      <c r="U17" s="5">
        <v>30712.18</v>
      </c>
      <c r="V17" s="5">
        <v>5706.9</v>
      </c>
      <c r="W17" s="7">
        <v>2</v>
      </c>
      <c r="X17" s="5">
        <v>20649.89</v>
      </c>
      <c r="Y17" s="5">
        <v>67.236809630576531</v>
      </c>
    </row>
    <row r="18" spans="1:25" x14ac:dyDescent="0.3">
      <c r="A18" s="3" t="s">
        <v>25</v>
      </c>
      <c r="B18" s="3" t="s">
        <v>26</v>
      </c>
      <c r="C18" s="3" t="s">
        <v>86</v>
      </c>
      <c r="D18" s="4" t="b">
        <f>TRUE()</f>
        <v>1</v>
      </c>
      <c r="E18" s="3" t="s">
        <v>87</v>
      </c>
      <c r="F18" s="5">
        <v>62404.76</v>
      </c>
      <c r="G18" s="3" t="s">
        <v>55</v>
      </c>
      <c r="H18" s="3" t="s">
        <v>30</v>
      </c>
      <c r="I18" s="3" t="s">
        <v>88</v>
      </c>
      <c r="J18" s="3" t="s">
        <v>56</v>
      </c>
      <c r="K18" s="3" t="s">
        <v>57</v>
      </c>
      <c r="L18" s="3" t="s">
        <v>58</v>
      </c>
      <c r="M18" s="3" t="s">
        <v>35</v>
      </c>
      <c r="N18" s="3" t="s">
        <v>36</v>
      </c>
      <c r="O18" s="3" t="s">
        <v>37</v>
      </c>
      <c r="P18" s="3" t="s">
        <v>59</v>
      </c>
      <c r="Q18" s="5">
        <v>15601.19</v>
      </c>
      <c r="R18" s="3" t="s">
        <v>60</v>
      </c>
      <c r="S18" s="3" t="s">
        <v>40</v>
      </c>
      <c r="T18" s="5">
        <v>108431.03</v>
      </c>
      <c r="U18" s="5">
        <v>62404.76</v>
      </c>
      <c r="V18" s="5">
        <v>5706.9</v>
      </c>
      <c r="W18" s="7">
        <v>4</v>
      </c>
      <c r="X18" s="5">
        <v>46026.27</v>
      </c>
      <c r="Y18" s="5">
        <v>73.754421938326502</v>
      </c>
    </row>
    <row r="19" spans="1:25" x14ac:dyDescent="0.3">
      <c r="A19" s="3" t="s">
        <v>25</v>
      </c>
      <c r="B19" s="3" t="s">
        <v>26</v>
      </c>
      <c r="C19" s="3" t="s">
        <v>92</v>
      </c>
      <c r="D19" s="4" t="b">
        <f>TRUE()</f>
        <v>1</v>
      </c>
      <c r="E19" s="3" t="s">
        <v>93</v>
      </c>
      <c r="F19" s="5">
        <v>61424.36</v>
      </c>
      <c r="G19" s="3" t="s">
        <v>55</v>
      </c>
      <c r="H19" s="3" t="s">
        <v>30</v>
      </c>
      <c r="I19" s="3" t="s">
        <v>50</v>
      </c>
      <c r="J19" s="3" t="s">
        <v>56</v>
      </c>
      <c r="K19" s="3" t="s">
        <v>57</v>
      </c>
      <c r="L19" s="3" t="s">
        <v>58</v>
      </c>
      <c r="M19" s="3" t="s">
        <v>35</v>
      </c>
      <c r="N19" s="3" t="s">
        <v>36</v>
      </c>
      <c r="O19" s="3" t="s">
        <v>37</v>
      </c>
      <c r="P19" s="3" t="s">
        <v>59</v>
      </c>
      <c r="Q19" s="5">
        <v>15356.09</v>
      </c>
      <c r="R19" s="3" t="s">
        <v>94</v>
      </c>
      <c r="S19" s="3" t="s">
        <v>40</v>
      </c>
      <c r="T19" s="5">
        <v>91379.32</v>
      </c>
      <c r="U19" s="5">
        <v>61424.36</v>
      </c>
      <c r="V19" s="5">
        <v>0</v>
      </c>
      <c r="W19" s="7">
        <v>4</v>
      </c>
      <c r="X19" s="5">
        <v>29954.959999999999</v>
      </c>
      <c r="Y19" s="5">
        <v>48.767231762772944</v>
      </c>
    </row>
    <row r="20" spans="1:25" x14ac:dyDescent="0.3">
      <c r="W20" s="8">
        <f>SUBTOTAL(109,Data[Invoiced_Quantity])</f>
        <v>68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4.4" x14ac:dyDescent="0.3"/>
  <cols>
    <col min="1" max="1" width="25" customWidth="1"/>
    <col min="2" max="2" width="40" customWidth="1"/>
  </cols>
  <sheetData>
    <row r="1" spans="1:2" x14ac:dyDescent="0.3">
      <c r="A1" s="1" t="s">
        <v>95</v>
      </c>
      <c r="B1" s="1" t="s">
        <v>96</v>
      </c>
    </row>
    <row r="2" spans="1:2" x14ac:dyDescent="0.3">
      <c r="A2" t="s">
        <v>97</v>
      </c>
      <c r="B2" t="s">
        <v>97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"/>
  <sheetViews>
    <sheetView workbookViewId="0"/>
  </sheetViews>
  <sheetFormatPr defaultRowHeight="14.4" x14ac:dyDescent="0.3"/>
  <cols>
    <col min="1" max="1" width="25" customWidth="1"/>
    <col min="2" max="2" width="40" customWidth="1"/>
    <col min="3" max="3" width="5" customWidth="1"/>
    <col min="4" max="4" width="25" customWidth="1"/>
    <col min="5" max="5" width="40" customWidth="1"/>
    <col min="6" max="6" width="5" customWidth="1"/>
    <col min="7" max="7" width="25" customWidth="1"/>
    <col min="8" max="8" width="40" customWidth="1"/>
    <col min="9" max="9" width="5" customWidth="1"/>
    <col min="10" max="10" width="50" customWidth="1"/>
    <col min="11" max="11" width="40" customWidth="1"/>
  </cols>
  <sheetData>
    <row r="1" spans="1:11" x14ac:dyDescent="0.3">
      <c r="A1" s="1" t="s">
        <v>98</v>
      </c>
      <c r="B1" s="1" t="s">
        <v>99</v>
      </c>
      <c r="C1" s="1" t="s">
        <v>97</v>
      </c>
      <c r="D1" s="1" t="s">
        <v>100</v>
      </c>
      <c r="E1" s="1" t="s">
        <v>101</v>
      </c>
      <c r="F1" s="1" t="s">
        <v>97</v>
      </c>
      <c r="G1" s="1" t="s">
        <v>102</v>
      </c>
      <c r="H1" s="1" t="s">
        <v>103</v>
      </c>
      <c r="I1" s="1" t="s">
        <v>97</v>
      </c>
      <c r="J1" s="1" t="s">
        <v>104</v>
      </c>
      <c r="K1" s="1" t="s">
        <v>105</v>
      </c>
    </row>
    <row r="2" spans="1:11" x14ac:dyDescent="0.3">
      <c r="A2" t="s">
        <v>106</v>
      </c>
      <c r="B2" t="s">
        <v>107</v>
      </c>
      <c r="C2" t="s">
        <v>97</v>
      </c>
      <c r="D2" t="s">
        <v>108</v>
      </c>
      <c r="E2" t="s">
        <v>109</v>
      </c>
      <c r="F2" t="s">
        <v>97</v>
      </c>
      <c r="G2" t="s">
        <v>97</v>
      </c>
      <c r="H2" t="s">
        <v>97</v>
      </c>
      <c r="I2" t="s">
        <v>97</v>
      </c>
      <c r="J2" t="s">
        <v>110</v>
      </c>
      <c r="K2" t="s">
        <v>111</v>
      </c>
    </row>
    <row r="3" spans="1:11" x14ac:dyDescent="0.3">
      <c r="A3" t="s">
        <v>112</v>
      </c>
      <c r="B3" t="s">
        <v>113</v>
      </c>
      <c r="C3" t="s">
        <v>97</v>
      </c>
      <c r="D3" t="s">
        <v>114</v>
      </c>
      <c r="E3" t="s">
        <v>97</v>
      </c>
      <c r="F3" t="s">
        <v>97</v>
      </c>
      <c r="G3" t="s">
        <v>97</v>
      </c>
      <c r="H3" t="s">
        <v>97</v>
      </c>
      <c r="I3" t="s">
        <v>97</v>
      </c>
      <c r="J3" t="s">
        <v>115</v>
      </c>
      <c r="K3" t="s">
        <v>116</v>
      </c>
    </row>
    <row r="4" spans="1:11" x14ac:dyDescent="0.3">
      <c r="A4" t="s">
        <v>117</v>
      </c>
      <c r="B4" t="s">
        <v>118</v>
      </c>
      <c r="C4" t="s">
        <v>97</v>
      </c>
      <c r="D4" t="s">
        <v>119</v>
      </c>
      <c r="E4" t="s">
        <v>120</v>
      </c>
      <c r="F4" t="s">
        <v>97</v>
      </c>
      <c r="G4" t="s">
        <v>97</v>
      </c>
      <c r="H4" t="s">
        <v>97</v>
      </c>
      <c r="I4" t="s">
        <v>97</v>
      </c>
      <c r="J4" t="s">
        <v>121</v>
      </c>
      <c r="K4" t="s">
        <v>122</v>
      </c>
    </row>
    <row r="5" spans="1:11" x14ac:dyDescent="0.3">
      <c r="A5" t="s">
        <v>123</v>
      </c>
      <c r="B5" t="s">
        <v>124</v>
      </c>
      <c r="C5" t="s">
        <v>97</v>
      </c>
      <c r="D5" t="s">
        <v>125</v>
      </c>
      <c r="E5" t="s">
        <v>126</v>
      </c>
      <c r="F5" t="s">
        <v>97</v>
      </c>
      <c r="G5" t="s">
        <v>97</v>
      </c>
      <c r="H5" t="s">
        <v>97</v>
      </c>
      <c r="I5" t="s">
        <v>97</v>
      </c>
      <c r="J5" t="s">
        <v>127</v>
      </c>
      <c r="K5" t="s">
        <v>128</v>
      </c>
    </row>
    <row r="6" spans="1:11" x14ac:dyDescent="0.3">
      <c r="A6" t="s">
        <v>129</v>
      </c>
      <c r="B6">
        <v>50245</v>
      </c>
      <c r="C6" t="s">
        <v>97</v>
      </c>
      <c r="D6" t="s">
        <v>130</v>
      </c>
      <c r="E6" t="s">
        <v>131</v>
      </c>
      <c r="F6" t="s">
        <v>97</v>
      </c>
      <c r="G6" t="s">
        <v>97</v>
      </c>
      <c r="H6" t="s">
        <v>97</v>
      </c>
      <c r="I6" t="s">
        <v>97</v>
      </c>
      <c r="J6" t="s">
        <v>132</v>
      </c>
      <c r="K6" t="s">
        <v>128</v>
      </c>
    </row>
    <row r="7" spans="1:11" x14ac:dyDescent="0.3">
      <c r="A7" t="s">
        <v>133</v>
      </c>
      <c r="B7" t="s">
        <v>134</v>
      </c>
      <c r="C7" t="s">
        <v>97</v>
      </c>
      <c r="D7" t="s">
        <v>135</v>
      </c>
      <c r="E7" t="s">
        <v>136</v>
      </c>
      <c r="F7" t="s">
        <v>97</v>
      </c>
      <c r="G7" t="s">
        <v>97</v>
      </c>
      <c r="H7" t="s">
        <v>97</v>
      </c>
      <c r="I7" t="s">
        <v>97</v>
      </c>
      <c r="J7" t="s">
        <v>97</v>
      </c>
      <c r="K7" t="s">
        <v>97</v>
      </c>
    </row>
    <row r="8" spans="1:11" x14ac:dyDescent="0.3">
      <c r="A8" t="s">
        <v>137</v>
      </c>
      <c r="B8" t="s">
        <v>97</v>
      </c>
      <c r="C8" t="s">
        <v>97</v>
      </c>
      <c r="D8" t="s">
        <v>138</v>
      </c>
      <c r="E8" s="2">
        <v>45967.260682384258</v>
      </c>
      <c r="F8" t="s">
        <v>97</v>
      </c>
      <c r="G8" t="s">
        <v>97</v>
      </c>
      <c r="H8" t="s">
        <v>97</v>
      </c>
      <c r="I8" t="s">
        <v>97</v>
      </c>
      <c r="J8" t="s">
        <v>97</v>
      </c>
      <c r="K8" t="s">
        <v>97</v>
      </c>
    </row>
    <row r="9" spans="1:11" x14ac:dyDescent="0.3">
      <c r="A9" t="s">
        <v>139</v>
      </c>
      <c r="B9" t="s">
        <v>97</v>
      </c>
      <c r="C9" t="s">
        <v>97</v>
      </c>
      <c r="D9" t="s">
        <v>140</v>
      </c>
      <c r="E9">
        <v>2057</v>
      </c>
      <c r="F9" t="s">
        <v>97</v>
      </c>
      <c r="G9" t="s">
        <v>97</v>
      </c>
      <c r="H9" t="s">
        <v>97</v>
      </c>
      <c r="I9" t="s">
        <v>97</v>
      </c>
      <c r="J9" t="s">
        <v>97</v>
      </c>
      <c r="K9" t="s">
        <v>97</v>
      </c>
    </row>
    <row r="10" spans="1:11" x14ac:dyDescent="0.3">
      <c r="A10" t="s">
        <v>141</v>
      </c>
      <c r="B10" t="s">
        <v>142</v>
      </c>
      <c r="C10" t="s">
        <v>97</v>
      </c>
      <c r="D10" t="s">
        <v>143</v>
      </c>
      <c r="E10" t="s">
        <v>97</v>
      </c>
      <c r="F10" t="s">
        <v>97</v>
      </c>
      <c r="G10" t="s">
        <v>97</v>
      </c>
      <c r="H10" t="s">
        <v>97</v>
      </c>
      <c r="I10" t="s">
        <v>97</v>
      </c>
      <c r="J10" t="s">
        <v>97</v>
      </c>
      <c r="K10" t="s">
        <v>97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"/>
  <sheetViews>
    <sheetView workbookViewId="0"/>
  </sheetViews>
  <sheetFormatPr defaultRowHeight="14.4" x14ac:dyDescent="0.3"/>
  <cols>
    <col min="1" max="2" width="25" customWidth="1"/>
    <col min="3" max="3" width="40" customWidth="1"/>
  </cols>
  <sheetData>
    <row r="1" spans="1:3" x14ac:dyDescent="0.3">
      <c r="A1" s="1" t="s">
        <v>144</v>
      </c>
      <c r="B1" s="1" t="s">
        <v>140</v>
      </c>
      <c r="C1" s="1" t="s">
        <v>96</v>
      </c>
    </row>
    <row r="2" spans="1:3" x14ac:dyDescent="0.3">
      <c r="A2" t="s">
        <v>97</v>
      </c>
      <c r="B2" t="s">
        <v>97</v>
      </c>
      <c r="C2" t="s">
        <v>97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CaptionData</vt:lpstr>
      <vt:lpstr>Aggregated Metadata</vt:lpstr>
      <vt:lpstr>TranslationData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George Maina</cp:lastModifiedBy>
  <dcterms:modified xsi:type="dcterms:W3CDTF">2025-11-06T06:22:18Z</dcterms:modified>
</cp:coreProperties>
</file>