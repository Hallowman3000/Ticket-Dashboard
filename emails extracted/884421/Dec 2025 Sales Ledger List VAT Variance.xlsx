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rive E\Revenues\2025\"/>
    </mc:Choice>
  </mc:AlternateContent>
  <xr:revisionPtr revIDLastSave="0" documentId="13_ncr:1_{6FB11E8D-71AD-4BFB-B801-A1699BECA9BD}" xr6:coauthVersionLast="47" xr6:coauthVersionMax="47" xr10:uidLastSave="{00000000-0000-0000-0000-000000000000}"/>
  <bookViews>
    <workbookView xWindow="-120" yWindow="-120" windowWidth="24240" windowHeight="13140" xr2:uid="{892D91FB-F22A-47F7-877E-91B52EC03F3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9" i="1" l="1"/>
  <c r="J489" i="1"/>
  <c r="K489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5" i="1"/>
  <c r="J4" i="1"/>
  <c r="J5" i="1"/>
  <c r="J6" i="1"/>
  <c r="J7" i="1"/>
  <c r="K7" i="1" s="1"/>
  <c r="J8" i="1"/>
  <c r="K8" i="1" s="1"/>
  <c r="J9" i="1"/>
  <c r="J10" i="1"/>
  <c r="J11" i="1"/>
  <c r="K11" i="1" s="1"/>
  <c r="J12" i="1"/>
  <c r="J13" i="1"/>
  <c r="J14" i="1"/>
  <c r="J15" i="1"/>
  <c r="K15" i="1" s="1"/>
  <c r="J16" i="1"/>
  <c r="J17" i="1"/>
  <c r="J18" i="1"/>
  <c r="K18" i="1" s="1"/>
  <c r="J19" i="1"/>
  <c r="K19" i="1" s="1"/>
  <c r="J20" i="1"/>
  <c r="J21" i="1"/>
  <c r="J22" i="1"/>
  <c r="J23" i="1"/>
  <c r="K23" i="1" s="1"/>
  <c r="J24" i="1"/>
  <c r="K24" i="1" s="1"/>
  <c r="J25" i="1"/>
  <c r="J26" i="1"/>
  <c r="J27" i="1"/>
  <c r="K27" i="1" s="1"/>
  <c r="J28" i="1"/>
  <c r="J29" i="1"/>
  <c r="J30" i="1"/>
  <c r="J31" i="1"/>
  <c r="K31" i="1" s="1"/>
  <c r="J32" i="1"/>
  <c r="J33" i="1"/>
  <c r="J34" i="1"/>
  <c r="K34" i="1" s="1"/>
  <c r="J35" i="1"/>
  <c r="K35" i="1" s="1"/>
  <c r="J36" i="1"/>
  <c r="J37" i="1"/>
  <c r="J38" i="1"/>
  <c r="J39" i="1"/>
  <c r="K39" i="1" s="1"/>
  <c r="J40" i="1"/>
  <c r="K40" i="1" s="1"/>
  <c r="J41" i="1"/>
  <c r="J42" i="1"/>
  <c r="J43" i="1"/>
  <c r="K43" i="1" s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3" i="1"/>
  <c r="K4" i="1"/>
  <c r="K5" i="1"/>
  <c r="K6" i="1"/>
  <c r="K9" i="1"/>
  <c r="K10" i="1"/>
  <c r="K12" i="1"/>
  <c r="K13" i="1"/>
  <c r="K14" i="1"/>
  <c r="K16" i="1"/>
  <c r="K17" i="1"/>
  <c r="K20" i="1"/>
  <c r="K21" i="1"/>
  <c r="K22" i="1"/>
  <c r="K25" i="1"/>
  <c r="K26" i="1"/>
  <c r="K28" i="1"/>
  <c r="K29" i="1"/>
  <c r="K30" i="1"/>
  <c r="K32" i="1"/>
  <c r="K33" i="1"/>
  <c r="K36" i="1"/>
  <c r="K37" i="1"/>
  <c r="K38" i="1"/>
  <c r="K41" i="1"/>
  <c r="K42" i="1"/>
  <c r="K3" i="1"/>
</calcChain>
</file>

<file path=xl/sharedStrings.xml><?xml version="1.0" encoding="utf-8"?>
<sst xmlns="http://schemas.openxmlformats.org/spreadsheetml/2006/main" count="3895" uniqueCount="1507">
  <si>
    <t>Cust_No</t>
  </si>
  <si>
    <t>Customer_Name</t>
  </si>
  <si>
    <t>Date</t>
  </si>
  <si>
    <t>Doc_No</t>
  </si>
  <si>
    <t>Order_No</t>
  </si>
  <si>
    <t>ExciseTax</t>
  </si>
  <si>
    <t>Net_Amount</t>
  </si>
  <si>
    <t>VAT_Amount</t>
  </si>
  <si>
    <t>Total_Amount</t>
  </si>
  <si>
    <t>St</t>
  </si>
  <si>
    <t>Item_No</t>
  </si>
  <si>
    <t>Advertiser_Name</t>
  </si>
  <si>
    <t>M00008</t>
  </si>
  <si>
    <t xml:space="preserve">MEDIA COMPETE EAST AFRICA LTD </t>
  </si>
  <si>
    <t>14/12/2025</t>
  </si>
  <si>
    <t>516945</t>
  </si>
  <si>
    <t>036400</t>
  </si>
  <si>
    <t/>
  </si>
  <si>
    <t>02</t>
  </si>
  <si>
    <t>Spots Package A - 60 Seconds</t>
  </si>
  <si>
    <t>SAFARICOM PLC</t>
  </si>
  <si>
    <t>516949</t>
  </si>
  <si>
    <t>036464</t>
  </si>
  <si>
    <t>Sponsorship of Station Properties</t>
  </si>
  <si>
    <t>S00001</t>
  </si>
  <si>
    <t xml:space="preserve">SARACEN MEDIA LIMITED </t>
  </si>
  <si>
    <t>28/12/2025</t>
  </si>
  <si>
    <t>516621</t>
  </si>
  <si>
    <t>P45090</t>
  </si>
  <si>
    <t>01</t>
  </si>
  <si>
    <t>Weekly Activation - Drive Show</t>
  </si>
  <si>
    <t>KENYA BREWERIES LIMITED</t>
  </si>
  <si>
    <t>31/12/2025</t>
  </si>
  <si>
    <t>516663</t>
  </si>
  <si>
    <t>036452</t>
  </si>
  <si>
    <t>Weekly Activation - Breakfast Show</t>
  </si>
  <si>
    <t>516608</t>
  </si>
  <si>
    <t>P45256</t>
  </si>
  <si>
    <t>Sponsorship of Live Show - Prime</t>
  </si>
  <si>
    <t>UDV KENYA LIMITED</t>
  </si>
  <si>
    <t>26/12/2025</t>
  </si>
  <si>
    <t>516607</t>
  </si>
  <si>
    <t>P45254</t>
  </si>
  <si>
    <t>12/12/2025</t>
  </si>
  <si>
    <t>516127</t>
  </si>
  <si>
    <t>P45085</t>
  </si>
  <si>
    <t>05/12/2025</t>
  </si>
  <si>
    <t>515529</t>
  </si>
  <si>
    <t>P44936</t>
  </si>
  <si>
    <t>Product Placement/Script Influence</t>
  </si>
  <si>
    <t>516580</t>
  </si>
  <si>
    <t>036518</t>
  </si>
  <si>
    <t>19</t>
  </si>
  <si>
    <t>10 Secs Spot - 7:00pm - 7:45pm</t>
  </si>
  <si>
    <t>PROCTER &amp; GAMBLE MIDDLE EAST FZE</t>
  </si>
  <si>
    <t>516595</t>
  </si>
  <si>
    <t>036516</t>
  </si>
  <si>
    <t>10 Secs Spot - 7:35pm - 8:55pm</t>
  </si>
  <si>
    <t>516385</t>
  </si>
  <si>
    <t>036517</t>
  </si>
  <si>
    <t>17</t>
  </si>
  <si>
    <t>M00267</t>
  </si>
  <si>
    <t xml:space="preserve">MINDSHARE KENYA LTD </t>
  </si>
  <si>
    <t>516029</t>
  </si>
  <si>
    <t>012647</t>
  </si>
  <si>
    <t xml:space="preserve">15 Secs Spot - 6:55pm - 7:00pm  </t>
  </si>
  <si>
    <t>UNILEVER KENYA LIMITED</t>
  </si>
  <si>
    <t>516026</t>
  </si>
  <si>
    <t>012617</t>
  </si>
  <si>
    <t>516025</t>
  </si>
  <si>
    <t>012616</t>
  </si>
  <si>
    <t>24/12/2025</t>
  </si>
  <si>
    <t>516442</t>
  </si>
  <si>
    <t>012748</t>
  </si>
  <si>
    <t>15 Secs Spot - 7:00pm - 7:35pm</t>
  </si>
  <si>
    <t>516024</t>
  </si>
  <si>
    <t>012634</t>
  </si>
  <si>
    <t>25/12/2025</t>
  </si>
  <si>
    <t>516382</t>
  </si>
  <si>
    <t>036514</t>
  </si>
  <si>
    <t>15 Secs Spot - 7:00pm - 7:45pm</t>
  </si>
  <si>
    <t>30/12/2025</t>
  </si>
  <si>
    <t>516582</t>
  </si>
  <si>
    <t>036513</t>
  </si>
  <si>
    <t>15 Secs Spot - 7:35pm - 8:55pm</t>
  </si>
  <si>
    <t>29/12/2025</t>
  </si>
  <si>
    <t>516597</t>
  </si>
  <si>
    <t>036512</t>
  </si>
  <si>
    <t>23/12/2025</t>
  </si>
  <si>
    <t>516827</t>
  </si>
  <si>
    <t>012747</t>
  </si>
  <si>
    <t>516129</t>
  </si>
  <si>
    <t>012648</t>
  </si>
  <si>
    <t>C00250</t>
  </si>
  <si>
    <t xml:space="preserve">CREATIVE EDGE LIMITED </t>
  </si>
  <si>
    <t>07/12/2025</t>
  </si>
  <si>
    <t>516053</t>
  </si>
  <si>
    <t>24493</t>
  </si>
  <si>
    <t>15 Secs Spot - 8:55pm - 9:00pm</t>
  </si>
  <si>
    <t>SAFARILINK AVIATION LIMITED</t>
  </si>
  <si>
    <t>F00299</t>
  </si>
  <si>
    <t>THE FUZE AGENCY LIMITED</t>
  </si>
  <si>
    <t>516439</t>
  </si>
  <si>
    <t>227412</t>
  </si>
  <si>
    <t xml:space="preserve">30 Secs Spot - 6:55pm - 7:00pm  </t>
  </si>
  <si>
    <t>AIRTEL NETWORKS KENYA  LIMITED</t>
  </si>
  <si>
    <t>516564</t>
  </si>
  <si>
    <t>012601</t>
  </si>
  <si>
    <t>516581</t>
  </si>
  <si>
    <t>036522</t>
  </si>
  <si>
    <t>30 Secs Spot - 7:00pm - 7:35pm</t>
  </si>
  <si>
    <t>516844</t>
  </si>
  <si>
    <t>012746</t>
  </si>
  <si>
    <t>516453</t>
  </si>
  <si>
    <t>036521</t>
  </si>
  <si>
    <t>30 Secs Spot - 7:35pm - 8:55pm</t>
  </si>
  <si>
    <t>516381</t>
  </si>
  <si>
    <t>036523</t>
  </si>
  <si>
    <t>30 Secs Spot - 7:45pm - 8:55pm</t>
  </si>
  <si>
    <t>H00098</t>
  </si>
  <si>
    <t xml:space="preserve">HAVAS MEDIA LIMITED </t>
  </si>
  <si>
    <t>18/12/2025</t>
  </si>
  <si>
    <t>516644</t>
  </si>
  <si>
    <t>001612</t>
  </si>
  <si>
    <t>45 Secs Spot - 9:00pm - 10:00pm</t>
  </si>
  <si>
    <t>STANDARD INVESTMENT BANK LTD</t>
  </si>
  <si>
    <t>19/12/2025</t>
  </si>
  <si>
    <t>516444</t>
  </si>
  <si>
    <t>036660</t>
  </si>
  <si>
    <t>60 Secs Spot - 6:00pm - 6:55pm</t>
  </si>
  <si>
    <t>516760</t>
  </si>
  <si>
    <t>24528</t>
  </si>
  <si>
    <t>60 Secs Spot - 8:55pm - 9:00pm</t>
  </si>
  <si>
    <t>CO-OPERATIVE BANK OF KENYA LTD</t>
  </si>
  <si>
    <t>516662</t>
  </si>
  <si>
    <t>24561</t>
  </si>
  <si>
    <t>04</t>
  </si>
  <si>
    <t>Bundled up Activation Package A</t>
  </si>
  <si>
    <t>516151</t>
  </si>
  <si>
    <t>P44667</t>
  </si>
  <si>
    <t>MULTICHOICE KENYA LIMITED</t>
  </si>
  <si>
    <t>D00147</t>
  </si>
  <si>
    <t>DENTSU KENYA LIMITED</t>
  </si>
  <si>
    <t>20/12/2025</t>
  </si>
  <si>
    <t>516412</t>
  </si>
  <si>
    <t>MPO016613</t>
  </si>
  <si>
    <t>18</t>
  </si>
  <si>
    <t>Digital Reels</t>
  </si>
  <si>
    <t>NCBA BANK KENYA LIMITED</t>
  </si>
  <si>
    <t>21/12/2025</t>
  </si>
  <si>
    <t>516940</t>
  </si>
  <si>
    <t>036540</t>
  </si>
  <si>
    <t>Features; 4 Minutes Pre 7pm News</t>
  </si>
  <si>
    <t>516664</t>
  </si>
  <si>
    <t>P44993</t>
  </si>
  <si>
    <t>High Frequency Weekly Sponsorship</t>
  </si>
  <si>
    <t>516568</t>
  </si>
  <si>
    <t>MPO016385</t>
  </si>
  <si>
    <t>11</t>
  </si>
  <si>
    <t>M-KOPA KENYA LIMITED</t>
  </si>
  <si>
    <t>516184</t>
  </si>
  <si>
    <t>036715</t>
  </si>
  <si>
    <t>Live Link</t>
  </si>
  <si>
    <t>09/12/2025</t>
  </si>
  <si>
    <t>516032</t>
  </si>
  <si>
    <t>036622</t>
  </si>
  <si>
    <t>516030</t>
  </si>
  <si>
    <t>036605</t>
  </si>
  <si>
    <t>A00174</t>
  </si>
  <si>
    <t>ALL SEASONS COMMUNICATIONS LTD</t>
  </si>
  <si>
    <t>516428</t>
  </si>
  <si>
    <t>10958</t>
  </si>
  <si>
    <t>08</t>
  </si>
  <si>
    <t>Mini-Hybrid Weekly Sponsorship</t>
  </si>
  <si>
    <t>SANLAM KENYA PLC</t>
  </si>
  <si>
    <t>516375</t>
  </si>
  <si>
    <t>10954</t>
  </si>
  <si>
    <t>516342</t>
  </si>
  <si>
    <t>10959</t>
  </si>
  <si>
    <t>03</t>
  </si>
  <si>
    <t>516200</t>
  </si>
  <si>
    <t>10955</t>
  </si>
  <si>
    <t>10</t>
  </si>
  <si>
    <t>516168</t>
  </si>
  <si>
    <t>10957</t>
  </si>
  <si>
    <t>516119</t>
  </si>
  <si>
    <t>10956</t>
  </si>
  <si>
    <t>09</t>
  </si>
  <si>
    <t>04/12/2025</t>
  </si>
  <si>
    <t>516669</t>
  </si>
  <si>
    <t>036403</t>
  </si>
  <si>
    <t>Power Talk on Tuesday 9 -10pm</t>
  </si>
  <si>
    <t>KCB BANK KENYA LIMITED</t>
  </si>
  <si>
    <t>516068</t>
  </si>
  <si>
    <t>012665</t>
  </si>
  <si>
    <t>Presenter Mention</t>
  </si>
  <si>
    <t>C00274</t>
  </si>
  <si>
    <t xml:space="preserve">CHEIL KENYA LIMITED </t>
  </si>
  <si>
    <t>17/12/2025</t>
  </si>
  <si>
    <t>516166</t>
  </si>
  <si>
    <t>227574</t>
  </si>
  <si>
    <t>06</t>
  </si>
  <si>
    <t>Radio Production</t>
  </si>
  <si>
    <t xml:space="preserve">SAMSUNG KENYA LIMITED          </t>
  </si>
  <si>
    <t>15/12/2025</t>
  </si>
  <si>
    <t>516117</t>
  </si>
  <si>
    <t>036684</t>
  </si>
  <si>
    <t>515985</t>
  </si>
  <si>
    <t>036685</t>
  </si>
  <si>
    <t>516031</t>
  </si>
  <si>
    <t>P44964</t>
  </si>
  <si>
    <t>S.C JOHNSON &amp; SON KENYA LTD</t>
  </si>
  <si>
    <t>516418</t>
  </si>
  <si>
    <t>036191</t>
  </si>
  <si>
    <t>Show Hosting on the Website</t>
  </si>
  <si>
    <t>516461</t>
  </si>
  <si>
    <t>036708</t>
  </si>
  <si>
    <t>Sponsorship of 7.00PM Clock</t>
  </si>
  <si>
    <t>516427</t>
  </si>
  <si>
    <t>MPO016530</t>
  </si>
  <si>
    <t>Sponsorship of 9.00PM Clock</t>
  </si>
  <si>
    <t>S00002</t>
  </si>
  <si>
    <t>SPREAD MARKETING LIMITED</t>
  </si>
  <si>
    <t>516228</t>
  </si>
  <si>
    <t>7923</t>
  </si>
  <si>
    <t>Sponsorship of Mugambo wa Murimi</t>
  </si>
  <si>
    <t>CKL AFRICA LIMITED</t>
  </si>
  <si>
    <t>A00001</t>
  </si>
  <si>
    <t>ACCESS LEO BURNETT LTD</t>
  </si>
  <si>
    <t>516509</t>
  </si>
  <si>
    <t>2891</t>
  </si>
  <si>
    <t>Sponsorship of News Montage - 9PM</t>
  </si>
  <si>
    <t>BROOKSIDE DAIRY LIMITED</t>
  </si>
  <si>
    <t>516141</t>
  </si>
  <si>
    <t>10930</t>
  </si>
  <si>
    <t>Sponsorship of News Properties</t>
  </si>
  <si>
    <t>EMIRATES AIRLINES</t>
  </si>
  <si>
    <t>516900</t>
  </si>
  <si>
    <t>036829</t>
  </si>
  <si>
    <t>KENTUCKY FRIED CHICKEN</t>
  </si>
  <si>
    <t>516761</t>
  </si>
  <si>
    <t>24632</t>
  </si>
  <si>
    <t>516699</t>
  </si>
  <si>
    <t>P45240</t>
  </si>
  <si>
    <t>516646</t>
  </si>
  <si>
    <t>P45067</t>
  </si>
  <si>
    <t>516645</t>
  </si>
  <si>
    <t>P45061</t>
  </si>
  <si>
    <t>516386</t>
  </si>
  <si>
    <t>036617</t>
  </si>
  <si>
    <t>516436</t>
  </si>
  <si>
    <t>P45154</t>
  </si>
  <si>
    <t>22/12/2025</t>
  </si>
  <si>
    <t>516279</t>
  </si>
  <si>
    <t>036397</t>
  </si>
  <si>
    <t>516570</t>
  </si>
  <si>
    <t>P44572</t>
  </si>
  <si>
    <t>WEETABIX EAST AFRICA LIMITED</t>
  </si>
  <si>
    <t>16/12/2025</t>
  </si>
  <si>
    <t>516572</t>
  </si>
  <si>
    <t>P44886</t>
  </si>
  <si>
    <t>516284</t>
  </si>
  <si>
    <t>P44824</t>
  </si>
  <si>
    <t>516130</t>
  </si>
  <si>
    <t>227409</t>
  </si>
  <si>
    <t>516058</t>
  </si>
  <si>
    <t>24392</t>
  </si>
  <si>
    <t>516037</t>
  </si>
  <si>
    <t>P44854</t>
  </si>
  <si>
    <t>515989</t>
  </si>
  <si>
    <t>227407</t>
  </si>
  <si>
    <t>516865</t>
  </si>
  <si>
    <t>036536</t>
  </si>
  <si>
    <t>Sponsorship of Tailor Made Properties</t>
  </si>
  <si>
    <t>COCA COLA EAST AND CENTRAL AFRICA LIMITED</t>
  </si>
  <si>
    <t>516836</t>
  </si>
  <si>
    <t>P45141</t>
  </si>
  <si>
    <t>Spots Package A - 30 Seconds</t>
  </si>
  <si>
    <t>516566</t>
  </si>
  <si>
    <t>MPO015533</t>
  </si>
  <si>
    <t>BEIERSDORF EAST AFRICA LTD</t>
  </si>
  <si>
    <t>S00194</t>
  </si>
  <si>
    <t>SCANAD KENYA LIMITED</t>
  </si>
  <si>
    <t>516617</t>
  </si>
  <si>
    <t>035144</t>
  </si>
  <si>
    <t>STANBIC BANK KENYA  LIMITED</t>
  </si>
  <si>
    <t>516635</t>
  </si>
  <si>
    <t>P44966</t>
  </si>
  <si>
    <t>13/12/2025</t>
  </si>
  <si>
    <t>516040</t>
  </si>
  <si>
    <t>035139</t>
  </si>
  <si>
    <t>515763</t>
  </si>
  <si>
    <t>2894</t>
  </si>
  <si>
    <t>516281</t>
  </si>
  <si>
    <t>036416</t>
  </si>
  <si>
    <t>516283</t>
  </si>
  <si>
    <t>036658</t>
  </si>
  <si>
    <t>516033</t>
  </si>
  <si>
    <t>036301</t>
  </si>
  <si>
    <t>516696</t>
  </si>
  <si>
    <t>2912</t>
  </si>
  <si>
    <t>Spots Package B - 20 Seconds</t>
  </si>
  <si>
    <t>MARS WRIGLEY CONFECTIONERY KENYA LTD</t>
  </si>
  <si>
    <t>516293</t>
  </si>
  <si>
    <t>001616</t>
  </si>
  <si>
    <t>Spots Package B - 25 Seconds</t>
  </si>
  <si>
    <t>L'OREAL EAST AFRICA LTD</t>
  </si>
  <si>
    <t>516288</t>
  </si>
  <si>
    <t>001609</t>
  </si>
  <si>
    <t>516291</t>
  </si>
  <si>
    <t>001610</t>
  </si>
  <si>
    <t>Spots Package B - 30 Seconds</t>
  </si>
  <si>
    <t>516455</t>
  </si>
  <si>
    <t>036486</t>
  </si>
  <si>
    <t>516047</t>
  </si>
  <si>
    <t>2890</t>
  </si>
  <si>
    <t>516497</t>
  </si>
  <si>
    <t>2969</t>
  </si>
  <si>
    <t>Spots Package C - 15 Seconds</t>
  </si>
  <si>
    <t>ABSA BANK KENYA LIMITED</t>
  </si>
  <si>
    <t>516757</t>
  </si>
  <si>
    <t>MPO016607</t>
  </si>
  <si>
    <t>Spots Package C - 20 Seconds</t>
  </si>
  <si>
    <t>516697</t>
  </si>
  <si>
    <t>2879</t>
  </si>
  <si>
    <t>GLAXOSMITHKKLINE</t>
  </si>
  <si>
    <t>516432</t>
  </si>
  <si>
    <t>001617</t>
  </si>
  <si>
    <t>Spots Package C - 25 Seconds</t>
  </si>
  <si>
    <t>516698</t>
  </si>
  <si>
    <t>2829</t>
  </si>
  <si>
    <t>Spots Package C - 30 Seconds</t>
  </si>
  <si>
    <t>CADBURY KENYA LIMITED</t>
  </si>
  <si>
    <t>516042</t>
  </si>
  <si>
    <t>MPO016126</t>
  </si>
  <si>
    <t>RONGSHENG TECHNOLOGY LIMITED</t>
  </si>
  <si>
    <t>516423</t>
  </si>
  <si>
    <t>MPO016221</t>
  </si>
  <si>
    <t>Spots Package C - 45 Seconds</t>
  </si>
  <si>
    <t>JUBILEE HOLDINGS PLC</t>
  </si>
  <si>
    <t>516834</t>
  </si>
  <si>
    <t>MPO016604</t>
  </si>
  <si>
    <t>Spots Package E - 20 Seconds</t>
  </si>
  <si>
    <t>CANON CHEMICALS LIMITED</t>
  </si>
  <si>
    <t>516622</t>
  </si>
  <si>
    <t>MPO016492</t>
  </si>
  <si>
    <t>516569</t>
  </si>
  <si>
    <t>2980</t>
  </si>
  <si>
    <t>Spots Package E - 25 Seconds</t>
  </si>
  <si>
    <t>10/12/2025</t>
  </si>
  <si>
    <t>516049</t>
  </si>
  <si>
    <t>2846</t>
  </si>
  <si>
    <t>516046</t>
  </si>
  <si>
    <t>2898</t>
  </si>
  <si>
    <t>Spots Package E - 60 Seconds</t>
  </si>
  <si>
    <t>516668</t>
  </si>
  <si>
    <t>036804</t>
  </si>
  <si>
    <t>Squeeze Backs/Lower Thirds Max 10 secs - Off Prime</t>
  </si>
  <si>
    <t>516667</t>
  </si>
  <si>
    <t>036805</t>
  </si>
  <si>
    <t>Squeeze Backs/Lower Thirds Max 10 secs - Prime</t>
  </si>
  <si>
    <t>516948</t>
  </si>
  <si>
    <t>036542</t>
  </si>
  <si>
    <t>TV Production</t>
  </si>
  <si>
    <t>516035</t>
  </si>
  <si>
    <t>P44984</t>
  </si>
  <si>
    <t>516665</t>
  </si>
  <si>
    <t>24542</t>
  </si>
  <si>
    <t>516573</t>
  </si>
  <si>
    <t>24635</t>
  </si>
  <si>
    <t>516550</t>
  </si>
  <si>
    <t>036433</t>
  </si>
  <si>
    <t>TOTAL ENERGIES MARKETING KENYA PLC</t>
  </si>
  <si>
    <t>516541</t>
  </si>
  <si>
    <t>036762</t>
  </si>
  <si>
    <t>516534</t>
  </si>
  <si>
    <t>036671</t>
  </si>
  <si>
    <t>516529</t>
  </si>
  <si>
    <t>036670</t>
  </si>
  <si>
    <t>05</t>
  </si>
  <si>
    <t>516463</t>
  </si>
  <si>
    <t>24636</t>
  </si>
  <si>
    <t>516544</t>
  </si>
  <si>
    <t>036722</t>
  </si>
  <si>
    <t>516618</t>
  </si>
  <si>
    <t>2895</t>
  </si>
  <si>
    <t>516753</t>
  </si>
  <si>
    <t>24541</t>
  </si>
  <si>
    <t>G00084</t>
  </si>
  <si>
    <t>GOODWIN DYNAMICS LTD</t>
  </si>
  <si>
    <t>516532</t>
  </si>
  <si>
    <t>0609</t>
  </si>
  <si>
    <t>OSHO CHEMICAL INDUSTRIES LTD</t>
  </si>
  <si>
    <t>516521</t>
  </si>
  <si>
    <t>24538</t>
  </si>
  <si>
    <t>516163</t>
  </si>
  <si>
    <t>227551</t>
  </si>
  <si>
    <t>516115</t>
  </si>
  <si>
    <t>227548</t>
  </si>
  <si>
    <t>516111</t>
  </si>
  <si>
    <t>227550</t>
  </si>
  <si>
    <t>516103</t>
  </si>
  <si>
    <t>227546</t>
  </si>
  <si>
    <t>516027</t>
  </si>
  <si>
    <t>227545</t>
  </si>
  <si>
    <t>08/12/2025</t>
  </si>
  <si>
    <t>516406</t>
  </si>
  <si>
    <t>2929</t>
  </si>
  <si>
    <t>14</t>
  </si>
  <si>
    <t>516552</t>
  </si>
  <si>
    <t>P44937</t>
  </si>
  <si>
    <t>516630</t>
  </si>
  <si>
    <t>036696</t>
  </si>
  <si>
    <t>Weekly Hybrid Sponsorship</t>
  </si>
  <si>
    <t>516623</t>
  </si>
  <si>
    <t>036809</t>
  </si>
  <si>
    <t>516400</t>
  </si>
  <si>
    <t>036672</t>
  </si>
  <si>
    <t>516624</t>
  </si>
  <si>
    <t>036695</t>
  </si>
  <si>
    <t>516169</t>
  </si>
  <si>
    <t>MPO016612</t>
  </si>
  <si>
    <t>516548</t>
  </si>
  <si>
    <t>036584</t>
  </si>
  <si>
    <t>Weekly Hybrid Sponsorship - AM</t>
  </si>
  <si>
    <t>516028</t>
  </si>
  <si>
    <t>P44662</t>
  </si>
  <si>
    <t>516022</t>
  </si>
  <si>
    <t>036166</t>
  </si>
  <si>
    <t>516620</t>
  </si>
  <si>
    <t>036682</t>
  </si>
  <si>
    <t>Weekly Hybrid Sponsorship -AM</t>
  </si>
  <si>
    <t>516619</t>
  </si>
  <si>
    <t>036812</t>
  </si>
  <si>
    <t>516379</t>
  </si>
  <si>
    <t>036655</t>
  </si>
  <si>
    <t>11/12/2025</t>
  </si>
  <si>
    <t>516152</t>
  </si>
  <si>
    <t>2905</t>
  </si>
  <si>
    <t>516143</t>
  </si>
  <si>
    <t>24494</t>
  </si>
  <si>
    <t>Weekly Youtube Ads Package A - Citizen TV</t>
  </si>
  <si>
    <t>516410</t>
  </si>
  <si>
    <t>MPO016614</t>
  </si>
  <si>
    <t>Weekly Youtube Ads Package B - Citizen TV</t>
  </si>
  <si>
    <t>B00249</t>
  </si>
  <si>
    <t>BRIDE OF THE LAMB MINISTRIES INTERNATIONAL</t>
  </si>
  <si>
    <t>516358</t>
  </si>
  <si>
    <t>227938</t>
  </si>
  <si>
    <t>10 Minutes Pre-recorded Sermonette</t>
  </si>
  <si>
    <t>516160</t>
  </si>
  <si>
    <t>227937</t>
  </si>
  <si>
    <t>516039</t>
  </si>
  <si>
    <t>227822</t>
  </si>
  <si>
    <t>516038</t>
  </si>
  <si>
    <t>227693</t>
  </si>
  <si>
    <t>F00285</t>
  </si>
  <si>
    <t>FLIGHT &amp; HOLIDAY CENTRE LIMITED</t>
  </si>
  <si>
    <t>516658</t>
  </si>
  <si>
    <t>227791</t>
  </si>
  <si>
    <t>10 Secs Spot - 9:00pm - 10:00pm</t>
  </si>
  <si>
    <t>516180</t>
  </si>
  <si>
    <t>227840</t>
  </si>
  <si>
    <t>20 Secs Spot - 6:00am - 9:00am</t>
  </si>
  <si>
    <t>T00309</t>
  </si>
  <si>
    <t>TOLSTOY TRADING LIMITED</t>
  </si>
  <si>
    <t>516493</t>
  </si>
  <si>
    <t>227668</t>
  </si>
  <si>
    <t>K00024</t>
  </si>
  <si>
    <t>KENYA RAILWAYS CORPORATION</t>
  </si>
  <si>
    <t>516762</t>
  </si>
  <si>
    <t>227997</t>
  </si>
  <si>
    <t>60 Secs Spot - 4:00pm-8:00pm</t>
  </si>
  <si>
    <t>K00080</t>
  </si>
  <si>
    <t xml:space="preserve">KENYA PRIVATE SECTOR ALLIANCE </t>
  </si>
  <si>
    <t>516465</t>
  </si>
  <si>
    <t>227969</t>
  </si>
  <si>
    <t>60 Secs Spot - 6:00am-10:00am</t>
  </si>
  <si>
    <t>516407</t>
  </si>
  <si>
    <t>227968</t>
  </si>
  <si>
    <t>516351</t>
  </si>
  <si>
    <t>227971</t>
  </si>
  <si>
    <t>516347</t>
  </si>
  <si>
    <t>227972</t>
  </si>
  <si>
    <t>20</t>
  </si>
  <si>
    <t>U00120</t>
  </si>
  <si>
    <t>UNGA LIMITED</t>
  </si>
  <si>
    <t>516128</t>
  </si>
  <si>
    <t>227155</t>
  </si>
  <si>
    <t>BTL Activations</t>
  </si>
  <si>
    <t>B00026</t>
  </si>
  <si>
    <t>BIDCO AFRICA LIMITED</t>
  </si>
  <si>
    <t>516775</t>
  </si>
  <si>
    <t>226715</t>
  </si>
  <si>
    <t>G00033</t>
  </si>
  <si>
    <t xml:space="preserve">GRETSA UNIVERSITY </t>
  </si>
  <si>
    <t>516366</t>
  </si>
  <si>
    <t>227960</t>
  </si>
  <si>
    <t>G00220</t>
  </si>
  <si>
    <t>GALANA ENERGIES LIMITED</t>
  </si>
  <si>
    <t>516828</t>
  </si>
  <si>
    <t>227478</t>
  </si>
  <si>
    <t>13</t>
  </si>
  <si>
    <t>R00131</t>
  </si>
  <si>
    <t>ROYAL MABATI FACTORY LTD</t>
  </si>
  <si>
    <t>516156</t>
  </si>
  <si>
    <t>227428</t>
  </si>
  <si>
    <t>Bundled up Activation Package B</t>
  </si>
  <si>
    <t>D00194</t>
  </si>
  <si>
    <t>DEMATIAL ENTERPRISES LIMITED</t>
  </si>
  <si>
    <t>516867</t>
  </si>
  <si>
    <t>228050</t>
  </si>
  <si>
    <t>Business Card - 4 days</t>
  </si>
  <si>
    <t>B00120</t>
  </si>
  <si>
    <t>BIASHARA SACCO SOCIETY LTD</t>
  </si>
  <si>
    <t>516234</t>
  </si>
  <si>
    <t>227713</t>
  </si>
  <si>
    <t>Classifieds Package A</t>
  </si>
  <si>
    <t>K00513</t>
  </si>
  <si>
    <t>KISIWA TECHNICAL TRAINING INSTITUTE</t>
  </si>
  <si>
    <t>516450</t>
  </si>
  <si>
    <t>227626</t>
  </si>
  <si>
    <t>Classifieds Package B</t>
  </si>
  <si>
    <t>A00065</t>
  </si>
  <si>
    <t>AGROCHEMICALS ASSOCIATION OF KENYA</t>
  </si>
  <si>
    <t>516370</t>
  </si>
  <si>
    <t>227886</t>
  </si>
  <si>
    <t>B00133</t>
  </si>
  <si>
    <t>BINGWA SAVINGS &amp; CREDIT CO-OPERATIVE SOCIETY LIMITED</t>
  </si>
  <si>
    <t>516369</t>
  </si>
  <si>
    <t>227856</t>
  </si>
  <si>
    <t>A00498</t>
  </si>
  <si>
    <t>AGRIMIX NUTRITION LIMITED</t>
  </si>
  <si>
    <t>516462</t>
  </si>
  <si>
    <t>227792</t>
  </si>
  <si>
    <t>W00164</t>
  </si>
  <si>
    <t>WINNIE MOSH LIMITED</t>
  </si>
  <si>
    <t>516158</t>
  </si>
  <si>
    <t>227837</t>
  </si>
  <si>
    <t>516380</t>
  </si>
  <si>
    <t>227625</t>
  </si>
  <si>
    <t>S00600</t>
  </si>
  <si>
    <t>SKY MART ENTERPRISES LIMITED</t>
  </si>
  <si>
    <t>516109</t>
  </si>
  <si>
    <t>227558</t>
  </si>
  <si>
    <t>J00010</t>
  </si>
  <si>
    <t xml:space="preserve">JOMO KENYATTA FOUNDATION   </t>
  </si>
  <si>
    <t>516154</t>
  </si>
  <si>
    <t>227614</t>
  </si>
  <si>
    <t>E00115</t>
  </si>
  <si>
    <t xml:space="preserve">EMBU COUNTY GOVERNMENT </t>
  </si>
  <si>
    <t>516019</t>
  </si>
  <si>
    <t>227717</t>
  </si>
  <si>
    <t>12</t>
  </si>
  <si>
    <t>Classifieds Package C</t>
  </si>
  <si>
    <t>K00405</t>
  </si>
  <si>
    <t>KENYA COAST NATIONAL POLYTECHNIC</t>
  </si>
  <si>
    <t>516145</t>
  </si>
  <si>
    <t>227209</t>
  </si>
  <si>
    <t>F00287</t>
  </si>
  <si>
    <t>FLORA KARIMI NJERU</t>
  </si>
  <si>
    <t>516017</t>
  </si>
  <si>
    <t>227819</t>
  </si>
  <si>
    <t>Classifieds Package D</t>
  </si>
  <si>
    <t>C00380</t>
  </si>
  <si>
    <t>CITY EYE HOSPITAL LIMITED</t>
  </si>
  <si>
    <t>515988</t>
  </si>
  <si>
    <t>227702</t>
  </si>
  <si>
    <t>B00284</t>
  </si>
  <si>
    <t>ST.BAKHITA SCHOOL LIMITED</t>
  </si>
  <si>
    <t>516349</t>
  </si>
  <si>
    <t>227906</t>
  </si>
  <si>
    <t>Daily  Facebook Posts Citizen TV Kenya</t>
  </si>
  <si>
    <t>B00282</t>
  </si>
  <si>
    <t>BOLT SUPPORT KE LIMITED</t>
  </si>
  <si>
    <t>516629</t>
  </si>
  <si>
    <t>227521</t>
  </si>
  <si>
    <t xml:space="preserve">Daily Instagram Posts Citizen TV </t>
  </si>
  <si>
    <t>T00266</t>
  </si>
  <si>
    <t>TIM-SKY MEDIA SERVICES LIMITED</t>
  </si>
  <si>
    <t>516425</t>
  </si>
  <si>
    <t>227603</t>
  </si>
  <si>
    <t>Digital Video Production</t>
  </si>
  <si>
    <t>AGA KHAN UNIVERSITY HOSPITAL</t>
  </si>
  <si>
    <t>B00278</t>
  </si>
  <si>
    <t>BOLDWIN ENTERPRISES LIMITED</t>
  </si>
  <si>
    <t>516108</t>
  </si>
  <si>
    <t>227842</t>
  </si>
  <si>
    <t>Documentary Max 10 Mins Afternoon/10pm</t>
  </si>
  <si>
    <t>AFRICAN DEVELOPMENT BANK</t>
  </si>
  <si>
    <t>M00425</t>
  </si>
  <si>
    <t xml:space="preserve">MACHAKOS COUNTY GOVERNMENT </t>
  </si>
  <si>
    <t>516579</t>
  </si>
  <si>
    <t>227709</t>
  </si>
  <si>
    <t>Documentary Max 15 Mins 6.00pm-7.00pm</t>
  </si>
  <si>
    <t>T00319</t>
  </si>
  <si>
    <t>THINK COMMUNICATIONS KENYA LIMITED</t>
  </si>
  <si>
    <t>516557</t>
  </si>
  <si>
    <t>228065</t>
  </si>
  <si>
    <t>Documentary Max 15 Mins Afternoon/10pm</t>
  </si>
  <si>
    <t>516326</t>
  </si>
  <si>
    <t>227894</t>
  </si>
  <si>
    <t>Documentary Max 15 Mins off Prime</t>
  </si>
  <si>
    <t>A00162</t>
  </si>
  <si>
    <t>APEX COMMUNICATION LTD</t>
  </si>
  <si>
    <t>516336</t>
  </si>
  <si>
    <t>227829</t>
  </si>
  <si>
    <t>C00315</t>
  </si>
  <si>
    <t>THE CO-OPERATIVE BANK OF KENYA LTD</t>
  </si>
  <si>
    <t>516368</t>
  </si>
  <si>
    <t>227514</t>
  </si>
  <si>
    <t>Q00019</t>
  </si>
  <si>
    <t>QUEV SOUND STATION LOUNGE LIMITED</t>
  </si>
  <si>
    <t>516330</t>
  </si>
  <si>
    <t>227804</t>
  </si>
  <si>
    <t>Inooro TV @10 Mugithi</t>
  </si>
  <si>
    <t>M00635</t>
  </si>
  <si>
    <t>MURANG'A COUNTY GOVERNMENT</t>
  </si>
  <si>
    <t>516315</t>
  </si>
  <si>
    <t>225838</t>
  </si>
  <si>
    <t>F00240</t>
  </si>
  <si>
    <t>FURAHA WORSHIP CENTER MINISTRY</t>
  </si>
  <si>
    <t>516331</t>
  </si>
  <si>
    <t>228054</t>
  </si>
  <si>
    <t>ITV Classifieds</t>
  </si>
  <si>
    <t>K00430</t>
  </si>
  <si>
    <t xml:space="preserve">KASARANI SPORTSVIEW HOTEL LTD </t>
  </si>
  <si>
    <t>516648</t>
  </si>
  <si>
    <t>227911</t>
  </si>
  <si>
    <t>B00239</t>
  </si>
  <si>
    <t>BRICKWAYS PROPERTIES LIMITED</t>
  </si>
  <si>
    <t>516176</t>
  </si>
  <si>
    <t>227926</t>
  </si>
  <si>
    <t>N00349</t>
  </si>
  <si>
    <t>NAIROBI GRACE CHAPEL</t>
  </si>
  <si>
    <t>516593</t>
  </si>
  <si>
    <t>227895</t>
  </si>
  <si>
    <t>Live Church Service with Nairobi</t>
  </si>
  <si>
    <t>Live Coverage per Hour</t>
  </si>
  <si>
    <t>V00086</t>
  </si>
  <si>
    <t>VAGHJIYANI ENTERPRISES LIMITED</t>
  </si>
  <si>
    <t>516637</t>
  </si>
  <si>
    <t>227927</t>
  </si>
  <si>
    <t>F00170</t>
  </si>
  <si>
    <t>FANIKISHA ADVERTISING LIMITED</t>
  </si>
  <si>
    <t>516476</t>
  </si>
  <si>
    <t>227916</t>
  </si>
  <si>
    <t>T00331</t>
  </si>
  <si>
    <t>TURKANA COUNTY GOVERNMENT</t>
  </si>
  <si>
    <t>516193</t>
  </si>
  <si>
    <t>227311</t>
  </si>
  <si>
    <t>516099</t>
  </si>
  <si>
    <t>227708</t>
  </si>
  <si>
    <t>P00063</t>
  </si>
  <si>
    <t xml:space="preserve">POSTAL CORPORATION OF KENYA </t>
  </si>
  <si>
    <t>515758</t>
  </si>
  <si>
    <t>227391</t>
  </si>
  <si>
    <t>R00136</t>
  </si>
  <si>
    <t xml:space="preserve">RED YELLOW &amp; BLUE LTD </t>
  </si>
  <si>
    <t>06/12/2025</t>
  </si>
  <si>
    <t>516730</t>
  </si>
  <si>
    <t>227340</t>
  </si>
  <si>
    <t>CHEPSAITA RUN ORGANISING COMMITTEE</t>
  </si>
  <si>
    <t>C00246</t>
  </si>
  <si>
    <t>COUNTY GOVERNMENT OF MARSABIT</t>
  </si>
  <si>
    <t>515730</t>
  </si>
  <si>
    <t>227424</t>
  </si>
  <si>
    <t>J00111</t>
  </si>
  <si>
    <t xml:space="preserve">JOY MILLERS LIMITED </t>
  </si>
  <si>
    <t>515765</t>
  </si>
  <si>
    <t>227654</t>
  </si>
  <si>
    <t>JOY MILLERS LIMITED</t>
  </si>
  <si>
    <t>515750</t>
  </si>
  <si>
    <t>227653</t>
  </si>
  <si>
    <t>S00581</t>
  </si>
  <si>
    <t>STATE DEPARTMENT FOR CULTURE, THE ARTS AND HERITAGE</t>
  </si>
  <si>
    <t>515533</t>
  </si>
  <si>
    <t>227612</t>
  </si>
  <si>
    <t>K00224</t>
  </si>
  <si>
    <t>KENYA MEDICAL TRAINING COLLEGE</t>
  </si>
  <si>
    <t>03/12/2025</t>
  </si>
  <si>
    <t>515458</t>
  </si>
  <si>
    <t>227295</t>
  </si>
  <si>
    <t>F00302</t>
  </si>
  <si>
    <t>FRIDA NDINDA KAKUVI</t>
  </si>
  <si>
    <t>516643</t>
  </si>
  <si>
    <t>227944</t>
  </si>
  <si>
    <t>Live Link 10 Mins</t>
  </si>
  <si>
    <t>C00252</t>
  </si>
  <si>
    <t xml:space="preserve">THE CIC INSURANCE GROUP PLC </t>
  </si>
  <si>
    <t>516577</t>
  </si>
  <si>
    <t>227467</t>
  </si>
  <si>
    <t>Low Frequency Weekly Sponsorship</t>
  </si>
  <si>
    <t>516565</t>
  </si>
  <si>
    <t>227468</t>
  </si>
  <si>
    <t>516401</t>
  </si>
  <si>
    <t>227465</t>
  </si>
  <si>
    <t>516367</t>
  </si>
  <si>
    <t>227459</t>
  </si>
  <si>
    <t>516229</t>
  </si>
  <si>
    <t>227515</t>
  </si>
  <si>
    <t>516452</t>
  </si>
  <si>
    <t>227466</t>
  </si>
  <si>
    <t>516346</t>
  </si>
  <si>
    <t>227464</t>
  </si>
  <si>
    <t>516239</t>
  </si>
  <si>
    <t>227462</t>
  </si>
  <si>
    <t>516236</t>
  </si>
  <si>
    <t>227463</t>
  </si>
  <si>
    <t>516231</t>
  </si>
  <si>
    <t>227461</t>
  </si>
  <si>
    <t>K00414</t>
  </si>
  <si>
    <t>KANSAI PLASCON KENYA LTD</t>
  </si>
  <si>
    <t>516357</t>
  </si>
  <si>
    <t>227897</t>
  </si>
  <si>
    <t>M00727</t>
  </si>
  <si>
    <t>MULTI ENERGY LIMITED</t>
  </si>
  <si>
    <t>516571</t>
  </si>
  <si>
    <t>227497</t>
  </si>
  <si>
    <t>516352</t>
  </si>
  <si>
    <t>227496</t>
  </si>
  <si>
    <t>516343</t>
  </si>
  <si>
    <t>227501</t>
  </si>
  <si>
    <t>K00509</t>
  </si>
  <si>
    <t>KIDANI STEEL MILLS LTD</t>
  </si>
  <si>
    <t>516238</t>
  </si>
  <si>
    <t>227801</t>
  </si>
  <si>
    <t>W00092</t>
  </si>
  <si>
    <t>WINGU COMMUNICATIONS</t>
  </si>
  <si>
    <t>516118</t>
  </si>
  <si>
    <t>227414</t>
  </si>
  <si>
    <t>AGRICHEM AFRICA LIMITED</t>
  </si>
  <si>
    <t>E00177</t>
  </si>
  <si>
    <t>ECHO NETWORK AFRICA FOUNDATION</t>
  </si>
  <si>
    <t>516063</t>
  </si>
  <si>
    <t>227033</t>
  </si>
  <si>
    <t>516036</t>
  </si>
  <si>
    <t>227041</t>
  </si>
  <si>
    <t>K00043</t>
  </si>
  <si>
    <t>KCA UNIVERSITY</t>
  </si>
  <si>
    <t>516034</t>
  </si>
  <si>
    <t>222578</t>
  </si>
  <si>
    <t>L00162</t>
  </si>
  <si>
    <t>LYDIA KAVULI NDONYE KIMEU</t>
  </si>
  <si>
    <t>516232</t>
  </si>
  <si>
    <t>227996</t>
  </si>
  <si>
    <t>Normal Classifieds</t>
  </si>
  <si>
    <t>N00084</t>
  </si>
  <si>
    <t>NAIROBI CITY WATER AND SEWERAGE CO LTD</t>
  </si>
  <si>
    <t>516147</t>
  </si>
  <si>
    <t>227764</t>
  </si>
  <si>
    <t>A00494</t>
  </si>
  <si>
    <t>AUGUSTUS KYALO MULI</t>
  </si>
  <si>
    <t>516110</t>
  </si>
  <si>
    <t>227759</t>
  </si>
  <si>
    <t>Onground Activation - Bronze package</t>
  </si>
  <si>
    <t>515481</t>
  </si>
  <si>
    <t>227490</t>
  </si>
  <si>
    <t>Onground Activation - Silver package</t>
  </si>
  <si>
    <t>M00454</t>
  </si>
  <si>
    <t>MINISTRY OF INTERIOR AND CORDINATION OF NATIONAL GOVERNMENT</t>
  </si>
  <si>
    <t>01/12/2025</t>
  </si>
  <si>
    <t>516199</t>
  </si>
  <si>
    <t>227591</t>
  </si>
  <si>
    <t>Onground with RMS crew Within 100KM - 2 Hours</t>
  </si>
  <si>
    <t>516197</t>
  </si>
  <si>
    <t>226674</t>
  </si>
  <si>
    <t>Online Documentary 5 to 15 Mins</t>
  </si>
  <si>
    <t>516202</t>
  </si>
  <si>
    <t>227797</t>
  </si>
  <si>
    <t>Outside Broadcasting</t>
  </si>
  <si>
    <t>B00018</t>
  </si>
  <si>
    <t>BROADWAY BAKERY LIMITED</t>
  </si>
  <si>
    <t>516627</t>
  </si>
  <si>
    <t>223371</t>
  </si>
  <si>
    <t>Personal Praise Song</t>
  </si>
  <si>
    <t>K00216</t>
  </si>
  <si>
    <t xml:space="preserve">KENYA ASSEMBLIES OF GOD </t>
  </si>
  <si>
    <t>516592</t>
  </si>
  <si>
    <t>227505</t>
  </si>
  <si>
    <t>Pre-Recorded Church Service</t>
  </si>
  <si>
    <t>P00289</t>
  </si>
  <si>
    <t>PEREZU DIGITAL INSTITUTE LIMITED</t>
  </si>
  <si>
    <t>27/12/2025</t>
  </si>
  <si>
    <t>516327</t>
  </si>
  <si>
    <t>228002</t>
  </si>
  <si>
    <t>516576</t>
  </si>
  <si>
    <t>227503</t>
  </si>
  <si>
    <t>P00263</t>
  </si>
  <si>
    <t>PRIESTHOOD FELLOWSHIP CHURCH</t>
  </si>
  <si>
    <t>516179</t>
  </si>
  <si>
    <t>227622</t>
  </si>
  <si>
    <t>C00036</t>
  </si>
  <si>
    <t xml:space="preserve">CHRISTIAN FOUNDATION FELLOWSHIP </t>
  </si>
  <si>
    <t>516178</t>
  </si>
  <si>
    <t>227978</t>
  </si>
  <si>
    <t>T00317</t>
  </si>
  <si>
    <t>TRUTH MENTORSHIP SOCIETY</t>
  </si>
  <si>
    <t>516175</t>
  </si>
  <si>
    <t>226018</t>
  </si>
  <si>
    <t>516182</t>
  </si>
  <si>
    <t>227865</t>
  </si>
  <si>
    <t>516135</t>
  </si>
  <si>
    <t>227796</t>
  </si>
  <si>
    <t>516134</t>
  </si>
  <si>
    <t>223486</t>
  </si>
  <si>
    <t>516107</t>
  </si>
  <si>
    <t>227404</t>
  </si>
  <si>
    <t>516106</t>
  </si>
  <si>
    <t>227500</t>
  </si>
  <si>
    <t>516139</t>
  </si>
  <si>
    <t>227760</t>
  </si>
  <si>
    <t>515768</t>
  </si>
  <si>
    <t>227623</t>
  </si>
  <si>
    <t>515767</t>
  </si>
  <si>
    <t>227621</t>
  </si>
  <si>
    <t>515755</t>
  </si>
  <si>
    <t>222708</t>
  </si>
  <si>
    <t>515735</t>
  </si>
  <si>
    <t>227498</t>
  </si>
  <si>
    <t>515773</t>
  </si>
  <si>
    <t>227599</t>
  </si>
  <si>
    <t>516558</t>
  </si>
  <si>
    <t>227472</t>
  </si>
  <si>
    <t>516138</t>
  </si>
  <si>
    <t>227469</t>
  </si>
  <si>
    <t>U00043</t>
  </si>
  <si>
    <t>UNITED STATES INTERNATIONAL UNIVERSITY</t>
  </si>
  <si>
    <t>516195</t>
  </si>
  <si>
    <t>227130</t>
  </si>
  <si>
    <t>Programmatic Buying</t>
  </si>
  <si>
    <t>K00564</t>
  </si>
  <si>
    <t>KIMISITU CO-OPERATIVE SAVINGS AND CREDIT SOCIETY LIMITED</t>
  </si>
  <si>
    <t>515984</t>
  </si>
  <si>
    <t>226031</t>
  </si>
  <si>
    <t>C00384</t>
  </si>
  <si>
    <t>CFAO MOBILITY KENYA LIMITED</t>
  </si>
  <si>
    <t>516153</t>
  </si>
  <si>
    <t>227701</t>
  </si>
  <si>
    <t>516866</t>
  </si>
  <si>
    <t>227610</t>
  </si>
  <si>
    <t>Sponsorship of Live Show</t>
  </si>
  <si>
    <t>516638</t>
  </si>
  <si>
    <t>227384</t>
  </si>
  <si>
    <t>C00443</t>
  </si>
  <si>
    <t>CIC ASSET MANAGEMENT LIMITED</t>
  </si>
  <si>
    <t>516112</t>
  </si>
  <si>
    <t>227471</t>
  </si>
  <si>
    <t>H00144</t>
  </si>
  <si>
    <t xml:space="preserve">HERITAGE MABATI MILLS LTD </t>
  </si>
  <si>
    <t>516162</t>
  </si>
  <si>
    <t>227594</t>
  </si>
  <si>
    <t>516610</t>
  </si>
  <si>
    <t>227523</t>
  </si>
  <si>
    <t>Sponsorship of Program Airing more than Once Weekly</t>
  </si>
  <si>
    <t>J00216</t>
  </si>
  <si>
    <t>JOHNPETER WAWERU MURIITHI</t>
  </si>
  <si>
    <t>515537</t>
  </si>
  <si>
    <t>227272</t>
  </si>
  <si>
    <t>Sponsorship of Program Airing Once Weekly Without Spots Ads</t>
  </si>
  <si>
    <t>GEORGE KARIUKI</t>
  </si>
  <si>
    <t>Z00008</t>
  </si>
  <si>
    <t xml:space="preserve">ZETECH UNIVERSITY </t>
  </si>
  <si>
    <t>516609</t>
  </si>
  <si>
    <t>227561</t>
  </si>
  <si>
    <t>E00003</t>
  </si>
  <si>
    <t xml:space="preserve">EQUITY BANK KENYA LIMITED </t>
  </si>
  <si>
    <t>516574</t>
  </si>
  <si>
    <t>227945</t>
  </si>
  <si>
    <t>N00131</t>
  </si>
  <si>
    <t>NAIVAS LIMITED</t>
  </si>
  <si>
    <t>516475</t>
  </si>
  <si>
    <t>226919</t>
  </si>
  <si>
    <t>O00065</t>
  </si>
  <si>
    <t xml:space="preserve">OPTIVEN LIMITED </t>
  </si>
  <si>
    <t>516430</t>
  </si>
  <si>
    <t>227849</t>
  </si>
  <si>
    <t>K00175</t>
  </si>
  <si>
    <t xml:space="preserve">KENYA METHODIST UNIVERSITY [KEMU] </t>
  </si>
  <si>
    <t>516424</t>
  </si>
  <si>
    <t>228023</t>
  </si>
  <si>
    <t>516421</t>
  </si>
  <si>
    <t>227718</t>
  </si>
  <si>
    <t>E00264</t>
  </si>
  <si>
    <t>EQUITY AFYA COMPANY LIMITED BY GUARANTEE</t>
  </si>
  <si>
    <t>516585</t>
  </si>
  <si>
    <t>227751</t>
  </si>
  <si>
    <t>516583</t>
  </si>
  <si>
    <t>227560</t>
  </si>
  <si>
    <t>516313</t>
  </si>
  <si>
    <t>227562</t>
  </si>
  <si>
    <t>A00497</t>
  </si>
  <si>
    <t>AFROQUALITY ENTERPRISES LIMITED</t>
  </si>
  <si>
    <t>516589</t>
  </si>
  <si>
    <t>227721</t>
  </si>
  <si>
    <t>R00232</t>
  </si>
  <si>
    <t>ROK INDUSTRIES LIMITED</t>
  </si>
  <si>
    <t>516588</t>
  </si>
  <si>
    <t>227743</t>
  </si>
  <si>
    <t>516098</t>
  </si>
  <si>
    <t>227308</t>
  </si>
  <si>
    <t>516097</t>
  </si>
  <si>
    <t>227559</t>
  </si>
  <si>
    <t>516095</t>
  </si>
  <si>
    <t>227389</t>
  </si>
  <si>
    <t>W00151</t>
  </si>
  <si>
    <t>WOOLWORTHS (KENYA) PROPRIETARY LIMITED</t>
  </si>
  <si>
    <t>515747</t>
  </si>
  <si>
    <t>226503</t>
  </si>
  <si>
    <t>515744</t>
  </si>
  <si>
    <t>227306</t>
  </si>
  <si>
    <t>D00212</t>
  </si>
  <si>
    <t>DEL MONTE KENYA LIMITED</t>
  </si>
  <si>
    <t>516102</t>
  </si>
  <si>
    <t>227222</t>
  </si>
  <si>
    <t>516101</t>
  </si>
  <si>
    <t>227221</t>
  </si>
  <si>
    <t>M00679</t>
  </si>
  <si>
    <t>MALIMOUNT COMPANY LIMITED</t>
  </si>
  <si>
    <t>516061</t>
  </si>
  <si>
    <t>227538</t>
  </si>
  <si>
    <t>S00448</t>
  </si>
  <si>
    <t xml:space="preserve">STIHL EAST AFRICA LIMITED </t>
  </si>
  <si>
    <t>516372</t>
  </si>
  <si>
    <t>227885</t>
  </si>
  <si>
    <t>Spots Package</t>
  </si>
  <si>
    <t>E00263</t>
  </si>
  <si>
    <t>ELECTORAL LAW AND GOVERNANCE INSTITUTE IN AFRICA</t>
  </si>
  <si>
    <t>515806</t>
  </si>
  <si>
    <t>227365</t>
  </si>
  <si>
    <t>BUSINESS REGISTRATION SERVICE</t>
  </si>
  <si>
    <t>516161</t>
  </si>
  <si>
    <t>227429</t>
  </si>
  <si>
    <t>Spots Package A</t>
  </si>
  <si>
    <t>515991</t>
  </si>
  <si>
    <t>226917</t>
  </si>
  <si>
    <t>516167</t>
  </si>
  <si>
    <t>227427</t>
  </si>
  <si>
    <t>Spots Package A - 20 Seconds</t>
  </si>
  <si>
    <t>C00318</t>
  </si>
  <si>
    <t>CASCADE INSTITUTE OF HOSPITALITY</t>
  </si>
  <si>
    <t>516671</t>
  </si>
  <si>
    <t>227827</t>
  </si>
  <si>
    <t>516591</t>
  </si>
  <si>
    <t>226930</t>
  </si>
  <si>
    <t>P00161</t>
  </si>
  <si>
    <t xml:space="preserve">PETANNS DRIVING SCHOOL &amp; COMPUTER COLLEGE </t>
  </si>
  <si>
    <t>516584</t>
  </si>
  <si>
    <t>227706</t>
  </si>
  <si>
    <t>N00035</t>
  </si>
  <si>
    <t>NICE SUPERMARKET LIMITED</t>
  </si>
  <si>
    <t>516384</t>
  </si>
  <si>
    <t>227174</t>
  </si>
  <si>
    <t>N00031</t>
  </si>
  <si>
    <t xml:space="preserve">NAIROBI INSTITUTE 0F BUSINESS STUDIES </t>
  </si>
  <si>
    <t>516317</t>
  </si>
  <si>
    <t>227745</t>
  </si>
  <si>
    <t>N00385</t>
  </si>
  <si>
    <t>NEW PALEAH MILLERS LIMITED</t>
  </si>
  <si>
    <t>516309</t>
  </si>
  <si>
    <t>227571</t>
  </si>
  <si>
    <t>516321</t>
  </si>
  <si>
    <t>227860</t>
  </si>
  <si>
    <t>M00660</t>
  </si>
  <si>
    <t>MAJILINE SOLUTIONS LIMITED</t>
  </si>
  <si>
    <t>516324</t>
  </si>
  <si>
    <t>228004</t>
  </si>
  <si>
    <t>R00225</t>
  </si>
  <si>
    <t>RICHARD MAINA MURAGURI</t>
  </si>
  <si>
    <t>516612</t>
  </si>
  <si>
    <t>227990</t>
  </si>
  <si>
    <t>M00720</t>
  </si>
  <si>
    <t>MEDICOS SIN FRONTERAS-SPAIN</t>
  </si>
  <si>
    <t>516502</t>
  </si>
  <si>
    <t>227762</t>
  </si>
  <si>
    <t>G00144</t>
  </si>
  <si>
    <t xml:space="preserve">GOODLIFE PHARMACY LTD </t>
  </si>
  <si>
    <t>516429</t>
  </si>
  <si>
    <t>227452</t>
  </si>
  <si>
    <t>M00730</t>
  </si>
  <si>
    <t>MERISHAW SCHOOL LIMITED</t>
  </si>
  <si>
    <t>516320</t>
  </si>
  <si>
    <t>227923</t>
  </si>
  <si>
    <t>K00456</t>
  </si>
  <si>
    <t>KIKKOMAN CORPORATION</t>
  </si>
  <si>
    <t>516512</t>
  </si>
  <si>
    <t>227378</t>
  </si>
  <si>
    <t>M00538</t>
  </si>
  <si>
    <t xml:space="preserve">MAISHA MINERAL AND FERTILIZER LTD </t>
  </si>
  <si>
    <t>516064</t>
  </si>
  <si>
    <t>225696</t>
  </si>
  <si>
    <t>R00165</t>
  </si>
  <si>
    <t>RUIRU MABATI FACTORY LIMITED</t>
  </si>
  <si>
    <t>516131</t>
  </si>
  <si>
    <t>227597</t>
  </si>
  <si>
    <t>T00334</t>
  </si>
  <si>
    <t>TENTACLE COMMUNICATIONS LTD</t>
  </si>
  <si>
    <t>516832</t>
  </si>
  <si>
    <t>227643</t>
  </si>
  <si>
    <t>B00176</t>
  </si>
  <si>
    <t xml:space="preserve">BAKEX MILLERS LTD </t>
  </si>
  <si>
    <t>516137</t>
  </si>
  <si>
    <t>227675</t>
  </si>
  <si>
    <t>B00182</t>
  </si>
  <si>
    <t>BOMA INTERNATIONAL HOSPITALITY COLLEGE</t>
  </si>
  <si>
    <t>516065</t>
  </si>
  <si>
    <t>227081</t>
  </si>
  <si>
    <t>R00238</t>
  </si>
  <si>
    <t>RUBY GLASS WHOLESALERS LIMITED</t>
  </si>
  <si>
    <t>515969</t>
  </si>
  <si>
    <t>227611</t>
  </si>
  <si>
    <t>M00298</t>
  </si>
  <si>
    <t xml:space="preserve">MT. KENYA UNIVERSITY </t>
  </si>
  <si>
    <t>516070</t>
  </si>
  <si>
    <t>226690</t>
  </si>
  <si>
    <t>K00308</t>
  </si>
  <si>
    <t xml:space="preserve">KENYA BANKERS ASSOCIATION </t>
  </si>
  <si>
    <t>516636</t>
  </si>
  <si>
    <t>227933</t>
  </si>
  <si>
    <t>Spots Package A - 50 Seconds</t>
  </si>
  <si>
    <t>G00177</t>
  </si>
  <si>
    <t>THE GLOBAL ALLIANCE FOR IMPROVED NUTRITION</t>
  </si>
  <si>
    <t>516441</t>
  </si>
  <si>
    <t>227833</t>
  </si>
  <si>
    <t>Spots Package A - 55 Seconds</t>
  </si>
  <si>
    <t>516241</t>
  </si>
  <si>
    <t>227834</t>
  </si>
  <si>
    <t>516628</t>
  </si>
  <si>
    <t>226213</t>
  </si>
  <si>
    <t>516296</t>
  </si>
  <si>
    <t>227565</t>
  </si>
  <si>
    <t>Spots Package A1 - 45 Seconds</t>
  </si>
  <si>
    <t>516383</t>
  </si>
  <si>
    <t>227992</t>
  </si>
  <si>
    <t>Spots Package B</t>
  </si>
  <si>
    <t>A00451</t>
  </si>
  <si>
    <t>ADFIRM MEDIA LIMITED</t>
  </si>
  <si>
    <t>516750</t>
  </si>
  <si>
    <t>227875</t>
  </si>
  <si>
    <t>516633</t>
  </si>
  <si>
    <t>227874</t>
  </si>
  <si>
    <t>J00015</t>
  </si>
  <si>
    <t>JODAN COLLEGE OF TECHNOLOGY LTD</t>
  </si>
  <si>
    <t>516333</t>
  </si>
  <si>
    <t>227967</t>
  </si>
  <si>
    <t>F00260</t>
  </si>
  <si>
    <t>FAHARI PLUS GROUP LIMITED</t>
  </si>
  <si>
    <t>516323</t>
  </si>
  <si>
    <t>228064</t>
  </si>
  <si>
    <t>516314</t>
  </si>
  <si>
    <t>227786</t>
  </si>
  <si>
    <t>F00235</t>
  </si>
  <si>
    <t>FINSCO CONSULTING AFRICA LIMITED</t>
  </si>
  <si>
    <t>516325</t>
  </si>
  <si>
    <t>227929</t>
  </si>
  <si>
    <t>W00157</t>
  </si>
  <si>
    <t>WAMBUI NYUTU FOUNDATION</t>
  </si>
  <si>
    <t>516899</t>
  </si>
  <si>
    <t>227737</t>
  </si>
  <si>
    <t>P00312</t>
  </si>
  <si>
    <t>PETER GITHINJI NJUKI</t>
  </si>
  <si>
    <t>516329</t>
  </si>
  <si>
    <t>228021</t>
  </si>
  <si>
    <t>516322</t>
  </si>
  <si>
    <t>227991</t>
  </si>
  <si>
    <t>J00124</t>
  </si>
  <si>
    <t>JAJEMELO LTD</t>
  </si>
  <si>
    <t>516815</t>
  </si>
  <si>
    <t>227619</t>
  </si>
  <si>
    <t>516484</t>
  </si>
  <si>
    <t>227957</t>
  </si>
  <si>
    <t>516318</t>
  </si>
  <si>
    <t>227870</t>
  </si>
  <si>
    <t>M00440</t>
  </si>
  <si>
    <t>MAWEGA COMPANY LTD</t>
  </si>
  <si>
    <t>516316</t>
  </si>
  <si>
    <t>227618</t>
  </si>
  <si>
    <t>C00454</t>
  </si>
  <si>
    <t>CHAYIM INTERNATIONAL GROUP LIMITED</t>
  </si>
  <si>
    <t>516332</t>
  </si>
  <si>
    <t>227876</t>
  </si>
  <si>
    <t>516319</t>
  </si>
  <si>
    <t>227848</t>
  </si>
  <si>
    <t>T00057</t>
  </si>
  <si>
    <t xml:space="preserve">THIKA INSTITUTE OF BUSINESS STUDIES </t>
  </si>
  <si>
    <t>516172</t>
  </si>
  <si>
    <t>227725</t>
  </si>
  <si>
    <t>516133</t>
  </si>
  <si>
    <t>227741</t>
  </si>
  <si>
    <t>T00244</t>
  </si>
  <si>
    <t xml:space="preserve">TOPCARE LAND INVESTMENT LTD </t>
  </si>
  <si>
    <t>516132</t>
  </si>
  <si>
    <t>227690</t>
  </si>
  <si>
    <t>S00557</t>
  </si>
  <si>
    <t>SULUHU LAND LIMITED</t>
  </si>
  <si>
    <t>516136</t>
  </si>
  <si>
    <t>227637</t>
  </si>
  <si>
    <t>516094</t>
  </si>
  <si>
    <t>227434</t>
  </si>
  <si>
    <t>M00701</t>
  </si>
  <si>
    <t>MARIDADY INVESTMENT CO-OPERATIVE SOCIETY LIMITED</t>
  </si>
  <si>
    <t>516140</t>
  </si>
  <si>
    <t>227593</t>
  </si>
  <si>
    <t>B00175</t>
  </si>
  <si>
    <t xml:space="preserve">BRIKO HOMES LTD </t>
  </si>
  <si>
    <t>515764</t>
  </si>
  <si>
    <t>227287</t>
  </si>
  <si>
    <t>F00259</t>
  </si>
  <si>
    <t>FINETUNE SCHOOL OF MUSIC LIMITED</t>
  </si>
  <si>
    <t>515774</t>
  </si>
  <si>
    <t>227421</t>
  </si>
  <si>
    <t>515766</t>
  </si>
  <si>
    <t>227485</t>
  </si>
  <si>
    <t>515762</t>
  </si>
  <si>
    <t>226918</t>
  </si>
  <si>
    <t>515760</t>
  </si>
  <si>
    <t>227214</t>
  </si>
  <si>
    <t>T00233</t>
  </si>
  <si>
    <t xml:space="preserve">TRANSAFRIC ACCOUNTANCY &amp; MANAGEMENT COLLEGE </t>
  </si>
  <si>
    <t>515549</t>
  </si>
  <si>
    <t>227508</t>
  </si>
  <si>
    <t>I00136</t>
  </si>
  <si>
    <t>IMARA LAND INVESTMENTS LIMITED</t>
  </si>
  <si>
    <t>515542</t>
  </si>
  <si>
    <t>227486</t>
  </si>
  <si>
    <t>515538</t>
  </si>
  <si>
    <t>227596</t>
  </si>
  <si>
    <t>B00144</t>
  </si>
  <si>
    <t>BARINGO COUNTY GOVERNMENT</t>
  </si>
  <si>
    <t>516483</t>
  </si>
  <si>
    <t>227799</t>
  </si>
  <si>
    <t>Spots Package B - 45 Seconds</t>
  </si>
  <si>
    <t>B00185</t>
  </si>
  <si>
    <t xml:space="preserve">BOMA MABATI FACTORY LTD </t>
  </si>
  <si>
    <t>516170</t>
  </si>
  <si>
    <t>227845</t>
  </si>
  <si>
    <t>E00130</t>
  </si>
  <si>
    <t>ECART SERVICES KENYA LIMITED</t>
  </si>
  <si>
    <t>516120</t>
  </si>
  <si>
    <t>227661</t>
  </si>
  <si>
    <t>516096</t>
  </si>
  <si>
    <t>227692</t>
  </si>
  <si>
    <t>S00351</t>
  </si>
  <si>
    <t xml:space="preserve">SMART EGYPT KENYA LTD </t>
  </si>
  <si>
    <t>516562</t>
  </si>
  <si>
    <t>227753</t>
  </si>
  <si>
    <t>516666</t>
  </si>
  <si>
    <t>227901</t>
  </si>
  <si>
    <t>B00186</t>
  </si>
  <si>
    <t xml:space="preserve">BIC EAST AFRICA LTD </t>
  </si>
  <si>
    <t>516615</t>
  </si>
  <si>
    <t>227218</t>
  </si>
  <si>
    <t>516611</t>
  </si>
  <si>
    <t>228042</t>
  </si>
  <si>
    <t>W00083</t>
  </si>
  <si>
    <t xml:space="preserve">WEAVER BIRD GARMENT MANUFACTURERS </t>
  </si>
  <si>
    <t>516590</t>
  </si>
  <si>
    <t>228027</t>
  </si>
  <si>
    <t>516587</t>
  </si>
  <si>
    <t>227628</t>
  </si>
  <si>
    <t>516560</t>
  </si>
  <si>
    <t>227930</t>
  </si>
  <si>
    <t>516312</t>
  </si>
  <si>
    <t>227873</t>
  </si>
  <si>
    <t>K00262</t>
  </si>
  <si>
    <t>KENYA MARITIME AUTHORITY</t>
  </si>
  <si>
    <t>516632</t>
  </si>
  <si>
    <t>227928</t>
  </si>
  <si>
    <t>516613</t>
  </si>
  <si>
    <t>228038</t>
  </si>
  <si>
    <t>F00301</t>
  </si>
  <si>
    <t>FOOTEDGE AFRICA LIMITED</t>
  </si>
  <si>
    <t>516510</t>
  </si>
  <si>
    <t>227418</t>
  </si>
  <si>
    <t>S00617</t>
  </si>
  <si>
    <t>SOLOMON MURIITHI MAINA</t>
  </si>
  <si>
    <t>516328</t>
  </si>
  <si>
    <t>227913</t>
  </si>
  <si>
    <t>G00231</t>
  </si>
  <si>
    <t>GLEE HOTEL LIMITED</t>
  </si>
  <si>
    <t>516567</t>
  </si>
  <si>
    <t>227305</t>
  </si>
  <si>
    <t>B00192</t>
  </si>
  <si>
    <t xml:space="preserve">BROOKHURST INTERNATIONAL SCHOOL LIMITED </t>
  </si>
  <si>
    <t>516174</t>
  </si>
  <si>
    <t>227855</t>
  </si>
  <si>
    <t>K00258</t>
  </si>
  <si>
    <t>KENYA INSTITUTE OF SOCIAL WORK AND COMMUNITY DEVELOPMENT LIMITED</t>
  </si>
  <si>
    <t>516561</t>
  </si>
  <si>
    <t>227798</t>
  </si>
  <si>
    <t>516173</t>
  </si>
  <si>
    <t>227864</t>
  </si>
  <si>
    <t>D00215</t>
  </si>
  <si>
    <t>DIVE MARKETING LIMITED</t>
  </si>
  <si>
    <t>516177</t>
  </si>
  <si>
    <t>227821</t>
  </si>
  <si>
    <t>IMPERIAL COLLEGE OF MEDICAL AND HEALTH SCIENCES</t>
  </si>
  <si>
    <t>K00466</t>
  </si>
  <si>
    <t>KENYA MORTGAGE REFINANCE COMPANY PLC</t>
  </si>
  <si>
    <t>516116</t>
  </si>
  <si>
    <t>227135</t>
  </si>
  <si>
    <t>A00499</t>
  </si>
  <si>
    <t>AZAM MEDIA (K) LIMITED</t>
  </si>
  <si>
    <t>515944</t>
  </si>
  <si>
    <t>227543</t>
  </si>
  <si>
    <t>516586</t>
  </si>
  <si>
    <t>227785</t>
  </si>
  <si>
    <t>K00472</t>
  </si>
  <si>
    <t xml:space="preserve">KENYA POLICE INVESTMENT CO-OPERATIVE SOCIETY    </t>
  </si>
  <si>
    <t>516114</t>
  </si>
  <si>
    <t>227525</t>
  </si>
  <si>
    <t>Spots Package C - 35 Seconds</t>
  </si>
  <si>
    <t>516513</t>
  </si>
  <si>
    <t>227667</t>
  </si>
  <si>
    <t>Spots Package C - 40 Seconds</t>
  </si>
  <si>
    <t>T00245</t>
  </si>
  <si>
    <t xml:space="preserve">TARANZEEL MEDIA LIMITED </t>
  </si>
  <si>
    <t>516298</t>
  </si>
  <si>
    <t>227825</t>
  </si>
  <si>
    <t>TALASH ENTERPRISES LTD</t>
  </si>
  <si>
    <t>516066</t>
  </si>
  <si>
    <t>227664</t>
  </si>
  <si>
    <t>516067</t>
  </si>
  <si>
    <t>227712</t>
  </si>
  <si>
    <t>516559</t>
  </si>
  <si>
    <t>227887</t>
  </si>
  <si>
    <t>Spots Package C - 60 Seconds</t>
  </si>
  <si>
    <t>K00305</t>
  </si>
  <si>
    <t xml:space="preserve">KENYA TOURISM BOARD </t>
  </si>
  <si>
    <t>516171</t>
  </si>
  <si>
    <t>227768</t>
  </si>
  <si>
    <t>Spots Package C3 - 90 Seconds</t>
  </si>
  <si>
    <t>K00062</t>
  </si>
  <si>
    <t xml:space="preserve">KENYA INSTITUTE OF PROFESSIONAL STUDIES </t>
  </si>
  <si>
    <t>516634</t>
  </si>
  <si>
    <t>227826</t>
  </si>
  <si>
    <t>Spots Package D - 30 Seconds</t>
  </si>
  <si>
    <t>R00211</t>
  </si>
  <si>
    <t>REWAM CONSULTANCY FIRM LIMITED</t>
  </si>
  <si>
    <t>516639</t>
  </si>
  <si>
    <t>227839</t>
  </si>
  <si>
    <t>F00242</t>
  </si>
  <si>
    <t>FINETOUCH AFRICA LIMITED</t>
  </si>
  <si>
    <t>516507</t>
  </si>
  <si>
    <t>227771</t>
  </si>
  <si>
    <t>Spots Package E - 15 Seconds</t>
  </si>
  <si>
    <t>M00601</t>
  </si>
  <si>
    <t>MAJID AL FUTTAIM HYPERMARKET LIMITED</t>
  </si>
  <si>
    <t>516227</t>
  </si>
  <si>
    <t>227742</t>
  </si>
  <si>
    <t>516614</t>
  </si>
  <si>
    <t>228056</t>
  </si>
  <si>
    <t>Spots Package E - 30 Seconds</t>
  </si>
  <si>
    <t>I00069</t>
  </si>
  <si>
    <t>INSTITUTE OF CERTIFIED PUBLIC ACCOUNTANT OF KENYA (ICPAK)</t>
  </si>
  <si>
    <t>515530</t>
  </si>
  <si>
    <t>227585</t>
  </si>
  <si>
    <t>C00394</t>
  </si>
  <si>
    <t>COUNTY GOVERNMENT OF MIGORI</t>
  </si>
  <si>
    <t>516563</t>
  </si>
  <si>
    <t>227662</t>
  </si>
  <si>
    <t>Spots Package E - 35 Seconds</t>
  </si>
  <si>
    <t>K00531</t>
  </si>
  <si>
    <t>KABETE NATIONAL POLYTECHNIC</t>
  </si>
  <si>
    <t>516640</t>
  </si>
  <si>
    <t>228025</t>
  </si>
  <si>
    <t>Spots Package E - 40 Seconds</t>
  </si>
  <si>
    <t>D00243</t>
  </si>
  <si>
    <t>DANISH REFUGEE COUNCIL</t>
  </si>
  <si>
    <t>516155</t>
  </si>
  <si>
    <t>227711</t>
  </si>
  <si>
    <t>Talkshow - Off Prime</t>
  </si>
  <si>
    <t>Talkshow - Prime Time</t>
  </si>
  <si>
    <t>G00218</t>
  </si>
  <si>
    <t>GLOHA SAVINGS AND CREDIT CO-OPERATIVE SOCIETY LTD</t>
  </si>
  <si>
    <t>516148</t>
  </si>
  <si>
    <t>227727</t>
  </si>
  <si>
    <t>G00082</t>
  </si>
  <si>
    <t>GREENLIFE CROP PROTECTION AFRICA LTD</t>
  </si>
  <si>
    <t>516023</t>
  </si>
  <si>
    <t>227258</t>
  </si>
  <si>
    <t>N00237</t>
  </si>
  <si>
    <t>NAIROBI SECURITIES EXCHANGE PLC</t>
  </si>
  <si>
    <t>515987</t>
  </si>
  <si>
    <t>227673</t>
  </si>
  <si>
    <t>516150</t>
  </si>
  <si>
    <t>227669</t>
  </si>
  <si>
    <t>Talkshow/Interview 30 Mins 5am-5pm</t>
  </si>
  <si>
    <t>516656</t>
  </si>
  <si>
    <t>227475</t>
  </si>
  <si>
    <t>Talkshow/Interview 30 Mins 5am-6pm</t>
  </si>
  <si>
    <t>516164</t>
  </si>
  <si>
    <t>227474</t>
  </si>
  <si>
    <t>G00159</t>
  </si>
  <si>
    <t>GOLDEN DREAM LAND AND PROPERTIES LIMITED</t>
  </si>
  <si>
    <t>516670</t>
  </si>
  <si>
    <t>225557</t>
  </si>
  <si>
    <t>Talkshow/Interview 30 Minutes 6am - 1pm</t>
  </si>
  <si>
    <t>516334</t>
  </si>
  <si>
    <t>227292</t>
  </si>
  <si>
    <t>516181</t>
  </si>
  <si>
    <t>227473</t>
  </si>
  <si>
    <t>O00131</t>
  </si>
  <si>
    <t>OVERSTONE VENTURES GROUP LIMITED</t>
  </si>
  <si>
    <t>516335</t>
  </si>
  <si>
    <t>227775</t>
  </si>
  <si>
    <t>515771</t>
  </si>
  <si>
    <t>223659</t>
  </si>
  <si>
    <t>J00213</t>
  </si>
  <si>
    <t>JAYSTAR REAL ESTATE LIMITED</t>
  </si>
  <si>
    <t>515769</t>
  </si>
  <si>
    <t>226356</t>
  </si>
  <si>
    <t>515772</t>
  </si>
  <si>
    <t>223682</t>
  </si>
  <si>
    <t>D00156</t>
  </si>
  <si>
    <t>DHAHABU LAND LTD</t>
  </si>
  <si>
    <t>515539</t>
  </si>
  <si>
    <t>225133</t>
  </si>
  <si>
    <t>515545</t>
  </si>
  <si>
    <t>227403</t>
  </si>
  <si>
    <t>02/12/2025</t>
  </si>
  <si>
    <t>515770</t>
  </si>
  <si>
    <t>223658</t>
  </si>
  <si>
    <t>F00217</t>
  </si>
  <si>
    <t xml:space="preserve">FARMHOLD VENTURES LIMITED </t>
  </si>
  <si>
    <t>516872</t>
  </si>
  <si>
    <t>225868</t>
  </si>
  <si>
    <t>516113</t>
  </si>
  <si>
    <t>227470</t>
  </si>
  <si>
    <t>Talkshow/Interview per Hour</t>
  </si>
  <si>
    <t>Z00021</t>
  </si>
  <si>
    <t>ZIZI AFRIQUE FOUNDATION</t>
  </si>
  <si>
    <t>515493</t>
  </si>
  <si>
    <t>227372</t>
  </si>
  <si>
    <t>515552</t>
  </si>
  <si>
    <t>227750</t>
  </si>
  <si>
    <t>516631</t>
  </si>
  <si>
    <t>227905</t>
  </si>
  <si>
    <t>516183</t>
  </si>
  <si>
    <t>227902</t>
  </si>
  <si>
    <t>Twitter Space Sponsorship</t>
  </si>
  <si>
    <t>E00104</t>
  </si>
  <si>
    <t xml:space="preserve">ETHICS AND ANTI CORRUPTION COMMISSION </t>
  </si>
  <si>
    <t>516196</t>
  </si>
  <si>
    <t>227696</t>
  </si>
  <si>
    <t>O00101</t>
  </si>
  <si>
    <t>OSOTSI ATIENO GODFREY</t>
  </si>
  <si>
    <t>516205</t>
  </si>
  <si>
    <t>227847</t>
  </si>
  <si>
    <t>15</t>
  </si>
  <si>
    <t>Weekend Guide</t>
  </si>
  <si>
    <t>P00275</t>
  </si>
  <si>
    <t>PLAY ZURI HEALTH LIMITED</t>
  </si>
  <si>
    <t>516159</t>
  </si>
  <si>
    <t>227199</t>
  </si>
  <si>
    <t>Weekly  Facebook Posts Citizen TV Kenya</t>
  </si>
  <si>
    <t>H00177</t>
  </si>
  <si>
    <t>HOME AFRIKA COMMUNITIES LIMITED</t>
  </si>
  <si>
    <t>516194</t>
  </si>
  <si>
    <t>227376</t>
  </si>
  <si>
    <t>D00228</t>
  </si>
  <si>
    <t>DENISH OUMA OKETCH</t>
  </si>
  <si>
    <t>516198</t>
  </si>
  <si>
    <t>227598</t>
  </si>
  <si>
    <t>516575</t>
  </si>
  <si>
    <t>227570</t>
  </si>
  <si>
    <t>516519</t>
  </si>
  <si>
    <t>227176</t>
  </si>
  <si>
    <t>516464</t>
  </si>
  <si>
    <t>227568</t>
  </si>
  <si>
    <t>516404</t>
  </si>
  <si>
    <t>227572</t>
  </si>
  <si>
    <t>516377</t>
  </si>
  <si>
    <t>227566</t>
  </si>
  <si>
    <t>516374</t>
  </si>
  <si>
    <t>227936</t>
  </si>
  <si>
    <t>516371</t>
  </si>
  <si>
    <t>226218</t>
  </si>
  <si>
    <t>516365</t>
  </si>
  <si>
    <t>227175</t>
  </si>
  <si>
    <t>516356</t>
  </si>
  <si>
    <t>227645</t>
  </si>
  <si>
    <t>516345</t>
  </si>
  <si>
    <t>226220</t>
  </si>
  <si>
    <t>516344</t>
  </si>
  <si>
    <t>227935</t>
  </si>
  <si>
    <t>516341</t>
  </si>
  <si>
    <t>226216</t>
  </si>
  <si>
    <t>516340</t>
  </si>
  <si>
    <t>227567</t>
  </si>
  <si>
    <t>516237</t>
  </si>
  <si>
    <t>226219</t>
  </si>
  <si>
    <t>F00010</t>
  </si>
  <si>
    <t>FAMILY BANK LIMITED</t>
  </si>
  <si>
    <t>516625</t>
  </si>
  <si>
    <t>228078</t>
  </si>
  <si>
    <t>516338</t>
  </si>
  <si>
    <t>226215</t>
  </si>
  <si>
    <t>516337</t>
  </si>
  <si>
    <t>227932</t>
  </si>
  <si>
    <t>516616</t>
  </si>
  <si>
    <t>227647</t>
  </si>
  <si>
    <t>516376</t>
  </si>
  <si>
    <t>227752</t>
  </si>
  <si>
    <t>516364</t>
  </si>
  <si>
    <t>226905</t>
  </si>
  <si>
    <t>516360</t>
  </si>
  <si>
    <t>226908</t>
  </si>
  <si>
    <t>516235</t>
  </si>
  <si>
    <t>226907</t>
  </si>
  <si>
    <t>516524</t>
  </si>
  <si>
    <t>227677</t>
  </si>
  <si>
    <t>516399</t>
  </si>
  <si>
    <t>227807</t>
  </si>
  <si>
    <t>516361</t>
  </si>
  <si>
    <t>227681</t>
  </si>
  <si>
    <t>516353</t>
  </si>
  <si>
    <t>227806</t>
  </si>
  <si>
    <t>516230</t>
  </si>
  <si>
    <t>227676</t>
  </si>
  <si>
    <t>516578</t>
  </si>
  <si>
    <t>226911</t>
  </si>
  <si>
    <t>516522</t>
  </si>
  <si>
    <t>226912</t>
  </si>
  <si>
    <t>516348</t>
  </si>
  <si>
    <t>226915</t>
  </si>
  <si>
    <t>516240</t>
  </si>
  <si>
    <t>226910</t>
  </si>
  <si>
    <t>516203</t>
  </si>
  <si>
    <t>226913</t>
  </si>
  <si>
    <t>516201</t>
  </si>
  <si>
    <t>227648</t>
  </si>
  <si>
    <t>516165</t>
  </si>
  <si>
    <t>227595</t>
  </si>
  <si>
    <t>K00243</t>
  </si>
  <si>
    <t>KARIRANA ESTATES LTD</t>
  </si>
  <si>
    <t>516233</t>
  </si>
  <si>
    <t>226705</t>
  </si>
  <si>
    <t>U00078</t>
  </si>
  <si>
    <t>UNCLAIMED FINANCIAL ASSETS AUTHORITY</t>
  </si>
  <si>
    <t>516373</t>
  </si>
  <si>
    <t>227399</t>
  </si>
  <si>
    <t>516204</t>
  </si>
  <si>
    <t>227678</t>
  </si>
  <si>
    <t>516192</t>
  </si>
  <si>
    <t>227724</t>
  </si>
  <si>
    <t>516157</t>
  </si>
  <si>
    <t>227679</t>
  </si>
  <si>
    <t>516142</t>
  </si>
  <si>
    <t>227682</t>
  </si>
  <si>
    <t>516105</t>
  </si>
  <si>
    <t>227683</t>
  </si>
  <si>
    <t>U00090</t>
  </si>
  <si>
    <t xml:space="preserve">USERNAME INVESTMENT LIMITED </t>
  </si>
  <si>
    <t>516104</t>
  </si>
  <si>
    <t>227433</t>
  </si>
  <si>
    <t>516898</t>
  </si>
  <si>
    <t>227646</t>
  </si>
  <si>
    <t>516829</t>
  </si>
  <si>
    <t>227644</t>
  </si>
  <si>
    <t>516149</t>
  </si>
  <si>
    <t>226819</t>
  </si>
  <si>
    <t>516021</t>
  </si>
  <si>
    <t>226593</t>
  </si>
  <si>
    <t>516020</t>
  </si>
  <si>
    <t>226541</t>
  </si>
  <si>
    <t>R00220</t>
  </si>
  <si>
    <t>RUAI FAMILY HOSPITAL LIMITED</t>
  </si>
  <si>
    <t>515986</t>
  </si>
  <si>
    <t>226473</t>
  </si>
  <si>
    <t>515982</t>
  </si>
  <si>
    <t>226821</t>
  </si>
  <si>
    <t>515980</t>
  </si>
  <si>
    <t>226820</t>
  </si>
  <si>
    <t>515979</t>
  </si>
  <si>
    <t>226590</t>
  </si>
  <si>
    <t>K00445</t>
  </si>
  <si>
    <t xml:space="preserve">KENYATTA UNIVERSITY TEACHING, REFERRAL AND RESEARCH HOSPITAL </t>
  </si>
  <si>
    <t>516339</t>
  </si>
  <si>
    <t>227499</t>
  </si>
  <si>
    <t>Weekly Activation - Mid Morning Show</t>
  </si>
  <si>
    <t>F00261</t>
  </si>
  <si>
    <t>FARMFIX AFRICA COMPANY LIMITED</t>
  </si>
  <si>
    <t>515162</t>
  </si>
  <si>
    <t>227441</t>
  </si>
  <si>
    <t>516355</t>
  </si>
  <si>
    <t>226217</t>
  </si>
  <si>
    <t>516354</t>
  </si>
  <si>
    <t>227934</t>
  </si>
  <si>
    <t>K00467</t>
  </si>
  <si>
    <t xml:space="preserve">KETING KENYA TECHNOLOGY LIMITED </t>
  </si>
  <si>
    <t>516146</t>
  </si>
  <si>
    <t>227698</t>
  </si>
  <si>
    <t xml:space="preserve">Weekly Instagram Posts Citizen TV </t>
  </si>
  <si>
    <t>S00615</t>
  </si>
  <si>
    <t>SBM BANK KENYA LIMITED</t>
  </si>
  <si>
    <t>516420</t>
  </si>
  <si>
    <t>227738</t>
  </si>
  <si>
    <t>S00509</t>
  </si>
  <si>
    <t>SHIRINI EVENTS</t>
  </si>
  <si>
    <t>516144</t>
  </si>
  <si>
    <t>227697</t>
  </si>
  <si>
    <t>516426</t>
  </si>
  <si>
    <t>227931</t>
  </si>
  <si>
    <t>VATable_Amount</t>
  </si>
  <si>
    <t>Correct_VAT_Amount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</si>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</sst>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39" fontId="2" fillId="0" borderId="0" xfId="0" applyNumberFormat="1" applyFont="1" applyAlignment="1">
      <alignment horizontal="right"/>
    </xf>
    <xf numFmtId="39" fontId="0" fillId="0" borderId="0" xfId="0" applyNumberFormat="1"/>
    <xf numFmtId="39" fontId="2" fillId="2" borderId="0" xfId="0" applyNumberFormat="1" applyFont="1" applyFill="1" applyAlignment="1">
      <alignment horizontal="right"/>
    </xf>
    <xf numFmtId="39" fontId="0" fillId="2" borderId="0" xfId="0" applyNumberFormat="1" applyFill="1"/>
    <xf numFmtId="39" fontId="2" fillId="3" borderId="0" xfId="0" applyNumberFormat="1" applyFont="1" applyFill="1" applyAlignment="1">
      <alignment horizontal="right"/>
    </xf>
    <xf numFmtId="39" fontId="0" fillId="3" borderId="0" xfId="0" applyNumberFormat="1" applyFill="1"/>
    <xf numFmtId="3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3BCA-6F38-4F73-808B-691E7C64A05C}">
  <dimension ref="A1:O48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5" x14ac:dyDescent="0.25"/>
  <cols>
    <col min="2" max="2" width="43.7109375" customWidth="1"/>
    <col min="3" max="3" width="10.42578125" customWidth="1"/>
    <col min="6" max="6" width="10.85546875" bestFit="1" customWidth="1"/>
    <col min="7" max="7" width="13.5703125" bestFit="1" customWidth="1"/>
    <col min="8" max="8" width="16.7109375" bestFit="1" customWidth="1"/>
    <col min="9" max="9" width="13.5703125" bestFit="1" customWidth="1"/>
    <col min="10" max="10" width="20.42578125" bestFit="1" customWidth="1"/>
    <col min="11" max="11" width="14.28515625" bestFit="1" customWidth="1"/>
    <col min="12" max="12" width="13.7109375" bestFit="1" customWidth="1"/>
    <col min="13" max="13" width="3" bestFit="1" customWidth="1"/>
    <col min="14" max="14" width="42" customWidth="1"/>
    <col min="15" max="15" width="39.7109375" customWidth="1"/>
  </cols>
  <sheetData>
    <row r="1" spans="1:15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1504</v>
      </c>
      <c r="I1" s="5" t="s">
        <v>7</v>
      </c>
      <c r="J1" s="7" t="s">
        <v>1505</v>
      </c>
      <c r="K1" s="3" t="s">
        <v>1506</v>
      </c>
      <c r="L1" s="3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F2" s="4"/>
      <c r="G2" s="4"/>
      <c r="H2" s="4"/>
      <c r="I2" s="6"/>
      <c r="J2" s="8"/>
      <c r="K2" s="4"/>
      <c r="L2" s="4"/>
    </row>
    <row r="3" spans="1:15" x14ac:dyDescent="0.25">
      <c r="A3" t="s">
        <v>831</v>
      </c>
      <c r="B3" t="s">
        <v>832</v>
      </c>
      <c r="C3" t="s">
        <v>14</v>
      </c>
      <c r="D3" t="s">
        <v>833</v>
      </c>
      <c r="E3" t="s">
        <v>834</v>
      </c>
      <c r="F3" s="4">
        <v>0</v>
      </c>
      <c r="G3" s="4">
        <v>42500</v>
      </c>
      <c r="H3" s="4">
        <f>F3+G3</f>
        <v>42500</v>
      </c>
      <c r="I3" s="6">
        <v>680000</v>
      </c>
      <c r="J3" s="8">
        <f>H3*0.16</f>
        <v>6800</v>
      </c>
      <c r="K3" s="4">
        <f>J3-I3</f>
        <v>-673200</v>
      </c>
      <c r="L3" s="4">
        <v>722500</v>
      </c>
      <c r="M3" t="s">
        <v>146</v>
      </c>
      <c r="N3" t="s">
        <v>830</v>
      </c>
      <c r="O3" t="s">
        <v>17</v>
      </c>
    </row>
    <row r="4" spans="1:15" x14ac:dyDescent="0.25">
      <c r="A4" t="s">
        <v>831</v>
      </c>
      <c r="B4" t="s">
        <v>832</v>
      </c>
      <c r="C4" t="s">
        <v>14</v>
      </c>
      <c r="D4" t="s">
        <v>833</v>
      </c>
      <c r="E4" t="s">
        <v>834</v>
      </c>
      <c r="F4" s="4">
        <v>0</v>
      </c>
      <c r="G4" s="4">
        <v>140000</v>
      </c>
      <c r="H4" s="4">
        <f t="shared" ref="H4:H67" si="0">F4+G4</f>
        <v>140000</v>
      </c>
      <c r="I4" s="6">
        <v>2240000</v>
      </c>
      <c r="J4" s="8">
        <f t="shared" ref="J4:J67" si="1">H4*0.16</f>
        <v>22400</v>
      </c>
      <c r="K4" s="4">
        <f t="shared" ref="K4:K43" si="2">J4-I4</f>
        <v>-2217600</v>
      </c>
      <c r="L4" s="4">
        <v>2380000</v>
      </c>
      <c r="M4" t="s">
        <v>146</v>
      </c>
      <c r="N4" t="s">
        <v>1340</v>
      </c>
      <c r="O4" t="s">
        <v>17</v>
      </c>
    </row>
    <row r="5" spans="1:15" x14ac:dyDescent="0.25">
      <c r="A5" t="s">
        <v>831</v>
      </c>
      <c r="B5" t="s">
        <v>832</v>
      </c>
      <c r="C5" t="s">
        <v>14</v>
      </c>
      <c r="D5" t="s">
        <v>833</v>
      </c>
      <c r="E5" t="s">
        <v>834</v>
      </c>
      <c r="F5" s="4">
        <v>0</v>
      </c>
      <c r="G5" s="4">
        <v>175000</v>
      </c>
      <c r="H5" s="4">
        <f t="shared" si="0"/>
        <v>175000</v>
      </c>
      <c r="I5" s="6">
        <v>2800000</v>
      </c>
      <c r="J5" s="8">
        <f t="shared" si="1"/>
        <v>28000</v>
      </c>
      <c r="K5" s="4">
        <f t="shared" si="2"/>
        <v>-2772000</v>
      </c>
      <c r="L5" s="4">
        <v>2975000</v>
      </c>
      <c r="M5" t="s">
        <v>201</v>
      </c>
      <c r="N5" t="s">
        <v>1272</v>
      </c>
      <c r="O5" t="s">
        <v>17</v>
      </c>
    </row>
    <row r="6" spans="1:15" x14ac:dyDescent="0.25">
      <c r="A6" t="s">
        <v>831</v>
      </c>
      <c r="B6" t="s">
        <v>832</v>
      </c>
      <c r="C6" t="s">
        <v>14</v>
      </c>
      <c r="D6" t="s">
        <v>833</v>
      </c>
      <c r="E6" t="s">
        <v>834</v>
      </c>
      <c r="F6" s="4">
        <v>0</v>
      </c>
      <c r="G6" s="4">
        <v>210000</v>
      </c>
      <c r="H6" s="4">
        <f t="shared" si="0"/>
        <v>210000</v>
      </c>
      <c r="I6" s="6">
        <v>3360000</v>
      </c>
      <c r="J6" s="8">
        <f t="shared" si="1"/>
        <v>33600</v>
      </c>
      <c r="K6" s="4">
        <f t="shared" si="2"/>
        <v>-3326400</v>
      </c>
      <c r="L6" s="4">
        <v>3570000</v>
      </c>
      <c r="M6" t="s">
        <v>379</v>
      </c>
      <c r="N6" t="s">
        <v>1272</v>
      </c>
      <c r="O6" t="s">
        <v>17</v>
      </c>
    </row>
    <row r="7" spans="1:15" x14ac:dyDescent="0.25">
      <c r="A7" t="s">
        <v>831</v>
      </c>
      <c r="B7" t="s">
        <v>832</v>
      </c>
      <c r="C7" t="s">
        <v>14</v>
      </c>
      <c r="D7" t="s">
        <v>833</v>
      </c>
      <c r="E7" t="s">
        <v>834</v>
      </c>
      <c r="F7" s="4">
        <v>0</v>
      </c>
      <c r="G7" s="4">
        <v>292500</v>
      </c>
      <c r="H7" s="4">
        <f t="shared" si="0"/>
        <v>292500</v>
      </c>
      <c r="I7" s="6">
        <v>4680000</v>
      </c>
      <c r="J7" s="8">
        <f t="shared" si="1"/>
        <v>46800</v>
      </c>
      <c r="K7" s="4">
        <f t="shared" si="2"/>
        <v>-4633200</v>
      </c>
      <c r="L7" s="4">
        <v>4972500</v>
      </c>
      <c r="M7" t="s">
        <v>146</v>
      </c>
      <c r="N7" t="s">
        <v>441</v>
      </c>
      <c r="O7" t="s">
        <v>17</v>
      </c>
    </row>
    <row r="8" spans="1:15" x14ac:dyDescent="0.25">
      <c r="A8" t="s">
        <v>1277</v>
      </c>
      <c r="B8" t="s">
        <v>1278</v>
      </c>
      <c r="C8" t="s">
        <v>163</v>
      </c>
      <c r="D8" t="s">
        <v>1279</v>
      </c>
      <c r="E8" t="s">
        <v>1280</v>
      </c>
      <c r="F8" s="4">
        <v>0</v>
      </c>
      <c r="G8" s="4">
        <v>195000</v>
      </c>
      <c r="H8" s="4">
        <f t="shared" si="0"/>
        <v>195000</v>
      </c>
      <c r="I8" s="6">
        <v>3120000</v>
      </c>
      <c r="J8" s="8">
        <f t="shared" si="1"/>
        <v>31200</v>
      </c>
      <c r="K8" s="4">
        <f t="shared" si="2"/>
        <v>-3088800</v>
      </c>
      <c r="L8" s="4">
        <v>3315000</v>
      </c>
      <c r="M8" t="s">
        <v>172</v>
      </c>
      <c r="N8" t="s">
        <v>1272</v>
      </c>
      <c r="O8" t="s">
        <v>17</v>
      </c>
    </row>
    <row r="9" spans="1:15" x14ac:dyDescent="0.25">
      <c r="A9" t="s">
        <v>1277</v>
      </c>
      <c r="B9" t="s">
        <v>1278</v>
      </c>
      <c r="C9" t="s">
        <v>163</v>
      </c>
      <c r="D9" t="s">
        <v>1279</v>
      </c>
      <c r="E9" t="s">
        <v>1280</v>
      </c>
      <c r="F9" s="4">
        <v>0</v>
      </c>
      <c r="G9" s="4">
        <v>195000</v>
      </c>
      <c r="H9" s="4">
        <f t="shared" si="0"/>
        <v>195000</v>
      </c>
      <c r="I9" s="6">
        <v>3120000</v>
      </c>
      <c r="J9" s="8">
        <f t="shared" si="1"/>
        <v>31200</v>
      </c>
      <c r="K9" s="4">
        <f t="shared" si="2"/>
        <v>-3088800</v>
      </c>
      <c r="L9" s="4">
        <v>3315000</v>
      </c>
      <c r="M9" t="s">
        <v>187</v>
      </c>
      <c r="N9" t="s">
        <v>1272</v>
      </c>
      <c r="O9" t="s">
        <v>17</v>
      </c>
    </row>
    <row r="10" spans="1:15" x14ac:dyDescent="0.25">
      <c r="A10" t="s">
        <v>1277</v>
      </c>
      <c r="B10" t="s">
        <v>1278</v>
      </c>
      <c r="C10" t="s">
        <v>163</v>
      </c>
      <c r="D10" t="s">
        <v>1279</v>
      </c>
      <c r="E10" t="s">
        <v>1280</v>
      </c>
      <c r="F10" s="4">
        <v>0</v>
      </c>
      <c r="G10" s="4">
        <v>227500</v>
      </c>
      <c r="H10" s="4">
        <f t="shared" si="0"/>
        <v>227500</v>
      </c>
      <c r="I10" s="6">
        <v>3640000</v>
      </c>
      <c r="J10" s="8">
        <f t="shared" si="1"/>
        <v>36400</v>
      </c>
      <c r="K10" s="4">
        <f t="shared" si="2"/>
        <v>-3603600</v>
      </c>
      <c r="L10" s="4">
        <v>3867500</v>
      </c>
      <c r="M10" t="s">
        <v>179</v>
      </c>
      <c r="N10" t="s">
        <v>1272</v>
      </c>
      <c r="O10" t="s">
        <v>17</v>
      </c>
    </row>
    <row r="11" spans="1:15" x14ac:dyDescent="0.25">
      <c r="A11" t="s">
        <v>1267</v>
      </c>
      <c r="B11" t="s">
        <v>1268</v>
      </c>
      <c r="C11" t="s">
        <v>349</v>
      </c>
      <c r="D11" t="s">
        <v>1269</v>
      </c>
      <c r="E11" t="s">
        <v>1270</v>
      </c>
      <c r="F11" s="4">
        <v>0</v>
      </c>
      <c r="G11" s="4">
        <v>245000</v>
      </c>
      <c r="H11" s="4">
        <f t="shared" si="0"/>
        <v>245000</v>
      </c>
      <c r="I11" s="6">
        <v>3920000</v>
      </c>
      <c r="J11" s="8">
        <f t="shared" si="1"/>
        <v>39200</v>
      </c>
      <c r="K11" s="4">
        <f t="shared" si="2"/>
        <v>-3880800</v>
      </c>
      <c r="L11" s="4">
        <v>4165000</v>
      </c>
      <c r="M11" t="s">
        <v>29</v>
      </c>
      <c r="N11" t="s">
        <v>1271</v>
      </c>
      <c r="O11" t="s">
        <v>17</v>
      </c>
    </row>
    <row r="12" spans="1:15" x14ac:dyDescent="0.25">
      <c r="A12" t="s">
        <v>1267</v>
      </c>
      <c r="B12" t="s">
        <v>1268</v>
      </c>
      <c r="C12" t="s">
        <v>349</v>
      </c>
      <c r="D12" t="s">
        <v>1269</v>
      </c>
      <c r="E12" t="s">
        <v>1270</v>
      </c>
      <c r="F12" s="4">
        <v>0</v>
      </c>
      <c r="G12" s="4">
        <v>810000</v>
      </c>
      <c r="H12" s="4">
        <f t="shared" si="0"/>
        <v>810000</v>
      </c>
      <c r="I12" s="6">
        <v>12960000</v>
      </c>
      <c r="J12" s="8">
        <f t="shared" si="1"/>
        <v>129600</v>
      </c>
      <c r="K12" s="4">
        <f t="shared" si="2"/>
        <v>-12830400</v>
      </c>
      <c r="L12" s="4">
        <v>13770000</v>
      </c>
      <c r="M12" t="s">
        <v>18</v>
      </c>
      <c r="N12" t="s">
        <v>1287</v>
      </c>
      <c r="O12" t="s">
        <v>17</v>
      </c>
    </row>
    <row r="13" spans="1:15" x14ac:dyDescent="0.25">
      <c r="A13" t="s">
        <v>503</v>
      </c>
      <c r="B13" t="s">
        <v>504</v>
      </c>
      <c r="C13" t="s">
        <v>121</v>
      </c>
      <c r="D13" t="s">
        <v>505</v>
      </c>
      <c r="E13" t="s">
        <v>506</v>
      </c>
      <c r="F13" s="4">
        <v>0</v>
      </c>
      <c r="G13" s="4">
        <v>540000</v>
      </c>
      <c r="H13" s="4">
        <f t="shared" si="0"/>
        <v>540000</v>
      </c>
      <c r="I13" s="6">
        <v>8640000</v>
      </c>
      <c r="J13" s="8">
        <f t="shared" si="1"/>
        <v>86400</v>
      </c>
      <c r="K13" s="4">
        <f t="shared" si="2"/>
        <v>-8553600</v>
      </c>
      <c r="L13" s="4">
        <v>9180000</v>
      </c>
      <c r="M13" t="s">
        <v>201</v>
      </c>
      <c r="N13" t="s">
        <v>137</v>
      </c>
      <c r="O13" t="s">
        <v>17</v>
      </c>
    </row>
    <row r="14" spans="1:15" x14ac:dyDescent="0.25">
      <c r="A14" t="s">
        <v>503</v>
      </c>
      <c r="B14" t="s">
        <v>504</v>
      </c>
      <c r="C14" t="s">
        <v>121</v>
      </c>
      <c r="D14" t="s">
        <v>505</v>
      </c>
      <c r="E14" t="s">
        <v>506</v>
      </c>
      <c r="F14" s="4">
        <v>0</v>
      </c>
      <c r="G14" s="4">
        <v>720000</v>
      </c>
      <c r="H14" s="4">
        <f t="shared" si="0"/>
        <v>720000</v>
      </c>
      <c r="I14" s="6">
        <v>11520000</v>
      </c>
      <c r="J14" s="8">
        <f t="shared" si="1"/>
        <v>115200</v>
      </c>
      <c r="K14" s="4">
        <f t="shared" si="2"/>
        <v>-11404800</v>
      </c>
      <c r="L14" s="4">
        <v>12240000</v>
      </c>
      <c r="M14" t="s">
        <v>158</v>
      </c>
      <c r="N14" t="s">
        <v>137</v>
      </c>
      <c r="O14" t="s">
        <v>17</v>
      </c>
    </row>
    <row r="15" spans="1:15" x14ac:dyDescent="0.25">
      <c r="A15" t="s">
        <v>503</v>
      </c>
      <c r="B15" t="s">
        <v>504</v>
      </c>
      <c r="C15" t="s">
        <v>121</v>
      </c>
      <c r="D15" t="s">
        <v>505</v>
      </c>
      <c r="E15" t="s">
        <v>506</v>
      </c>
      <c r="F15" s="4">
        <v>0</v>
      </c>
      <c r="G15" s="4">
        <v>720000</v>
      </c>
      <c r="H15" s="4">
        <f t="shared" si="0"/>
        <v>720000</v>
      </c>
      <c r="I15" s="6">
        <v>11520000</v>
      </c>
      <c r="J15" s="8">
        <f t="shared" si="1"/>
        <v>115200</v>
      </c>
      <c r="K15" s="4">
        <f t="shared" si="2"/>
        <v>-11404800</v>
      </c>
      <c r="L15" s="4">
        <v>12240000</v>
      </c>
      <c r="M15" t="s">
        <v>182</v>
      </c>
      <c r="N15" t="s">
        <v>137</v>
      </c>
      <c r="O15" t="s">
        <v>17</v>
      </c>
    </row>
    <row r="16" spans="1:15" x14ac:dyDescent="0.25">
      <c r="A16" t="s">
        <v>196</v>
      </c>
      <c r="B16" t="s">
        <v>197</v>
      </c>
      <c r="C16" t="s">
        <v>198</v>
      </c>
      <c r="D16" t="s">
        <v>199</v>
      </c>
      <c r="E16" t="s">
        <v>200</v>
      </c>
      <c r="F16" s="4">
        <v>0</v>
      </c>
      <c r="G16" s="4">
        <v>40000</v>
      </c>
      <c r="H16" s="4">
        <f t="shared" si="0"/>
        <v>40000</v>
      </c>
      <c r="I16" s="6">
        <v>640000</v>
      </c>
      <c r="J16" s="8">
        <f t="shared" si="1"/>
        <v>6400</v>
      </c>
      <c r="K16" s="4">
        <f t="shared" si="2"/>
        <v>-633600</v>
      </c>
      <c r="L16" s="4">
        <v>680000</v>
      </c>
      <c r="M16" t="s">
        <v>201</v>
      </c>
      <c r="N16" t="s">
        <v>202</v>
      </c>
      <c r="O16" t="s">
        <v>203</v>
      </c>
    </row>
    <row r="17" spans="1:15" x14ac:dyDescent="0.25">
      <c r="A17" t="s">
        <v>196</v>
      </c>
      <c r="B17" t="s">
        <v>197</v>
      </c>
      <c r="C17" t="s">
        <v>198</v>
      </c>
      <c r="D17" t="s">
        <v>199</v>
      </c>
      <c r="E17" t="s">
        <v>200</v>
      </c>
      <c r="F17" s="4">
        <v>0</v>
      </c>
      <c r="G17" s="4">
        <v>40000</v>
      </c>
      <c r="H17" s="4">
        <f t="shared" si="0"/>
        <v>40000</v>
      </c>
      <c r="I17" s="6">
        <v>640000</v>
      </c>
      <c r="J17" s="8">
        <f t="shared" si="1"/>
        <v>6400</v>
      </c>
      <c r="K17" s="4">
        <f t="shared" si="2"/>
        <v>-633600</v>
      </c>
      <c r="L17" s="4">
        <v>680000</v>
      </c>
      <c r="M17" t="s">
        <v>136</v>
      </c>
      <c r="N17" t="s">
        <v>202</v>
      </c>
      <c r="O17" t="s">
        <v>203</v>
      </c>
    </row>
    <row r="18" spans="1:15" x14ac:dyDescent="0.25">
      <c r="A18" t="s">
        <v>196</v>
      </c>
      <c r="B18" t="s">
        <v>197</v>
      </c>
      <c r="C18" t="s">
        <v>198</v>
      </c>
      <c r="D18" t="s">
        <v>199</v>
      </c>
      <c r="E18" t="s">
        <v>200</v>
      </c>
      <c r="F18" s="4">
        <v>0</v>
      </c>
      <c r="G18" s="4">
        <v>315000</v>
      </c>
      <c r="H18" s="4">
        <f t="shared" si="0"/>
        <v>315000</v>
      </c>
      <c r="I18" s="6">
        <v>4132800</v>
      </c>
      <c r="J18" s="8">
        <f t="shared" si="1"/>
        <v>50400</v>
      </c>
      <c r="K18" s="4">
        <f t="shared" si="2"/>
        <v>-4082400</v>
      </c>
      <c r="L18" s="4">
        <v>4447800</v>
      </c>
      <c r="M18" t="s">
        <v>201</v>
      </c>
      <c r="N18" t="s">
        <v>35</v>
      </c>
      <c r="O18" t="s">
        <v>203</v>
      </c>
    </row>
    <row r="19" spans="1:15" x14ac:dyDescent="0.25">
      <c r="A19" t="s">
        <v>196</v>
      </c>
      <c r="B19" t="s">
        <v>197</v>
      </c>
      <c r="C19" t="s">
        <v>198</v>
      </c>
      <c r="D19" t="s">
        <v>199</v>
      </c>
      <c r="E19" t="s">
        <v>200</v>
      </c>
      <c r="F19" s="4">
        <v>0</v>
      </c>
      <c r="G19" s="4">
        <v>350000</v>
      </c>
      <c r="H19" s="4">
        <f t="shared" si="0"/>
        <v>350000</v>
      </c>
      <c r="I19" s="6">
        <v>4592000</v>
      </c>
      <c r="J19" s="8">
        <f t="shared" si="1"/>
        <v>56000</v>
      </c>
      <c r="K19" s="4">
        <f t="shared" si="2"/>
        <v>-4536000</v>
      </c>
      <c r="L19" s="4">
        <v>4942000</v>
      </c>
      <c r="M19" t="s">
        <v>158</v>
      </c>
      <c r="N19" t="s">
        <v>35</v>
      </c>
      <c r="O19" t="s">
        <v>203</v>
      </c>
    </row>
    <row r="20" spans="1:15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s="4">
        <v>0</v>
      </c>
      <c r="G20" s="4">
        <v>350000</v>
      </c>
      <c r="H20" s="4">
        <f t="shared" si="0"/>
        <v>350000</v>
      </c>
      <c r="I20" s="6">
        <v>4592000</v>
      </c>
      <c r="J20" s="8">
        <f t="shared" si="1"/>
        <v>56000</v>
      </c>
      <c r="K20" s="4">
        <f t="shared" si="2"/>
        <v>-4536000</v>
      </c>
      <c r="L20" s="4">
        <v>4942000</v>
      </c>
      <c r="M20" t="s">
        <v>172</v>
      </c>
      <c r="N20" t="s">
        <v>35</v>
      </c>
      <c r="O20" t="s">
        <v>203</v>
      </c>
    </row>
    <row r="21" spans="1:15" x14ac:dyDescent="0.25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s="4">
        <v>0</v>
      </c>
      <c r="G21" s="4">
        <v>585000</v>
      </c>
      <c r="H21" s="4">
        <f t="shared" si="0"/>
        <v>585000</v>
      </c>
      <c r="I21" s="6">
        <v>7675200</v>
      </c>
      <c r="J21" s="8">
        <f t="shared" si="1"/>
        <v>93600</v>
      </c>
      <c r="K21" s="4">
        <f t="shared" si="2"/>
        <v>-7581600</v>
      </c>
      <c r="L21" s="4">
        <v>8260200</v>
      </c>
      <c r="M21" t="s">
        <v>136</v>
      </c>
      <c r="N21" t="s">
        <v>35</v>
      </c>
      <c r="O21" t="s">
        <v>203</v>
      </c>
    </row>
    <row r="22" spans="1:15" x14ac:dyDescent="0.25">
      <c r="A22" t="s">
        <v>1246</v>
      </c>
      <c r="B22" t="s">
        <v>1247</v>
      </c>
      <c r="C22" t="s">
        <v>32</v>
      </c>
      <c r="D22" t="s">
        <v>1248</v>
      </c>
      <c r="E22" t="s">
        <v>1249</v>
      </c>
      <c r="F22" s="4">
        <v>0</v>
      </c>
      <c r="G22" s="4">
        <v>2000000</v>
      </c>
      <c r="H22" s="4">
        <f t="shared" si="0"/>
        <v>2000000</v>
      </c>
      <c r="I22" s="6">
        <v>32000000</v>
      </c>
      <c r="J22" s="8">
        <f t="shared" si="1"/>
        <v>320000</v>
      </c>
      <c r="K22" s="4">
        <f t="shared" si="2"/>
        <v>-31680000</v>
      </c>
      <c r="L22" s="4">
        <v>34000000</v>
      </c>
      <c r="M22" t="s">
        <v>18</v>
      </c>
      <c r="N22" t="s">
        <v>342</v>
      </c>
      <c r="O22" t="s">
        <v>17</v>
      </c>
    </row>
    <row r="23" spans="1:15" x14ac:dyDescent="0.25">
      <c r="A23" t="s">
        <v>1246</v>
      </c>
      <c r="B23" t="s">
        <v>1247</v>
      </c>
      <c r="C23" t="s">
        <v>32</v>
      </c>
      <c r="D23" t="s">
        <v>1248</v>
      </c>
      <c r="E23" t="s">
        <v>1249</v>
      </c>
      <c r="F23" s="4">
        <v>0</v>
      </c>
      <c r="G23" s="4">
        <v>2500000</v>
      </c>
      <c r="H23" s="4">
        <f t="shared" si="0"/>
        <v>2500000</v>
      </c>
      <c r="I23" s="6">
        <v>40000000</v>
      </c>
      <c r="J23" s="8">
        <f t="shared" si="1"/>
        <v>400000</v>
      </c>
      <c r="K23" s="4">
        <f t="shared" si="2"/>
        <v>-39600000</v>
      </c>
      <c r="L23" s="4">
        <v>42500000</v>
      </c>
      <c r="M23" t="s">
        <v>18</v>
      </c>
      <c r="N23" t="s">
        <v>342</v>
      </c>
      <c r="O23" t="s">
        <v>17</v>
      </c>
    </row>
    <row r="24" spans="1:15" x14ac:dyDescent="0.25">
      <c r="A24" t="s">
        <v>723</v>
      </c>
      <c r="B24" t="s">
        <v>724</v>
      </c>
      <c r="C24" t="s">
        <v>143</v>
      </c>
      <c r="D24" t="s">
        <v>725</v>
      </c>
      <c r="E24" t="s">
        <v>726</v>
      </c>
      <c r="F24" s="4">
        <v>0</v>
      </c>
      <c r="G24" s="4">
        <v>100000</v>
      </c>
      <c r="H24" s="4">
        <f t="shared" si="0"/>
        <v>100000</v>
      </c>
      <c r="I24" s="6">
        <v>1600000</v>
      </c>
      <c r="J24" s="8">
        <f t="shared" si="1"/>
        <v>16000</v>
      </c>
      <c r="K24" s="4">
        <f t="shared" si="2"/>
        <v>-1584000</v>
      </c>
      <c r="L24" s="4">
        <v>1700000</v>
      </c>
      <c r="M24" t="s">
        <v>502</v>
      </c>
      <c r="N24" t="s">
        <v>173</v>
      </c>
      <c r="O24" t="s">
        <v>17</v>
      </c>
    </row>
    <row r="25" spans="1:15" x14ac:dyDescent="0.25">
      <c r="A25" t="s">
        <v>723</v>
      </c>
      <c r="B25" t="s">
        <v>724</v>
      </c>
      <c r="C25" t="s">
        <v>143</v>
      </c>
      <c r="D25" t="s">
        <v>725</v>
      </c>
      <c r="E25" t="s">
        <v>726</v>
      </c>
      <c r="F25" s="4">
        <v>0</v>
      </c>
      <c r="G25" s="4">
        <v>200000</v>
      </c>
      <c r="H25" s="4">
        <f t="shared" si="0"/>
        <v>200000</v>
      </c>
      <c r="I25" s="6">
        <v>3200000</v>
      </c>
      <c r="J25" s="8">
        <f t="shared" si="1"/>
        <v>32000</v>
      </c>
      <c r="K25" s="4">
        <f t="shared" si="2"/>
        <v>-3168000</v>
      </c>
      <c r="L25" s="4">
        <v>3400000</v>
      </c>
      <c r="M25" t="s">
        <v>172</v>
      </c>
      <c r="N25" t="s">
        <v>173</v>
      </c>
      <c r="O25" t="s">
        <v>17</v>
      </c>
    </row>
    <row r="26" spans="1:15" x14ac:dyDescent="0.25">
      <c r="A26" t="s">
        <v>723</v>
      </c>
      <c r="B26" t="s">
        <v>724</v>
      </c>
      <c r="C26" t="s">
        <v>143</v>
      </c>
      <c r="D26" t="s">
        <v>725</v>
      </c>
      <c r="E26" t="s">
        <v>726</v>
      </c>
      <c r="F26" s="4">
        <v>0</v>
      </c>
      <c r="G26" s="4">
        <v>250000</v>
      </c>
      <c r="H26" s="4">
        <f t="shared" si="0"/>
        <v>250000</v>
      </c>
      <c r="I26" s="6">
        <v>4000000</v>
      </c>
      <c r="J26" s="8">
        <f t="shared" si="1"/>
        <v>40000</v>
      </c>
      <c r="K26" s="4">
        <f t="shared" si="2"/>
        <v>-3960000</v>
      </c>
      <c r="L26" s="4">
        <v>4250000</v>
      </c>
      <c r="M26" t="s">
        <v>136</v>
      </c>
      <c r="N26" t="s">
        <v>173</v>
      </c>
      <c r="O26" t="s">
        <v>17</v>
      </c>
    </row>
    <row r="27" spans="1:15" x14ac:dyDescent="0.25">
      <c r="A27" t="s">
        <v>723</v>
      </c>
      <c r="B27" t="s">
        <v>724</v>
      </c>
      <c r="C27" t="s">
        <v>143</v>
      </c>
      <c r="D27" t="s">
        <v>725</v>
      </c>
      <c r="E27" t="s">
        <v>726</v>
      </c>
      <c r="F27" s="4">
        <v>0</v>
      </c>
      <c r="G27" s="4">
        <v>500000</v>
      </c>
      <c r="H27" s="4">
        <f t="shared" si="0"/>
        <v>500000</v>
      </c>
      <c r="I27" s="6">
        <v>8000000</v>
      </c>
      <c r="J27" s="8">
        <f t="shared" si="1"/>
        <v>80000</v>
      </c>
      <c r="K27" s="4">
        <f t="shared" si="2"/>
        <v>-7920000</v>
      </c>
      <c r="L27" s="4">
        <v>8500000</v>
      </c>
      <c r="M27" t="s">
        <v>18</v>
      </c>
      <c r="N27" t="s">
        <v>331</v>
      </c>
      <c r="O27" t="s">
        <v>17</v>
      </c>
    </row>
    <row r="28" spans="1:15" x14ac:dyDescent="0.25">
      <c r="A28" t="s">
        <v>616</v>
      </c>
      <c r="B28" t="s">
        <v>617</v>
      </c>
      <c r="C28" t="s">
        <v>149</v>
      </c>
      <c r="D28" t="s">
        <v>618</v>
      </c>
      <c r="E28" t="s">
        <v>619</v>
      </c>
      <c r="F28" s="4">
        <v>0</v>
      </c>
      <c r="G28" s="4">
        <v>500000</v>
      </c>
      <c r="H28" s="4">
        <f t="shared" si="0"/>
        <v>500000</v>
      </c>
      <c r="I28" s="6">
        <v>8000000</v>
      </c>
      <c r="J28" s="8">
        <f t="shared" si="1"/>
        <v>80000</v>
      </c>
      <c r="K28" s="4">
        <f t="shared" si="2"/>
        <v>-7920000</v>
      </c>
      <c r="L28" s="4">
        <v>8500000</v>
      </c>
      <c r="M28" t="s">
        <v>60</v>
      </c>
      <c r="N28" t="s">
        <v>841</v>
      </c>
      <c r="O28" t="s">
        <v>17</v>
      </c>
    </row>
    <row r="29" spans="1:15" x14ac:dyDescent="0.25">
      <c r="A29" t="s">
        <v>616</v>
      </c>
      <c r="B29" t="s">
        <v>617</v>
      </c>
      <c r="C29" t="s">
        <v>149</v>
      </c>
      <c r="D29" t="s">
        <v>618</v>
      </c>
      <c r="E29" t="s">
        <v>619</v>
      </c>
      <c r="F29" s="4">
        <v>0</v>
      </c>
      <c r="G29" s="4">
        <v>1000000</v>
      </c>
      <c r="H29" s="4">
        <f t="shared" si="0"/>
        <v>1000000</v>
      </c>
      <c r="I29" s="6">
        <v>16000000</v>
      </c>
      <c r="J29" s="8">
        <f t="shared" si="1"/>
        <v>160000</v>
      </c>
      <c r="K29" s="4">
        <f t="shared" si="2"/>
        <v>-15840000</v>
      </c>
      <c r="L29" s="4">
        <v>17000000</v>
      </c>
      <c r="M29" t="s">
        <v>60</v>
      </c>
      <c r="N29" t="s">
        <v>638</v>
      </c>
      <c r="O29" t="s">
        <v>17</v>
      </c>
    </row>
    <row r="30" spans="1:15" x14ac:dyDescent="0.25">
      <c r="A30" t="s">
        <v>616</v>
      </c>
      <c r="B30" t="s">
        <v>617</v>
      </c>
      <c r="C30" t="s">
        <v>149</v>
      </c>
      <c r="D30" t="s">
        <v>618</v>
      </c>
      <c r="E30" t="s">
        <v>619</v>
      </c>
      <c r="F30" s="4">
        <v>0</v>
      </c>
      <c r="G30" s="4">
        <v>1500000</v>
      </c>
      <c r="H30" s="4">
        <f t="shared" si="0"/>
        <v>1500000</v>
      </c>
      <c r="I30" s="6">
        <v>24000000</v>
      </c>
      <c r="J30" s="8">
        <f t="shared" si="1"/>
        <v>240000</v>
      </c>
      <c r="K30" s="4">
        <f t="shared" si="2"/>
        <v>-23760000</v>
      </c>
      <c r="L30" s="4">
        <v>25500000</v>
      </c>
      <c r="M30" t="s">
        <v>60</v>
      </c>
      <c r="N30" t="s">
        <v>615</v>
      </c>
      <c r="O30" t="s">
        <v>17</v>
      </c>
    </row>
    <row r="31" spans="1:15" x14ac:dyDescent="0.25">
      <c r="A31" t="s">
        <v>921</v>
      </c>
      <c r="B31" t="s">
        <v>922</v>
      </c>
      <c r="C31" t="s">
        <v>71</v>
      </c>
      <c r="D31" t="s">
        <v>923</v>
      </c>
      <c r="E31" t="s">
        <v>924</v>
      </c>
      <c r="F31" s="4">
        <v>0</v>
      </c>
      <c r="G31" s="4">
        <v>258400</v>
      </c>
      <c r="H31" s="4">
        <f t="shared" si="0"/>
        <v>258400</v>
      </c>
      <c r="I31" s="6">
        <v>4134400</v>
      </c>
      <c r="J31" s="8">
        <f t="shared" si="1"/>
        <v>41344</v>
      </c>
      <c r="K31" s="4">
        <f t="shared" si="2"/>
        <v>-4093056</v>
      </c>
      <c r="L31" s="4">
        <v>4392800</v>
      </c>
      <c r="M31" t="s">
        <v>182</v>
      </c>
      <c r="N31" t="s">
        <v>925</v>
      </c>
      <c r="O31" t="s">
        <v>17</v>
      </c>
    </row>
    <row r="32" spans="1:15" x14ac:dyDescent="0.25">
      <c r="A32" t="s">
        <v>921</v>
      </c>
      <c r="B32" t="s">
        <v>922</v>
      </c>
      <c r="C32" t="s">
        <v>71</v>
      </c>
      <c r="D32" t="s">
        <v>923</v>
      </c>
      <c r="E32" t="s">
        <v>924</v>
      </c>
      <c r="F32" s="4">
        <v>0</v>
      </c>
      <c r="G32" s="4">
        <v>318400</v>
      </c>
      <c r="H32" s="4">
        <f t="shared" si="0"/>
        <v>318400</v>
      </c>
      <c r="I32" s="6">
        <v>5094400</v>
      </c>
      <c r="J32" s="8">
        <f t="shared" si="1"/>
        <v>50944</v>
      </c>
      <c r="K32" s="4">
        <f t="shared" si="2"/>
        <v>-5043456</v>
      </c>
      <c r="L32" s="4">
        <v>5412800</v>
      </c>
      <c r="M32" t="s">
        <v>179</v>
      </c>
      <c r="N32" t="s">
        <v>925</v>
      </c>
      <c r="O32" t="s">
        <v>17</v>
      </c>
    </row>
    <row r="33" spans="1:15" x14ac:dyDescent="0.25">
      <c r="A33" t="s">
        <v>921</v>
      </c>
      <c r="B33" t="s">
        <v>922</v>
      </c>
      <c r="C33" t="s">
        <v>71</v>
      </c>
      <c r="D33" t="s">
        <v>923</v>
      </c>
      <c r="E33" t="s">
        <v>924</v>
      </c>
      <c r="F33" s="4">
        <v>0</v>
      </c>
      <c r="G33" s="4">
        <v>408800</v>
      </c>
      <c r="H33" s="4">
        <f t="shared" si="0"/>
        <v>408800</v>
      </c>
      <c r="I33" s="6">
        <v>6540800</v>
      </c>
      <c r="J33" s="8">
        <f t="shared" si="1"/>
        <v>65408</v>
      </c>
      <c r="K33" s="4">
        <f t="shared" si="2"/>
        <v>-6475392</v>
      </c>
      <c r="L33" s="4">
        <v>6949600</v>
      </c>
      <c r="M33" t="s">
        <v>29</v>
      </c>
      <c r="N33" t="s">
        <v>925</v>
      </c>
      <c r="O33" t="s">
        <v>17</v>
      </c>
    </row>
    <row r="34" spans="1:15" x14ac:dyDescent="0.25">
      <c r="A34" t="s">
        <v>877</v>
      </c>
      <c r="B34" t="s">
        <v>878</v>
      </c>
      <c r="C34" t="s">
        <v>85</v>
      </c>
      <c r="D34" t="s">
        <v>881</v>
      </c>
      <c r="E34" t="s">
        <v>882</v>
      </c>
      <c r="F34" s="4">
        <v>0</v>
      </c>
      <c r="G34" s="4">
        <v>120000</v>
      </c>
      <c r="H34" s="4">
        <f t="shared" si="0"/>
        <v>120000</v>
      </c>
      <c r="I34" s="6">
        <v>1920000</v>
      </c>
      <c r="J34" s="8">
        <f t="shared" si="1"/>
        <v>19200</v>
      </c>
      <c r="K34" s="4">
        <f t="shared" si="2"/>
        <v>-1900800</v>
      </c>
      <c r="L34" s="4">
        <v>2040000</v>
      </c>
      <c r="M34" t="s">
        <v>146</v>
      </c>
      <c r="N34" t="s">
        <v>1355</v>
      </c>
      <c r="O34" t="s">
        <v>17</v>
      </c>
    </row>
    <row r="35" spans="1:15" x14ac:dyDescent="0.25">
      <c r="A35" t="s">
        <v>877</v>
      </c>
      <c r="B35" t="s">
        <v>878</v>
      </c>
      <c r="C35" t="s">
        <v>85</v>
      </c>
      <c r="D35" t="s">
        <v>881</v>
      </c>
      <c r="E35" t="s">
        <v>882</v>
      </c>
      <c r="F35" s="4">
        <v>0</v>
      </c>
      <c r="G35" s="4">
        <v>700000</v>
      </c>
      <c r="H35" s="4">
        <f t="shared" si="0"/>
        <v>700000</v>
      </c>
      <c r="I35" s="6">
        <v>11200000</v>
      </c>
      <c r="J35" s="8">
        <f t="shared" si="1"/>
        <v>112000</v>
      </c>
      <c r="K35" s="4">
        <f t="shared" si="2"/>
        <v>-11088000</v>
      </c>
      <c r="L35" s="4">
        <v>11900000</v>
      </c>
      <c r="M35" t="s">
        <v>18</v>
      </c>
      <c r="N35" t="s">
        <v>23</v>
      </c>
      <c r="O35" t="s">
        <v>17</v>
      </c>
    </row>
    <row r="36" spans="1:15" x14ac:dyDescent="0.25">
      <c r="A36" t="s">
        <v>877</v>
      </c>
      <c r="B36" t="s">
        <v>878</v>
      </c>
      <c r="C36" t="s">
        <v>32</v>
      </c>
      <c r="D36" t="s">
        <v>879</v>
      </c>
      <c r="E36" t="s">
        <v>880</v>
      </c>
      <c r="F36" s="4">
        <v>0</v>
      </c>
      <c r="G36" s="4">
        <v>150000</v>
      </c>
      <c r="H36" s="4">
        <f t="shared" si="0"/>
        <v>150000</v>
      </c>
      <c r="I36" s="6">
        <v>2400000</v>
      </c>
      <c r="J36" s="8">
        <f t="shared" si="1"/>
        <v>24000</v>
      </c>
      <c r="K36" s="4">
        <f t="shared" si="2"/>
        <v>-2376000</v>
      </c>
      <c r="L36" s="4">
        <v>2550000</v>
      </c>
      <c r="M36" t="s">
        <v>146</v>
      </c>
      <c r="N36" t="s">
        <v>1493</v>
      </c>
      <c r="O36" t="s">
        <v>17</v>
      </c>
    </row>
    <row r="37" spans="1:15" x14ac:dyDescent="0.25">
      <c r="A37" t="s">
        <v>877</v>
      </c>
      <c r="B37" t="s">
        <v>878</v>
      </c>
      <c r="C37" t="s">
        <v>32</v>
      </c>
      <c r="D37" t="s">
        <v>879</v>
      </c>
      <c r="E37" t="s">
        <v>880</v>
      </c>
      <c r="F37" s="4">
        <v>0</v>
      </c>
      <c r="G37" s="4">
        <v>1000000</v>
      </c>
      <c r="H37" s="4">
        <f t="shared" si="0"/>
        <v>1000000</v>
      </c>
      <c r="I37" s="6">
        <v>16000000</v>
      </c>
      <c r="J37" s="8">
        <f t="shared" si="1"/>
        <v>160000</v>
      </c>
      <c r="K37" s="4">
        <f t="shared" si="2"/>
        <v>-15840000</v>
      </c>
      <c r="L37" s="4">
        <v>17000000</v>
      </c>
      <c r="M37" t="s">
        <v>18</v>
      </c>
      <c r="N37" t="s">
        <v>23</v>
      </c>
      <c r="O37" t="s">
        <v>17</v>
      </c>
    </row>
    <row r="38" spans="1:15" x14ac:dyDescent="0.25">
      <c r="A38" t="s">
        <v>1392</v>
      </c>
      <c r="B38" t="s">
        <v>1393</v>
      </c>
      <c r="C38" t="s">
        <v>32</v>
      </c>
      <c r="D38" t="s">
        <v>1394</v>
      </c>
      <c r="E38" t="s">
        <v>1395</v>
      </c>
      <c r="F38" s="4">
        <v>0</v>
      </c>
      <c r="G38" s="4">
        <v>500000</v>
      </c>
      <c r="H38" s="4">
        <f t="shared" si="0"/>
        <v>500000</v>
      </c>
      <c r="I38" s="6">
        <v>8000000</v>
      </c>
      <c r="J38" s="8">
        <f t="shared" si="1"/>
        <v>80000</v>
      </c>
      <c r="K38" s="4">
        <f t="shared" si="2"/>
        <v>-7920000</v>
      </c>
      <c r="L38" s="4">
        <v>8500000</v>
      </c>
      <c r="M38" t="s">
        <v>187</v>
      </c>
      <c r="N38" t="s">
        <v>35</v>
      </c>
      <c r="O38" t="s">
        <v>17</v>
      </c>
    </row>
    <row r="39" spans="1:15" x14ac:dyDescent="0.25">
      <c r="A39" t="s">
        <v>1392</v>
      </c>
      <c r="B39" t="s">
        <v>1393</v>
      </c>
      <c r="C39" t="s">
        <v>32</v>
      </c>
      <c r="D39" t="s">
        <v>1394</v>
      </c>
      <c r="E39" t="s">
        <v>1395</v>
      </c>
      <c r="F39" s="4">
        <v>0</v>
      </c>
      <c r="G39" s="4">
        <v>650000</v>
      </c>
      <c r="H39" s="4">
        <f t="shared" si="0"/>
        <v>650000</v>
      </c>
      <c r="I39" s="6">
        <v>10400000</v>
      </c>
      <c r="J39" s="8">
        <f t="shared" si="1"/>
        <v>104000</v>
      </c>
      <c r="K39" s="4">
        <f t="shared" si="2"/>
        <v>-10296000</v>
      </c>
      <c r="L39" s="4">
        <v>11050000</v>
      </c>
      <c r="M39" t="s">
        <v>179</v>
      </c>
      <c r="N39" t="s">
        <v>35</v>
      </c>
      <c r="O39" t="s">
        <v>17</v>
      </c>
    </row>
    <row r="40" spans="1:15" x14ac:dyDescent="0.25">
      <c r="A40" t="s">
        <v>1392</v>
      </c>
      <c r="B40" t="s">
        <v>1393</v>
      </c>
      <c r="C40" t="s">
        <v>32</v>
      </c>
      <c r="D40" t="s">
        <v>1394</v>
      </c>
      <c r="E40" t="s">
        <v>1395</v>
      </c>
      <c r="F40" s="4">
        <v>0</v>
      </c>
      <c r="G40" s="4">
        <v>1200000</v>
      </c>
      <c r="H40" s="4">
        <f t="shared" si="0"/>
        <v>1200000</v>
      </c>
      <c r="I40" s="6">
        <v>19200000</v>
      </c>
      <c r="J40" s="8">
        <f t="shared" si="1"/>
        <v>192000</v>
      </c>
      <c r="K40" s="4">
        <f t="shared" si="2"/>
        <v>-19008000</v>
      </c>
      <c r="L40" s="4">
        <v>20400000</v>
      </c>
      <c r="M40" t="s">
        <v>29</v>
      </c>
      <c r="N40" t="s">
        <v>35</v>
      </c>
      <c r="O40" t="s">
        <v>17</v>
      </c>
    </row>
    <row r="41" spans="1:15" x14ac:dyDescent="0.25">
      <c r="A41" t="s">
        <v>498</v>
      </c>
      <c r="B41" t="s">
        <v>499</v>
      </c>
      <c r="C41" t="s">
        <v>71</v>
      </c>
      <c r="D41" t="s">
        <v>500</v>
      </c>
      <c r="E41" t="s">
        <v>501</v>
      </c>
      <c r="F41" s="4">
        <v>0</v>
      </c>
      <c r="G41" s="4">
        <v>262500</v>
      </c>
      <c r="H41" s="4">
        <f t="shared" si="0"/>
        <v>262500</v>
      </c>
      <c r="I41" s="6">
        <v>4200000</v>
      </c>
      <c r="J41" s="8">
        <f t="shared" si="1"/>
        <v>42000</v>
      </c>
      <c r="K41" s="4">
        <f t="shared" si="2"/>
        <v>-4158000</v>
      </c>
      <c r="L41" s="4">
        <v>4462500</v>
      </c>
      <c r="M41" t="s">
        <v>502</v>
      </c>
      <c r="N41" t="s">
        <v>137</v>
      </c>
      <c r="O41" t="s">
        <v>17</v>
      </c>
    </row>
    <row r="42" spans="1:15" x14ac:dyDescent="0.25">
      <c r="A42" t="s">
        <v>498</v>
      </c>
      <c r="B42" t="s">
        <v>499</v>
      </c>
      <c r="C42" t="s">
        <v>71</v>
      </c>
      <c r="D42" t="s">
        <v>500</v>
      </c>
      <c r="E42" t="s">
        <v>501</v>
      </c>
      <c r="F42" s="4">
        <v>0</v>
      </c>
      <c r="G42" s="4">
        <v>450000</v>
      </c>
      <c r="H42" s="4">
        <f t="shared" si="0"/>
        <v>450000</v>
      </c>
      <c r="I42" s="6">
        <v>7200000</v>
      </c>
      <c r="J42" s="8">
        <f t="shared" si="1"/>
        <v>72000</v>
      </c>
      <c r="K42" s="4">
        <f t="shared" si="2"/>
        <v>-7128000</v>
      </c>
      <c r="L42" s="4">
        <v>7650000</v>
      </c>
      <c r="M42" t="s">
        <v>182</v>
      </c>
      <c r="N42" t="s">
        <v>137</v>
      </c>
      <c r="O42" t="s">
        <v>17</v>
      </c>
    </row>
    <row r="43" spans="1:15" x14ac:dyDescent="0.25">
      <c r="A43" t="s">
        <v>498</v>
      </c>
      <c r="B43" t="s">
        <v>499</v>
      </c>
      <c r="C43" t="s">
        <v>71</v>
      </c>
      <c r="D43" t="s">
        <v>500</v>
      </c>
      <c r="E43" t="s">
        <v>501</v>
      </c>
      <c r="F43" s="4">
        <v>0</v>
      </c>
      <c r="G43" s="4">
        <v>487500</v>
      </c>
      <c r="H43" s="4">
        <f t="shared" si="0"/>
        <v>487500</v>
      </c>
      <c r="I43" s="6">
        <v>7800000</v>
      </c>
      <c r="J43" s="8">
        <f t="shared" si="1"/>
        <v>78000</v>
      </c>
      <c r="K43" s="4">
        <f t="shared" si="2"/>
        <v>-7722000</v>
      </c>
      <c r="L43" s="4">
        <v>8287500</v>
      </c>
      <c r="M43" t="s">
        <v>136</v>
      </c>
      <c r="N43" t="s">
        <v>507</v>
      </c>
      <c r="O43" t="s">
        <v>17</v>
      </c>
    </row>
    <row r="44" spans="1:15" x14ac:dyDescent="0.25">
      <c r="F44" s="4"/>
      <c r="G44" s="4"/>
      <c r="H44" s="4"/>
      <c r="I44" s="4"/>
      <c r="J44" s="4"/>
      <c r="K44" s="4"/>
      <c r="L44" s="4"/>
    </row>
    <row r="45" spans="1:15" x14ac:dyDescent="0.25">
      <c r="A45" t="s">
        <v>1481</v>
      </c>
      <c r="B45" t="s">
        <v>1482</v>
      </c>
      <c r="C45" t="s">
        <v>1320</v>
      </c>
      <c r="D45" t="s">
        <v>1483</v>
      </c>
      <c r="E45" t="s">
        <v>1484</v>
      </c>
      <c r="F45" s="4">
        <v>0</v>
      </c>
      <c r="G45" s="4">
        <v>385000</v>
      </c>
      <c r="H45" s="4">
        <f t="shared" si="0"/>
        <v>385000</v>
      </c>
      <c r="I45" s="4">
        <v>61600</v>
      </c>
      <c r="J45" s="4">
        <f t="shared" si="1"/>
        <v>61600</v>
      </c>
      <c r="K45" s="4">
        <v>0</v>
      </c>
      <c r="L45" s="4">
        <v>446600</v>
      </c>
      <c r="M45" t="s">
        <v>179</v>
      </c>
      <c r="N45" t="s">
        <v>413</v>
      </c>
      <c r="O45" t="s">
        <v>17</v>
      </c>
    </row>
    <row r="46" spans="1:15" x14ac:dyDescent="0.25">
      <c r="A46" t="s">
        <v>678</v>
      </c>
      <c r="B46" t="s">
        <v>679</v>
      </c>
      <c r="C46" t="s">
        <v>680</v>
      </c>
      <c r="D46" t="s">
        <v>681</v>
      </c>
      <c r="E46" t="s">
        <v>682</v>
      </c>
      <c r="F46" s="4">
        <v>0</v>
      </c>
      <c r="G46" s="4">
        <v>3800000</v>
      </c>
      <c r="H46" s="4">
        <f t="shared" si="0"/>
        <v>3800000</v>
      </c>
      <c r="I46" s="4">
        <v>608000</v>
      </c>
      <c r="J46" s="4">
        <f t="shared" si="1"/>
        <v>608000</v>
      </c>
      <c r="K46" s="4">
        <v>0</v>
      </c>
      <c r="L46" s="4">
        <v>4408000</v>
      </c>
      <c r="M46" t="s">
        <v>18</v>
      </c>
      <c r="N46" t="s">
        <v>638</v>
      </c>
      <c r="O46" t="s">
        <v>17</v>
      </c>
    </row>
    <row r="47" spans="1:15" x14ac:dyDescent="0.25">
      <c r="A47" t="s">
        <v>541</v>
      </c>
      <c r="B47" t="s">
        <v>542</v>
      </c>
      <c r="C47" t="s">
        <v>46</v>
      </c>
      <c r="D47" t="s">
        <v>756</v>
      </c>
      <c r="E47" t="s">
        <v>757</v>
      </c>
      <c r="F47" s="4">
        <v>0</v>
      </c>
      <c r="G47" s="4">
        <v>300000</v>
      </c>
      <c r="H47" s="4">
        <f t="shared" si="0"/>
        <v>300000</v>
      </c>
      <c r="I47" s="4">
        <v>48000</v>
      </c>
      <c r="J47" s="4">
        <f t="shared" si="1"/>
        <v>48000</v>
      </c>
      <c r="K47" s="4">
        <v>0</v>
      </c>
      <c r="L47" s="4">
        <v>348000</v>
      </c>
      <c r="M47" t="s">
        <v>172</v>
      </c>
      <c r="N47" t="s">
        <v>758</v>
      </c>
      <c r="O47" t="s">
        <v>17</v>
      </c>
    </row>
    <row r="48" spans="1:15" x14ac:dyDescent="0.25">
      <c r="A48" t="s">
        <v>1330</v>
      </c>
      <c r="B48" t="s">
        <v>1331</v>
      </c>
      <c r="C48" t="s">
        <v>405</v>
      </c>
      <c r="D48" t="s">
        <v>1332</v>
      </c>
      <c r="E48" t="s">
        <v>1333</v>
      </c>
      <c r="F48" s="4">
        <v>0</v>
      </c>
      <c r="G48" s="4">
        <v>2650000</v>
      </c>
      <c r="H48" s="4">
        <f t="shared" si="0"/>
        <v>2650000</v>
      </c>
      <c r="I48" s="4">
        <v>424000</v>
      </c>
      <c r="J48" s="4">
        <f t="shared" si="1"/>
        <v>424000</v>
      </c>
      <c r="K48" s="4">
        <v>0</v>
      </c>
      <c r="L48" s="4">
        <v>3074000</v>
      </c>
      <c r="M48" t="s">
        <v>18</v>
      </c>
      <c r="N48" t="s">
        <v>1329</v>
      </c>
      <c r="O48" t="s">
        <v>17</v>
      </c>
    </row>
    <row r="49" spans="1:15" x14ac:dyDescent="0.25">
      <c r="A49" t="s">
        <v>24</v>
      </c>
      <c r="B49" t="s">
        <v>25</v>
      </c>
      <c r="C49" t="s">
        <v>46</v>
      </c>
      <c r="D49" t="s">
        <v>47</v>
      </c>
      <c r="E49" t="s">
        <v>48</v>
      </c>
      <c r="F49" s="4">
        <v>49200</v>
      </c>
      <c r="G49" s="4">
        <v>328000</v>
      </c>
      <c r="H49" s="4">
        <f t="shared" si="0"/>
        <v>377200</v>
      </c>
      <c r="I49" s="4">
        <v>60352</v>
      </c>
      <c r="J49" s="4">
        <f t="shared" si="1"/>
        <v>60352</v>
      </c>
      <c r="K49" s="4">
        <v>0</v>
      </c>
      <c r="L49" s="4">
        <v>437552</v>
      </c>
      <c r="M49" t="s">
        <v>18</v>
      </c>
      <c r="N49" t="s">
        <v>49</v>
      </c>
      <c r="O49" t="s">
        <v>39</v>
      </c>
    </row>
    <row r="50" spans="1:15" x14ac:dyDescent="0.25">
      <c r="A50" t="s">
        <v>1253</v>
      </c>
      <c r="B50" t="s">
        <v>1254</v>
      </c>
      <c r="C50" t="s">
        <v>188</v>
      </c>
      <c r="D50" t="s">
        <v>1255</v>
      </c>
      <c r="E50" t="s">
        <v>1256</v>
      </c>
      <c r="F50" s="4">
        <v>0</v>
      </c>
      <c r="G50" s="4">
        <v>575000</v>
      </c>
      <c r="H50" s="4">
        <f t="shared" si="0"/>
        <v>575000</v>
      </c>
      <c r="I50" s="4">
        <v>92000</v>
      </c>
      <c r="J50" s="4">
        <f t="shared" si="1"/>
        <v>92000</v>
      </c>
      <c r="K50" s="4">
        <v>0</v>
      </c>
      <c r="L50" s="4">
        <v>667000</v>
      </c>
      <c r="M50" t="s">
        <v>18</v>
      </c>
      <c r="N50" t="s">
        <v>1252</v>
      </c>
      <c r="O50" t="s">
        <v>17</v>
      </c>
    </row>
    <row r="51" spans="1:15" x14ac:dyDescent="0.25">
      <c r="A51" t="s">
        <v>674</v>
      </c>
      <c r="B51" t="s">
        <v>675</v>
      </c>
      <c r="C51" t="s">
        <v>188</v>
      </c>
      <c r="D51" t="s">
        <v>676</v>
      </c>
      <c r="E51" t="s">
        <v>677</v>
      </c>
      <c r="F51" s="4">
        <v>0</v>
      </c>
      <c r="G51" s="4">
        <v>1500000</v>
      </c>
      <c r="H51" s="4">
        <f t="shared" si="0"/>
        <v>1500000</v>
      </c>
      <c r="I51" s="4">
        <v>240000</v>
      </c>
      <c r="J51" s="4">
        <f t="shared" si="1"/>
        <v>240000</v>
      </c>
      <c r="K51" s="4">
        <v>0</v>
      </c>
      <c r="L51" s="4">
        <v>1740000</v>
      </c>
      <c r="M51" t="s">
        <v>18</v>
      </c>
      <c r="N51" t="s">
        <v>638</v>
      </c>
      <c r="O51" t="s">
        <v>17</v>
      </c>
    </row>
    <row r="52" spans="1:15" x14ac:dyDescent="0.25">
      <c r="A52" t="s">
        <v>855</v>
      </c>
      <c r="B52" t="s">
        <v>856</v>
      </c>
      <c r="C52" t="s">
        <v>95</v>
      </c>
      <c r="D52" t="s">
        <v>857</v>
      </c>
      <c r="E52" t="s">
        <v>858</v>
      </c>
      <c r="F52" s="4">
        <v>0</v>
      </c>
      <c r="G52" s="4">
        <v>1034482</v>
      </c>
      <c r="H52" s="4">
        <f t="shared" si="0"/>
        <v>1034482</v>
      </c>
      <c r="I52" s="4">
        <v>165517.12</v>
      </c>
      <c r="J52" s="4">
        <f t="shared" si="1"/>
        <v>165517.12</v>
      </c>
      <c r="K52" s="4">
        <v>0</v>
      </c>
      <c r="L52" s="4">
        <v>1199999.1200000001</v>
      </c>
      <c r="M52" t="s">
        <v>60</v>
      </c>
      <c r="N52" t="s">
        <v>859</v>
      </c>
      <c r="O52" t="s">
        <v>860</v>
      </c>
    </row>
    <row r="53" spans="1:15" x14ac:dyDescent="0.25">
      <c r="A53" t="s">
        <v>1073</v>
      </c>
      <c r="B53" t="s">
        <v>1074</v>
      </c>
      <c r="C53" t="s">
        <v>95</v>
      </c>
      <c r="D53" t="s">
        <v>1125</v>
      </c>
      <c r="E53" t="s">
        <v>1126</v>
      </c>
      <c r="F53" s="4">
        <v>0</v>
      </c>
      <c r="G53" s="4">
        <v>250000</v>
      </c>
      <c r="H53" s="4">
        <f t="shared" si="0"/>
        <v>250000</v>
      </c>
      <c r="I53" s="4">
        <v>40000</v>
      </c>
      <c r="J53" s="4">
        <f t="shared" si="1"/>
        <v>40000</v>
      </c>
      <c r="K53" s="4">
        <v>0</v>
      </c>
      <c r="L53" s="4">
        <v>290000</v>
      </c>
      <c r="M53" t="s">
        <v>60</v>
      </c>
      <c r="N53" t="s">
        <v>311</v>
      </c>
      <c r="O53" t="s">
        <v>17</v>
      </c>
    </row>
    <row r="54" spans="1:15" x14ac:dyDescent="0.25">
      <c r="A54" t="s">
        <v>1314</v>
      </c>
      <c r="B54" t="s">
        <v>1315</v>
      </c>
      <c r="C54" t="s">
        <v>188</v>
      </c>
      <c r="D54" t="s">
        <v>1316</v>
      </c>
      <c r="E54" t="s">
        <v>1317</v>
      </c>
      <c r="F54" s="4">
        <v>0</v>
      </c>
      <c r="G54" s="4">
        <v>300000</v>
      </c>
      <c r="H54" s="4">
        <f t="shared" si="0"/>
        <v>300000</v>
      </c>
      <c r="I54" s="4">
        <v>48000</v>
      </c>
      <c r="J54" s="4">
        <f t="shared" si="1"/>
        <v>48000</v>
      </c>
      <c r="K54" s="4">
        <v>0</v>
      </c>
      <c r="L54" s="4">
        <v>348000</v>
      </c>
      <c r="M54" t="s">
        <v>60</v>
      </c>
      <c r="N54" t="s">
        <v>1297</v>
      </c>
      <c r="O54" t="s">
        <v>17</v>
      </c>
    </row>
    <row r="55" spans="1:15" x14ac:dyDescent="0.25">
      <c r="A55" t="s">
        <v>1121</v>
      </c>
      <c r="B55" t="s">
        <v>1122</v>
      </c>
      <c r="C55" t="s">
        <v>95</v>
      </c>
      <c r="D55" t="s">
        <v>1123</v>
      </c>
      <c r="E55" t="s">
        <v>1124</v>
      </c>
      <c r="F55" s="4">
        <v>0</v>
      </c>
      <c r="G55" s="4">
        <v>250000</v>
      </c>
      <c r="H55" s="4">
        <f t="shared" si="0"/>
        <v>250000</v>
      </c>
      <c r="I55" s="4">
        <v>40000</v>
      </c>
      <c r="J55" s="4">
        <f t="shared" si="1"/>
        <v>40000</v>
      </c>
      <c r="K55" s="4">
        <v>0</v>
      </c>
      <c r="L55" s="4">
        <v>290000</v>
      </c>
      <c r="M55" t="s">
        <v>60</v>
      </c>
      <c r="N55" t="s">
        <v>311</v>
      </c>
      <c r="O55" t="s">
        <v>17</v>
      </c>
    </row>
    <row r="56" spans="1:15" x14ac:dyDescent="0.25">
      <c r="A56" t="s">
        <v>781</v>
      </c>
      <c r="B56" t="s">
        <v>782</v>
      </c>
      <c r="C56" t="s">
        <v>680</v>
      </c>
      <c r="D56" t="s">
        <v>1318</v>
      </c>
      <c r="E56" t="s">
        <v>1319</v>
      </c>
      <c r="F56" s="4">
        <v>0</v>
      </c>
      <c r="G56" s="4">
        <v>315000</v>
      </c>
      <c r="H56" s="4">
        <f t="shared" si="0"/>
        <v>315000</v>
      </c>
      <c r="I56" s="4">
        <v>50400</v>
      </c>
      <c r="J56" s="4">
        <f t="shared" si="1"/>
        <v>50400</v>
      </c>
      <c r="K56" s="4">
        <v>0</v>
      </c>
      <c r="L56" s="4">
        <v>365400</v>
      </c>
      <c r="M56" t="s">
        <v>60</v>
      </c>
      <c r="N56" t="s">
        <v>1297</v>
      </c>
      <c r="O56" t="s">
        <v>17</v>
      </c>
    </row>
    <row r="57" spans="1:15" x14ac:dyDescent="0.25">
      <c r="A57" t="s">
        <v>1117</v>
      </c>
      <c r="B57" t="s">
        <v>1118</v>
      </c>
      <c r="C57" t="s">
        <v>95</v>
      </c>
      <c r="D57" t="s">
        <v>1119</v>
      </c>
      <c r="E57" t="s">
        <v>1120</v>
      </c>
      <c r="F57" s="4">
        <v>0</v>
      </c>
      <c r="G57" s="4">
        <v>250000</v>
      </c>
      <c r="H57" s="4">
        <f t="shared" si="0"/>
        <v>250000</v>
      </c>
      <c r="I57" s="4">
        <v>40000</v>
      </c>
      <c r="J57" s="4">
        <f t="shared" si="1"/>
        <v>40000</v>
      </c>
      <c r="K57" s="4">
        <v>0</v>
      </c>
      <c r="L57" s="4">
        <v>290000</v>
      </c>
      <c r="M57" t="s">
        <v>60</v>
      </c>
      <c r="N57" t="s">
        <v>311</v>
      </c>
      <c r="O57" t="s">
        <v>17</v>
      </c>
    </row>
    <row r="58" spans="1:15" x14ac:dyDescent="0.25">
      <c r="A58" t="s">
        <v>1227</v>
      </c>
      <c r="B58" t="s">
        <v>1228</v>
      </c>
      <c r="C58" t="s">
        <v>680</v>
      </c>
      <c r="D58" t="s">
        <v>1334</v>
      </c>
      <c r="E58" t="s">
        <v>1335</v>
      </c>
      <c r="F58" s="4">
        <v>0</v>
      </c>
      <c r="G58" s="4">
        <v>1379310.35</v>
      </c>
      <c r="H58" s="4">
        <f t="shared" si="0"/>
        <v>1379310.35</v>
      </c>
      <c r="I58" s="4">
        <v>220689.66</v>
      </c>
      <c r="J58" s="4">
        <f t="shared" si="1"/>
        <v>220689.65600000002</v>
      </c>
      <c r="K58" s="4">
        <v>-3.999999986262992E-3</v>
      </c>
      <c r="L58" s="4">
        <v>1600000.01</v>
      </c>
      <c r="M58" t="s">
        <v>18</v>
      </c>
      <c r="N58" t="s">
        <v>1329</v>
      </c>
      <c r="O58" t="s">
        <v>17</v>
      </c>
    </row>
    <row r="59" spans="1:15" x14ac:dyDescent="0.25">
      <c r="A59" t="s">
        <v>663</v>
      </c>
      <c r="B59" t="s">
        <v>664</v>
      </c>
      <c r="C59" t="s">
        <v>659</v>
      </c>
      <c r="D59" t="s">
        <v>665</v>
      </c>
      <c r="E59" t="s">
        <v>666</v>
      </c>
      <c r="F59" s="4">
        <v>0</v>
      </c>
      <c r="G59" s="4">
        <v>3333333.34</v>
      </c>
      <c r="H59" s="4">
        <f t="shared" si="0"/>
        <v>3333333.34</v>
      </c>
      <c r="I59" s="4">
        <v>533333.32999999996</v>
      </c>
      <c r="J59" s="4">
        <f t="shared" si="1"/>
        <v>533333.33439999993</v>
      </c>
      <c r="K59" s="4">
        <v>4.3999999761581421E-3</v>
      </c>
      <c r="L59" s="4">
        <v>3866666.67</v>
      </c>
      <c r="M59" t="s">
        <v>18</v>
      </c>
      <c r="N59" t="s">
        <v>638</v>
      </c>
      <c r="O59" t="s">
        <v>17</v>
      </c>
    </row>
    <row r="60" spans="1:15" x14ac:dyDescent="0.25">
      <c r="A60" t="s">
        <v>776</v>
      </c>
      <c r="B60" t="s">
        <v>777</v>
      </c>
      <c r="C60" t="s">
        <v>95</v>
      </c>
      <c r="D60" t="s">
        <v>818</v>
      </c>
      <c r="E60" t="s">
        <v>819</v>
      </c>
      <c r="F60" s="4">
        <v>0</v>
      </c>
      <c r="G60" s="4">
        <v>200000</v>
      </c>
      <c r="H60" s="4">
        <f t="shared" si="0"/>
        <v>200000</v>
      </c>
      <c r="I60" s="4">
        <v>32000</v>
      </c>
      <c r="J60" s="4">
        <f t="shared" si="1"/>
        <v>32000</v>
      </c>
      <c r="K60" s="4">
        <v>0</v>
      </c>
      <c r="L60" s="4">
        <v>232000</v>
      </c>
      <c r="M60" t="s">
        <v>18</v>
      </c>
      <c r="N60" t="s">
        <v>780</v>
      </c>
      <c r="O60" t="s">
        <v>17</v>
      </c>
    </row>
    <row r="61" spans="1:15" x14ac:dyDescent="0.25">
      <c r="A61" t="s">
        <v>895</v>
      </c>
      <c r="B61" t="s">
        <v>896</v>
      </c>
      <c r="C61" t="s">
        <v>95</v>
      </c>
      <c r="D61" t="s">
        <v>909</v>
      </c>
      <c r="E61" t="s">
        <v>910</v>
      </c>
      <c r="F61" s="4">
        <v>0</v>
      </c>
      <c r="G61" s="4">
        <v>600000</v>
      </c>
      <c r="H61" s="4">
        <f t="shared" si="0"/>
        <v>600000</v>
      </c>
      <c r="I61" s="4">
        <v>96000</v>
      </c>
      <c r="J61" s="4">
        <f t="shared" si="1"/>
        <v>96000</v>
      </c>
      <c r="K61" s="4">
        <v>0</v>
      </c>
      <c r="L61" s="4">
        <v>696000</v>
      </c>
      <c r="M61" t="s">
        <v>18</v>
      </c>
      <c r="N61" t="s">
        <v>23</v>
      </c>
      <c r="O61" t="s">
        <v>17</v>
      </c>
    </row>
    <row r="62" spans="1:15" x14ac:dyDescent="0.25">
      <c r="A62" t="s">
        <v>905</v>
      </c>
      <c r="B62" t="s">
        <v>906</v>
      </c>
      <c r="C62" t="s">
        <v>95</v>
      </c>
      <c r="D62" t="s">
        <v>907</v>
      </c>
      <c r="E62" t="s">
        <v>908</v>
      </c>
      <c r="F62" s="4">
        <v>0</v>
      </c>
      <c r="G62" s="4">
        <v>1190000</v>
      </c>
      <c r="H62" s="4">
        <f t="shared" si="0"/>
        <v>1190000</v>
      </c>
      <c r="I62" s="4">
        <v>190400</v>
      </c>
      <c r="J62" s="4">
        <f t="shared" si="1"/>
        <v>190400</v>
      </c>
      <c r="K62" s="4">
        <v>0</v>
      </c>
      <c r="L62" s="4">
        <v>1380400</v>
      </c>
      <c r="M62" t="s">
        <v>18</v>
      </c>
      <c r="N62" t="s">
        <v>23</v>
      </c>
      <c r="O62" t="s">
        <v>906</v>
      </c>
    </row>
    <row r="63" spans="1:15" x14ac:dyDescent="0.25">
      <c r="A63" t="s">
        <v>667</v>
      </c>
      <c r="B63" t="s">
        <v>668</v>
      </c>
      <c r="C63" t="s">
        <v>46</v>
      </c>
      <c r="D63" t="s">
        <v>672</v>
      </c>
      <c r="E63" t="s">
        <v>673</v>
      </c>
      <c r="F63" s="4">
        <v>0</v>
      </c>
      <c r="G63" s="4">
        <v>1000000</v>
      </c>
      <c r="H63" s="4">
        <f t="shared" si="0"/>
        <v>1000000</v>
      </c>
      <c r="I63" s="4">
        <v>160000</v>
      </c>
      <c r="J63" s="4">
        <f t="shared" si="1"/>
        <v>160000</v>
      </c>
      <c r="K63" s="4">
        <v>0</v>
      </c>
      <c r="L63" s="4">
        <v>1160000</v>
      </c>
      <c r="M63" t="s">
        <v>18</v>
      </c>
      <c r="N63" t="s">
        <v>638</v>
      </c>
      <c r="O63" t="s">
        <v>671</v>
      </c>
    </row>
    <row r="64" spans="1:15" x14ac:dyDescent="0.25">
      <c r="A64" t="s">
        <v>792</v>
      </c>
      <c r="B64" t="s">
        <v>793</v>
      </c>
      <c r="C64" t="s">
        <v>95</v>
      </c>
      <c r="D64" t="s">
        <v>816</v>
      </c>
      <c r="E64" t="s">
        <v>817</v>
      </c>
      <c r="F64" s="4">
        <v>0</v>
      </c>
      <c r="G64" s="4">
        <v>200000</v>
      </c>
      <c r="H64" s="4">
        <f t="shared" si="0"/>
        <v>200000</v>
      </c>
      <c r="I64" s="4">
        <v>32000</v>
      </c>
      <c r="J64" s="4">
        <f t="shared" si="1"/>
        <v>32000</v>
      </c>
      <c r="K64" s="4">
        <v>0</v>
      </c>
      <c r="L64" s="4">
        <v>232000</v>
      </c>
      <c r="M64" t="s">
        <v>18</v>
      </c>
      <c r="N64" t="s">
        <v>780</v>
      </c>
      <c r="O64" t="s">
        <v>17</v>
      </c>
    </row>
    <row r="65" spans="1:15" x14ac:dyDescent="0.25">
      <c r="A65" t="s">
        <v>653</v>
      </c>
      <c r="B65" t="s">
        <v>654</v>
      </c>
      <c r="C65" t="s">
        <v>349</v>
      </c>
      <c r="D65" t="s">
        <v>655</v>
      </c>
      <c r="E65" t="s">
        <v>656</v>
      </c>
      <c r="F65" s="4">
        <v>0</v>
      </c>
      <c r="G65" s="4">
        <v>5172413.79</v>
      </c>
      <c r="H65" s="4">
        <f t="shared" si="0"/>
        <v>5172413.79</v>
      </c>
      <c r="I65" s="4">
        <v>827586.21</v>
      </c>
      <c r="J65" s="4">
        <f t="shared" si="1"/>
        <v>827586.20640000002</v>
      </c>
      <c r="K65" s="4">
        <v>-3.599999938160181E-3</v>
      </c>
      <c r="L65" s="4">
        <v>6000000</v>
      </c>
      <c r="M65" t="s">
        <v>18</v>
      </c>
      <c r="N65" t="s">
        <v>638</v>
      </c>
      <c r="O65" t="s">
        <v>17</v>
      </c>
    </row>
    <row r="66" spans="1:15" x14ac:dyDescent="0.25">
      <c r="A66" t="s">
        <v>949</v>
      </c>
      <c r="B66" t="s">
        <v>950</v>
      </c>
      <c r="C66" t="s">
        <v>95</v>
      </c>
      <c r="D66" t="s">
        <v>1115</v>
      </c>
      <c r="E66" t="s">
        <v>1116</v>
      </c>
      <c r="F66" s="4">
        <v>0</v>
      </c>
      <c r="G66" s="4">
        <v>1400000</v>
      </c>
      <c r="H66" s="4">
        <f t="shared" si="0"/>
        <v>1400000</v>
      </c>
      <c r="I66" s="4">
        <v>224000</v>
      </c>
      <c r="J66" s="4">
        <f t="shared" si="1"/>
        <v>224000</v>
      </c>
      <c r="K66" s="4">
        <v>0</v>
      </c>
      <c r="L66" s="4">
        <v>1624000</v>
      </c>
      <c r="M66" t="s">
        <v>18</v>
      </c>
      <c r="N66" t="s">
        <v>311</v>
      </c>
      <c r="O66" t="s">
        <v>17</v>
      </c>
    </row>
    <row r="67" spans="1:15" x14ac:dyDescent="0.25">
      <c r="A67" t="s">
        <v>869</v>
      </c>
      <c r="B67" t="s">
        <v>870</v>
      </c>
      <c r="C67" t="s">
        <v>95</v>
      </c>
      <c r="D67" t="s">
        <v>1113</v>
      </c>
      <c r="E67" t="s">
        <v>1114</v>
      </c>
      <c r="F67" s="4">
        <v>0</v>
      </c>
      <c r="G67" s="4">
        <v>800000</v>
      </c>
      <c r="H67" s="4">
        <f t="shared" si="0"/>
        <v>800000</v>
      </c>
      <c r="I67" s="4">
        <v>128000</v>
      </c>
      <c r="J67" s="4">
        <f t="shared" si="1"/>
        <v>128000</v>
      </c>
      <c r="K67" s="4">
        <v>0</v>
      </c>
      <c r="L67" s="4">
        <v>928000</v>
      </c>
      <c r="M67" t="s">
        <v>18</v>
      </c>
      <c r="N67" t="s">
        <v>311</v>
      </c>
      <c r="O67" t="s">
        <v>17</v>
      </c>
    </row>
    <row r="68" spans="1:15" x14ac:dyDescent="0.25">
      <c r="A68" t="s">
        <v>227</v>
      </c>
      <c r="B68" t="s">
        <v>228</v>
      </c>
      <c r="C68" t="s">
        <v>163</v>
      </c>
      <c r="D68" t="s">
        <v>291</v>
      </c>
      <c r="E68" t="s">
        <v>292</v>
      </c>
      <c r="F68" s="4">
        <v>0</v>
      </c>
      <c r="G68" s="4">
        <v>369000</v>
      </c>
      <c r="H68" s="4">
        <f t="shared" ref="H68:H131" si="3">F68+G68</f>
        <v>369000</v>
      </c>
      <c r="I68" s="4">
        <v>59040</v>
      </c>
      <c r="J68" s="4">
        <f t="shared" ref="J68:J131" si="4">H68*0.16</f>
        <v>59040</v>
      </c>
      <c r="K68" s="4">
        <v>0</v>
      </c>
      <c r="L68" s="4">
        <v>428040</v>
      </c>
      <c r="M68" t="s">
        <v>60</v>
      </c>
      <c r="N68" t="s">
        <v>277</v>
      </c>
      <c r="O68" t="s">
        <v>232</v>
      </c>
    </row>
    <row r="69" spans="1:15" x14ac:dyDescent="0.25">
      <c r="A69" t="s">
        <v>1103</v>
      </c>
      <c r="B69" t="s">
        <v>1104</v>
      </c>
      <c r="C69" t="s">
        <v>163</v>
      </c>
      <c r="D69" t="s">
        <v>1105</v>
      </c>
      <c r="E69" t="s">
        <v>1106</v>
      </c>
      <c r="F69" s="4">
        <v>0</v>
      </c>
      <c r="G69" s="4">
        <v>250000</v>
      </c>
      <c r="H69" s="4">
        <f t="shared" si="3"/>
        <v>250000</v>
      </c>
      <c r="I69" s="4">
        <v>40000</v>
      </c>
      <c r="J69" s="4">
        <f t="shared" si="4"/>
        <v>40000</v>
      </c>
      <c r="K69" s="4">
        <v>0</v>
      </c>
      <c r="L69" s="4">
        <v>290000</v>
      </c>
      <c r="M69" t="s">
        <v>60</v>
      </c>
      <c r="N69" t="s">
        <v>311</v>
      </c>
      <c r="O69" t="s">
        <v>17</v>
      </c>
    </row>
    <row r="70" spans="1:15" x14ac:dyDescent="0.25">
      <c r="A70" t="s">
        <v>667</v>
      </c>
      <c r="B70" t="s">
        <v>668</v>
      </c>
      <c r="C70" t="s">
        <v>46</v>
      </c>
      <c r="D70" t="s">
        <v>669</v>
      </c>
      <c r="E70" t="s">
        <v>670</v>
      </c>
      <c r="F70" s="4">
        <v>0</v>
      </c>
      <c r="G70" s="4">
        <v>600000</v>
      </c>
      <c r="H70" s="4">
        <f t="shared" si="3"/>
        <v>600000</v>
      </c>
      <c r="I70" s="4">
        <v>96000</v>
      </c>
      <c r="J70" s="4">
        <f t="shared" si="4"/>
        <v>96000</v>
      </c>
      <c r="K70" s="4">
        <v>0</v>
      </c>
      <c r="L70" s="4">
        <v>696000</v>
      </c>
      <c r="M70" t="s">
        <v>60</v>
      </c>
      <c r="N70" t="s">
        <v>638</v>
      </c>
      <c r="O70" t="s">
        <v>671</v>
      </c>
    </row>
    <row r="71" spans="1:15" x14ac:dyDescent="0.25">
      <c r="A71" t="s">
        <v>1045</v>
      </c>
      <c r="B71" t="s">
        <v>1046</v>
      </c>
      <c r="C71" t="s">
        <v>405</v>
      </c>
      <c r="D71" t="s">
        <v>1111</v>
      </c>
      <c r="E71" t="s">
        <v>1112</v>
      </c>
      <c r="F71" s="4">
        <v>0</v>
      </c>
      <c r="G71" s="4">
        <v>245000</v>
      </c>
      <c r="H71" s="4">
        <f t="shared" si="3"/>
        <v>245000</v>
      </c>
      <c r="I71" s="4">
        <v>39200</v>
      </c>
      <c r="J71" s="4">
        <f t="shared" si="4"/>
        <v>39200</v>
      </c>
      <c r="K71" s="4">
        <v>0</v>
      </c>
      <c r="L71" s="4">
        <v>284200</v>
      </c>
      <c r="M71" t="s">
        <v>60</v>
      </c>
      <c r="N71" t="s">
        <v>311</v>
      </c>
      <c r="O71" t="s">
        <v>17</v>
      </c>
    </row>
    <row r="72" spans="1:15" x14ac:dyDescent="0.25">
      <c r="A72" t="s">
        <v>788</v>
      </c>
      <c r="B72" t="s">
        <v>789</v>
      </c>
      <c r="C72" t="s">
        <v>95</v>
      </c>
      <c r="D72" t="s">
        <v>814</v>
      </c>
      <c r="E72" t="s">
        <v>815</v>
      </c>
      <c r="F72" s="4">
        <v>0</v>
      </c>
      <c r="G72" s="4">
        <v>150000</v>
      </c>
      <c r="H72" s="4">
        <f t="shared" si="3"/>
        <v>150000</v>
      </c>
      <c r="I72" s="4">
        <v>24000</v>
      </c>
      <c r="J72" s="4">
        <f t="shared" si="4"/>
        <v>24000</v>
      </c>
      <c r="K72" s="4">
        <v>0</v>
      </c>
      <c r="L72" s="4">
        <v>174000</v>
      </c>
      <c r="M72" t="s">
        <v>60</v>
      </c>
      <c r="N72" t="s">
        <v>780</v>
      </c>
      <c r="O72" t="s">
        <v>17</v>
      </c>
    </row>
    <row r="73" spans="1:15" x14ac:dyDescent="0.25">
      <c r="A73" t="s">
        <v>792</v>
      </c>
      <c r="B73" t="s">
        <v>793</v>
      </c>
      <c r="C73" t="s">
        <v>95</v>
      </c>
      <c r="D73" t="s">
        <v>812</v>
      </c>
      <c r="E73" t="s">
        <v>813</v>
      </c>
      <c r="F73" s="4">
        <v>0</v>
      </c>
      <c r="G73" s="4">
        <v>150000</v>
      </c>
      <c r="H73" s="4">
        <f t="shared" si="3"/>
        <v>150000</v>
      </c>
      <c r="I73" s="4">
        <v>24000</v>
      </c>
      <c r="J73" s="4">
        <f t="shared" si="4"/>
        <v>24000</v>
      </c>
      <c r="K73" s="4">
        <v>0</v>
      </c>
      <c r="L73" s="4">
        <v>174000</v>
      </c>
      <c r="M73" t="s">
        <v>60</v>
      </c>
      <c r="N73" t="s">
        <v>780</v>
      </c>
      <c r="O73" t="s">
        <v>17</v>
      </c>
    </row>
    <row r="74" spans="1:15" x14ac:dyDescent="0.25">
      <c r="A74" t="s">
        <v>1308</v>
      </c>
      <c r="B74" t="s">
        <v>1309</v>
      </c>
      <c r="C74" t="s">
        <v>405</v>
      </c>
      <c r="D74" t="s">
        <v>1310</v>
      </c>
      <c r="E74" t="s">
        <v>1311</v>
      </c>
      <c r="F74" s="4">
        <v>0</v>
      </c>
      <c r="G74" s="4">
        <v>300000</v>
      </c>
      <c r="H74" s="4">
        <f t="shared" si="3"/>
        <v>300000</v>
      </c>
      <c r="I74" s="4">
        <v>48000</v>
      </c>
      <c r="J74" s="4">
        <f t="shared" si="4"/>
        <v>48000</v>
      </c>
      <c r="K74" s="4">
        <v>0</v>
      </c>
      <c r="L74" s="4">
        <v>348000</v>
      </c>
      <c r="M74" t="s">
        <v>60</v>
      </c>
      <c r="N74" t="s">
        <v>1297</v>
      </c>
      <c r="O74" t="s">
        <v>17</v>
      </c>
    </row>
    <row r="75" spans="1:15" x14ac:dyDescent="0.25">
      <c r="A75" t="s">
        <v>1302</v>
      </c>
      <c r="B75" t="s">
        <v>1303</v>
      </c>
      <c r="C75" t="s">
        <v>1320</v>
      </c>
      <c r="D75" t="s">
        <v>1321</v>
      </c>
      <c r="E75" t="s">
        <v>1322</v>
      </c>
      <c r="F75" s="4">
        <v>0</v>
      </c>
      <c r="G75" s="4">
        <v>300000</v>
      </c>
      <c r="H75" s="4">
        <f t="shared" si="3"/>
        <v>300000</v>
      </c>
      <c r="I75" s="4">
        <v>48000</v>
      </c>
      <c r="J75" s="4">
        <f t="shared" si="4"/>
        <v>48000</v>
      </c>
      <c r="K75" s="4">
        <v>0</v>
      </c>
      <c r="L75" s="4">
        <v>348000</v>
      </c>
      <c r="M75" t="s">
        <v>60</v>
      </c>
      <c r="N75" t="s">
        <v>1297</v>
      </c>
      <c r="O75" t="s">
        <v>17</v>
      </c>
    </row>
    <row r="76" spans="1:15" x14ac:dyDescent="0.25">
      <c r="A76" t="s">
        <v>1302</v>
      </c>
      <c r="B76" t="s">
        <v>1303</v>
      </c>
      <c r="C76" t="s">
        <v>163</v>
      </c>
      <c r="D76" t="s">
        <v>1306</v>
      </c>
      <c r="E76" t="s">
        <v>1307</v>
      </c>
      <c r="F76" s="4">
        <v>0</v>
      </c>
      <c r="G76" s="4">
        <v>300000</v>
      </c>
      <c r="H76" s="4">
        <f t="shared" si="3"/>
        <v>300000</v>
      </c>
      <c r="I76" s="4">
        <v>48000</v>
      </c>
      <c r="J76" s="4">
        <f t="shared" si="4"/>
        <v>48000</v>
      </c>
      <c r="K76" s="4">
        <v>0</v>
      </c>
      <c r="L76" s="4">
        <v>348000</v>
      </c>
      <c r="M76" t="s">
        <v>60</v>
      </c>
      <c r="N76" t="s">
        <v>1297</v>
      </c>
      <c r="O76" t="s">
        <v>17</v>
      </c>
    </row>
    <row r="77" spans="1:15" x14ac:dyDescent="0.25">
      <c r="A77" t="s">
        <v>1045</v>
      </c>
      <c r="B77" t="s">
        <v>1046</v>
      </c>
      <c r="C77" t="s">
        <v>46</v>
      </c>
      <c r="D77" t="s">
        <v>1312</v>
      </c>
      <c r="E77" t="s">
        <v>1313</v>
      </c>
      <c r="F77" s="4">
        <v>0</v>
      </c>
      <c r="G77" s="4">
        <v>300000</v>
      </c>
      <c r="H77" s="4">
        <f t="shared" si="3"/>
        <v>300000</v>
      </c>
      <c r="I77" s="4">
        <v>48000</v>
      </c>
      <c r="J77" s="4">
        <f t="shared" si="4"/>
        <v>48000</v>
      </c>
      <c r="K77" s="4">
        <v>0</v>
      </c>
      <c r="L77" s="4">
        <v>348000</v>
      </c>
      <c r="M77" t="s">
        <v>60</v>
      </c>
      <c r="N77" t="s">
        <v>1297</v>
      </c>
      <c r="O77" t="s">
        <v>17</v>
      </c>
    </row>
    <row r="78" spans="1:15" x14ac:dyDescent="0.25">
      <c r="A78" t="s">
        <v>781</v>
      </c>
      <c r="B78" t="s">
        <v>782</v>
      </c>
      <c r="C78" t="s">
        <v>659</v>
      </c>
      <c r="D78" t="s">
        <v>820</v>
      </c>
      <c r="E78" t="s">
        <v>821</v>
      </c>
      <c r="F78" s="4">
        <v>0</v>
      </c>
      <c r="G78" s="4">
        <v>150000</v>
      </c>
      <c r="H78" s="4">
        <f t="shared" si="3"/>
        <v>150000</v>
      </c>
      <c r="I78" s="4">
        <v>24000</v>
      </c>
      <c r="J78" s="4">
        <f t="shared" si="4"/>
        <v>24000</v>
      </c>
      <c r="K78" s="4">
        <v>0</v>
      </c>
      <c r="L78" s="4">
        <v>174000</v>
      </c>
      <c r="M78" t="s">
        <v>60</v>
      </c>
      <c r="N78" t="s">
        <v>780</v>
      </c>
      <c r="O78" t="s">
        <v>17</v>
      </c>
    </row>
    <row r="79" spans="1:15" x14ac:dyDescent="0.25">
      <c r="A79" t="s">
        <v>1107</v>
      </c>
      <c r="B79" t="s">
        <v>1108</v>
      </c>
      <c r="C79" t="s">
        <v>405</v>
      </c>
      <c r="D79" t="s">
        <v>1109</v>
      </c>
      <c r="E79" t="s">
        <v>1110</v>
      </c>
      <c r="F79" s="4">
        <v>0</v>
      </c>
      <c r="G79" s="4">
        <v>250000</v>
      </c>
      <c r="H79" s="4">
        <f t="shared" si="3"/>
        <v>250000</v>
      </c>
      <c r="I79" s="4">
        <v>40000</v>
      </c>
      <c r="J79" s="4">
        <f t="shared" si="4"/>
        <v>40000</v>
      </c>
      <c r="K79" s="4">
        <v>0</v>
      </c>
      <c r="L79" s="4">
        <v>290000</v>
      </c>
      <c r="M79" t="s">
        <v>60</v>
      </c>
      <c r="N79" t="s">
        <v>311</v>
      </c>
      <c r="O79" t="s">
        <v>17</v>
      </c>
    </row>
    <row r="80" spans="1:15" x14ac:dyDescent="0.25">
      <c r="A80" t="s">
        <v>926</v>
      </c>
      <c r="B80" t="s">
        <v>927</v>
      </c>
      <c r="C80" t="s">
        <v>95</v>
      </c>
      <c r="D80" t="s">
        <v>928</v>
      </c>
      <c r="E80" t="s">
        <v>929</v>
      </c>
      <c r="F80" s="4">
        <v>0</v>
      </c>
      <c r="G80" s="4">
        <v>420000</v>
      </c>
      <c r="H80" s="4">
        <f t="shared" si="3"/>
        <v>420000</v>
      </c>
      <c r="I80" s="4">
        <v>67200</v>
      </c>
      <c r="J80" s="4">
        <f t="shared" si="4"/>
        <v>67200</v>
      </c>
      <c r="K80" s="4">
        <v>0</v>
      </c>
      <c r="L80" s="4">
        <v>487200</v>
      </c>
      <c r="M80" t="s">
        <v>29</v>
      </c>
      <c r="N80" t="s">
        <v>925</v>
      </c>
      <c r="O80" t="s">
        <v>930</v>
      </c>
    </row>
    <row r="81" spans="1:15" x14ac:dyDescent="0.25">
      <c r="A81" t="s">
        <v>1201</v>
      </c>
      <c r="B81" t="s">
        <v>1202</v>
      </c>
      <c r="C81" t="s">
        <v>95</v>
      </c>
      <c r="D81" t="s">
        <v>1203</v>
      </c>
      <c r="E81" t="s">
        <v>1204</v>
      </c>
      <c r="F81" s="4">
        <v>0</v>
      </c>
      <c r="G81" s="4">
        <v>490000</v>
      </c>
      <c r="H81" s="4">
        <f t="shared" si="3"/>
        <v>490000</v>
      </c>
      <c r="I81" s="4">
        <v>78400</v>
      </c>
      <c r="J81" s="4">
        <f t="shared" si="4"/>
        <v>78400</v>
      </c>
      <c r="K81" s="4">
        <v>0</v>
      </c>
      <c r="L81" s="4">
        <v>568400</v>
      </c>
      <c r="M81" t="s">
        <v>18</v>
      </c>
      <c r="N81" t="s">
        <v>331</v>
      </c>
      <c r="O81" t="s">
        <v>17</v>
      </c>
    </row>
    <row r="82" spans="1:15" x14ac:dyDescent="0.25">
      <c r="A82" t="s">
        <v>1007</v>
      </c>
      <c r="B82" t="s">
        <v>1008</v>
      </c>
      <c r="C82" t="s">
        <v>14</v>
      </c>
      <c r="D82" t="s">
        <v>1009</v>
      </c>
      <c r="E82" t="s">
        <v>1010</v>
      </c>
      <c r="F82" s="4">
        <v>0</v>
      </c>
      <c r="G82" s="4">
        <v>1250000</v>
      </c>
      <c r="H82" s="4">
        <f t="shared" si="3"/>
        <v>1250000</v>
      </c>
      <c r="I82" s="4">
        <v>200000</v>
      </c>
      <c r="J82" s="4">
        <f t="shared" si="4"/>
        <v>200000</v>
      </c>
      <c r="K82" s="4">
        <v>0</v>
      </c>
      <c r="L82" s="4">
        <v>1450000</v>
      </c>
      <c r="M82" t="s">
        <v>18</v>
      </c>
      <c r="N82" t="s">
        <v>277</v>
      </c>
      <c r="O82" t="s">
        <v>17</v>
      </c>
    </row>
    <row r="83" spans="1:15" x14ac:dyDescent="0.25">
      <c r="A83" t="s">
        <v>1277</v>
      </c>
      <c r="B83" t="s">
        <v>1278</v>
      </c>
      <c r="C83" t="s">
        <v>95</v>
      </c>
      <c r="D83" t="s">
        <v>1474</v>
      </c>
      <c r="E83" t="s">
        <v>1475</v>
      </c>
      <c r="F83" s="4">
        <v>0</v>
      </c>
      <c r="G83" s="4">
        <v>422500</v>
      </c>
      <c r="H83" s="4">
        <f t="shared" si="3"/>
        <v>422500</v>
      </c>
      <c r="I83" s="4">
        <v>67600</v>
      </c>
      <c r="J83" s="4">
        <f t="shared" si="4"/>
        <v>67600</v>
      </c>
      <c r="K83" s="4">
        <v>0</v>
      </c>
      <c r="L83" s="4">
        <v>490100</v>
      </c>
      <c r="M83" t="s">
        <v>179</v>
      </c>
      <c r="N83" t="s">
        <v>35</v>
      </c>
      <c r="O83" t="s">
        <v>17</v>
      </c>
    </row>
    <row r="84" spans="1:15" x14ac:dyDescent="0.25">
      <c r="A84" t="s">
        <v>869</v>
      </c>
      <c r="B84" t="s">
        <v>870</v>
      </c>
      <c r="C84" t="s">
        <v>95</v>
      </c>
      <c r="D84" t="s">
        <v>1472</v>
      </c>
      <c r="E84" t="s">
        <v>1473</v>
      </c>
      <c r="F84" s="4">
        <v>0</v>
      </c>
      <c r="G84" s="4">
        <v>1365000</v>
      </c>
      <c r="H84" s="4">
        <f t="shared" si="3"/>
        <v>1365000</v>
      </c>
      <c r="I84" s="4">
        <v>218400</v>
      </c>
      <c r="J84" s="4">
        <f t="shared" si="4"/>
        <v>218400</v>
      </c>
      <c r="K84" s="4">
        <v>0</v>
      </c>
      <c r="L84" s="4">
        <v>1583400</v>
      </c>
      <c r="M84" t="s">
        <v>179</v>
      </c>
      <c r="N84" t="s">
        <v>35</v>
      </c>
      <c r="O84" t="s">
        <v>17</v>
      </c>
    </row>
    <row r="85" spans="1:15" x14ac:dyDescent="0.25">
      <c r="A85" t="s">
        <v>869</v>
      </c>
      <c r="B85" t="s">
        <v>870</v>
      </c>
      <c r="C85" t="s">
        <v>95</v>
      </c>
      <c r="D85" t="s">
        <v>1470</v>
      </c>
      <c r="E85" t="s">
        <v>1471</v>
      </c>
      <c r="F85" s="4">
        <v>0</v>
      </c>
      <c r="G85" s="4">
        <v>1680000</v>
      </c>
      <c r="H85" s="4">
        <f t="shared" si="3"/>
        <v>1680000</v>
      </c>
      <c r="I85" s="4">
        <v>268800</v>
      </c>
      <c r="J85" s="4">
        <f t="shared" si="4"/>
        <v>268800</v>
      </c>
      <c r="K85" s="4">
        <v>0</v>
      </c>
      <c r="L85" s="4">
        <v>1948800</v>
      </c>
      <c r="M85" t="s">
        <v>136</v>
      </c>
      <c r="N85" t="s">
        <v>35</v>
      </c>
      <c r="O85" t="s">
        <v>17</v>
      </c>
    </row>
    <row r="86" spans="1:15" x14ac:dyDescent="0.25">
      <c r="A86" t="s">
        <v>12</v>
      </c>
      <c r="B86" t="s">
        <v>13</v>
      </c>
      <c r="C86" t="s">
        <v>204</v>
      </c>
      <c r="D86" t="s">
        <v>207</v>
      </c>
      <c r="E86" t="s">
        <v>208</v>
      </c>
      <c r="F86" s="4">
        <v>0</v>
      </c>
      <c r="G86" s="4">
        <v>40000</v>
      </c>
      <c r="H86" s="4">
        <f t="shared" si="3"/>
        <v>40000</v>
      </c>
      <c r="I86" s="4">
        <v>6400</v>
      </c>
      <c r="J86" s="4">
        <f t="shared" si="4"/>
        <v>6400</v>
      </c>
      <c r="K86" s="4">
        <v>0</v>
      </c>
      <c r="L86" s="4">
        <v>46400</v>
      </c>
      <c r="M86" t="s">
        <v>182</v>
      </c>
      <c r="N86" t="s">
        <v>202</v>
      </c>
      <c r="O86" t="s">
        <v>192</v>
      </c>
    </row>
    <row r="87" spans="1:15" x14ac:dyDescent="0.25">
      <c r="A87" t="s">
        <v>1466</v>
      </c>
      <c r="B87" t="s">
        <v>1467</v>
      </c>
      <c r="C87" t="s">
        <v>95</v>
      </c>
      <c r="D87" t="s">
        <v>1468</v>
      </c>
      <c r="E87" t="s">
        <v>1469</v>
      </c>
      <c r="F87" s="4">
        <v>0</v>
      </c>
      <c r="G87" s="4">
        <v>350000</v>
      </c>
      <c r="H87" s="4">
        <f t="shared" si="3"/>
        <v>350000</v>
      </c>
      <c r="I87" s="4">
        <v>56000</v>
      </c>
      <c r="J87" s="4">
        <f t="shared" si="4"/>
        <v>56000</v>
      </c>
      <c r="K87" s="4">
        <v>0</v>
      </c>
      <c r="L87" s="4">
        <v>406000</v>
      </c>
      <c r="M87" t="s">
        <v>182</v>
      </c>
      <c r="N87" t="s">
        <v>35</v>
      </c>
      <c r="O87" t="s">
        <v>17</v>
      </c>
    </row>
    <row r="88" spans="1:15" x14ac:dyDescent="0.25">
      <c r="A88" t="s">
        <v>1281</v>
      </c>
      <c r="B88" t="s">
        <v>1282</v>
      </c>
      <c r="C88" t="s">
        <v>405</v>
      </c>
      <c r="D88" t="s">
        <v>1283</v>
      </c>
      <c r="E88" t="s">
        <v>1284</v>
      </c>
      <c r="F88" s="4">
        <v>0</v>
      </c>
      <c r="G88" s="4">
        <v>250000</v>
      </c>
      <c r="H88" s="4">
        <f t="shared" si="3"/>
        <v>250000</v>
      </c>
      <c r="I88" s="4">
        <v>40000</v>
      </c>
      <c r="J88" s="4">
        <f t="shared" si="4"/>
        <v>40000</v>
      </c>
      <c r="K88" s="4">
        <v>0</v>
      </c>
      <c r="L88" s="4">
        <v>290000</v>
      </c>
      <c r="M88" t="s">
        <v>182</v>
      </c>
      <c r="N88" t="s">
        <v>1272</v>
      </c>
      <c r="O88" t="s">
        <v>17</v>
      </c>
    </row>
    <row r="89" spans="1:15" x14ac:dyDescent="0.25">
      <c r="A89" t="s">
        <v>564</v>
      </c>
      <c r="B89" t="s">
        <v>565</v>
      </c>
      <c r="C89" t="s">
        <v>349</v>
      </c>
      <c r="D89" t="s">
        <v>566</v>
      </c>
      <c r="E89" t="s">
        <v>567</v>
      </c>
      <c r="F89" s="4">
        <v>0</v>
      </c>
      <c r="G89" s="4">
        <v>55000</v>
      </c>
      <c r="H89" s="4">
        <f t="shared" si="3"/>
        <v>55000</v>
      </c>
      <c r="I89" s="4">
        <v>8800</v>
      </c>
      <c r="J89" s="4">
        <f t="shared" si="4"/>
        <v>8800</v>
      </c>
      <c r="K89" s="4">
        <v>0</v>
      </c>
      <c r="L89" s="4">
        <v>63800</v>
      </c>
      <c r="M89" t="s">
        <v>179</v>
      </c>
      <c r="N89" t="s">
        <v>563</v>
      </c>
      <c r="O89" t="s">
        <v>17</v>
      </c>
    </row>
    <row r="90" spans="1:15" x14ac:dyDescent="0.25">
      <c r="A90" t="s">
        <v>100</v>
      </c>
      <c r="B90" t="s">
        <v>101</v>
      </c>
      <c r="C90" t="s">
        <v>14</v>
      </c>
      <c r="D90" t="s">
        <v>269</v>
      </c>
      <c r="E90" t="s">
        <v>270</v>
      </c>
      <c r="F90" s="4">
        <v>0</v>
      </c>
      <c r="G90" s="4">
        <v>728980</v>
      </c>
      <c r="H90" s="4">
        <f t="shared" si="3"/>
        <v>728980</v>
      </c>
      <c r="I90" s="4">
        <v>116636.8</v>
      </c>
      <c r="J90" s="4">
        <f t="shared" si="4"/>
        <v>116636.8</v>
      </c>
      <c r="K90" s="4">
        <v>0</v>
      </c>
      <c r="L90" s="4">
        <v>845616.8</v>
      </c>
      <c r="M90" t="s">
        <v>52</v>
      </c>
      <c r="N90" t="s">
        <v>23</v>
      </c>
      <c r="O90" t="s">
        <v>105</v>
      </c>
    </row>
    <row r="91" spans="1:15" x14ac:dyDescent="0.25">
      <c r="A91" t="s">
        <v>869</v>
      </c>
      <c r="B91" t="s">
        <v>870</v>
      </c>
      <c r="C91" t="s">
        <v>14</v>
      </c>
      <c r="D91" t="s">
        <v>934</v>
      </c>
      <c r="E91" t="s">
        <v>935</v>
      </c>
      <c r="F91" s="4">
        <v>0</v>
      </c>
      <c r="G91" s="4">
        <v>1120000</v>
      </c>
      <c r="H91" s="4">
        <f t="shared" si="3"/>
        <v>1120000</v>
      </c>
      <c r="I91" s="4">
        <v>179200</v>
      </c>
      <c r="J91" s="4">
        <f t="shared" si="4"/>
        <v>179200</v>
      </c>
      <c r="K91" s="4">
        <v>0</v>
      </c>
      <c r="L91" s="4">
        <v>1299200</v>
      </c>
      <c r="M91" t="s">
        <v>52</v>
      </c>
      <c r="N91" t="s">
        <v>933</v>
      </c>
      <c r="O91" t="s">
        <v>17</v>
      </c>
    </row>
    <row r="92" spans="1:15" x14ac:dyDescent="0.25">
      <c r="A92" t="s">
        <v>559</v>
      </c>
      <c r="B92" t="s">
        <v>560</v>
      </c>
      <c r="C92" t="s">
        <v>14</v>
      </c>
      <c r="D92" t="s">
        <v>561</v>
      </c>
      <c r="E92" t="s">
        <v>562</v>
      </c>
      <c r="F92" s="4">
        <v>0</v>
      </c>
      <c r="G92" s="4">
        <v>25000</v>
      </c>
      <c r="H92" s="4">
        <f t="shared" si="3"/>
        <v>25000</v>
      </c>
      <c r="I92" s="4">
        <v>4000</v>
      </c>
      <c r="J92" s="4">
        <f t="shared" si="4"/>
        <v>4000</v>
      </c>
      <c r="K92" s="4">
        <v>0</v>
      </c>
      <c r="L92" s="4">
        <v>29000</v>
      </c>
      <c r="M92" t="s">
        <v>553</v>
      </c>
      <c r="N92" t="s">
        <v>563</v>
      </c>
      <c r="O92" t="s">
        <v>17</v>
      </c>
    </row>
    <row r="93" spans="1:15" x14ac:dyDescent="0.25">
      <c r="A93" t="s">
        <v>549</v>
      </c>
      <c r="B93" t="s">
        <v>550</v>
      </c>
      <c r="C93" t="s">
        <v>14</v>
      </c>
      <c r="D93" t="s">
        <v>551</v>
      </c>
      <c r="E93" t="s">
        <v>552</v>
      </c>
      <c r="F93" s="4">
        <v>0</v>
      </c>
      <c r="G93" s="4">
        <v>40000</v>
      </c>
      <c r="H93" s="4">
        <f t="shared" si="3"/>
        <v>40000</v>
      </c>
      <c r="I93" s="4">
        <v>6400</v>
      </c>
      <c r="J93" s="4">
        <f t="shared" si="4"/>
        <v>6400</v>
      </c>
      <c r="K93" s="4">
        <v>0</v>
      </c>
      <c r="L93" s="4">
        <v>46400</v>
      </c>
      <c r="M93" t="s">
        <v>553</v>
      </c>
      <c r="N93" t="s">
        <v>554</v>
      </c>
      <c r="O93" t="s">
        <v>17</v>
      </c>
    </row>
    <row r="94" spans="1:15" x14ac:dyDescent="0.25">
      <c r="A94" t="s">
        <v>1277</v>
      </c>
      <c r="B94" t="s">
        <v>1278</v>
      </c>
      <c r="C94" t="s">
        <v>95</v>
      </c>
      <c r="D94" t="s">
        <v>1464</v>
      </c>
      <c r="E94" t="s">
        <v>1465</v>
      </c>
      <c r="F94" s="4">
        <v>0</v>
      </c>
      <c r="G94" s="4">
        <v>300000</v>
      </c>
      <c r="H94" s="4">
        <f t="shared" si="3"/>
        <v>300000</v>
      </c>
      <c r="I94" s="4">
        <v>48000</v>
      </c>
      <c r="J94" s="4">
        <f t="shared" si="4"/>
        <v>48000</v>
      </c>
      <c r="K94" s="4">
        <v>0</v>
      </c>
      <c r="L94" s="4">
        <v>348000</v>
      </c>
      <c r="M94" t="s">
        <v>172</v>
      </c>
      <c r="N94" t="s">
        <v>35</v>
      </c>
      <c r="O94" t="s">
        <v>17</v>
      </c>
    </row>
    <row r="95" spans="1:15" x14ac:dyDescent="0.25">
      <c r="A95" t="s">
        <v>1277</v>
      </c>
      <c r="B95" t="s">
        <v>1278</v>
      </c>
      <c r="C95" t="s">
        <v>95</v>
      </c>
      <c r="D95" t="s">
        <v>1462</v>
      </c>
      <c r="E95" t="s">
        <v>1463</v>
      </c>
      <c r="F95" s="4">
        <v>0</v>
      </c>
      <c r="G95" s="4">
        <v>325000</v>
      </c>
      <c r="H95" s="4">
        <f t="shared" si="3"/>
        <v>325000</v>
      </c>
      <c r="I95" s="4">
        <v>52000</v>
      </c>
      <c r="J95" s="4">
        <f t="shared" si="4"/>
        <v>52000</v>
      </c>
      <c r="K95" s="4">
        <v>0</v>
      </c>
      <c r="L95" s="4">
        <v>377000</v>
      </c>
      <c r="M95" t="s">
        <v>187</v>
      </c>
      <c r="N95" t="s">
        <v>35</v>
      </c>
      <c r="O95" t="s">
        <v>17</v>
      </c>
    </row>
    <row r="96" spans="1:15" x14ac:dyDescent="0.25">
      <c r="A96" t="s">
        <v>12</v>
      </c>
      <c r="B96" t="s">
        <v>13</v>
      </c>
      <c r="C96" t="s">
        <v>95</v>
      </c>
      <c r="D96" t="s">
        <v>427</v>
      </c>
      <c r="E96" t="s">
        <v>428</v>
      </c>
      <c r="F96" s="4">
        <v>0</v>
      </c>
      <c r="G96" s="4">
        <v>487900</v>
      </c>
      <c r="H96" s="4">
        <f t="shared" si="3"/>
        <v>487900</v>
      </c>
      <c r="I96" s="4">
        <v>78064</v>
      </c>
      <c r="J96" s="4">
        <f t="shared" si="4"/>
        <v>78064</v>
      </c>
      <c r="K96" s="4">
        <v>0</v>
      </c>
      <c r="L96" s="4">
        <v>565964</v>
      </c>
      <c r="M96" t="s">
        <v>136</v>
      </c>
      <c r="N96" t="s">
        <v>424</v>
      </c>
      <c r="O96" t="s">
        <v>192</v>
      </c>
    </row>
    <row r="97" spans="1:15" x14ac:dyDescent="0.25">
      <c r="A97" t="s">
        <v>61</v>
      </c>
      <c r="B97" t="s">
        <v>62</v>
      </c>
      <c r="C97" t="s">
        <v>14</v>
      </c>
      <c r="D97" t="s">
        <v>75</v>
      </c>
      <c r="E97" t="s">
        <v>76</v>
      </c>
      <c r="F97" s="4">
        <v>0</v>
      </c>
      <c r="G97" s="4">
        <v>344400</v>
      </c>
      <c r="H97" s="4">
        <f t="shared" si="3"/>
        <v>344400</v>
      </c>
      <c r="I97" s="4">
        <v>55104</v>
      </c>
      <c r="J97" s="4">
        <f t="shared" si="4"/>
        <v>55104</v>
      </c>
      <c r="K97" s="4">
        <v>0</v>
      </c>
      <c r="L97" s="4">
        <v>399504</v>
      </c>
      <c r="M97" t="s">
        <v>18</v>
      </c>
      <c r="N97" t="s">
        <v>74</v>
      </c>
      <c r="O97" t="s">
        <v>66</v>
      </c>
    </row>
    <row r="98" spans="1:15" x14ac:dyDescent="0.25">
      <c r="A98" t="s">
        <v>61</v>
      </c>
      <c r="B98" t="s">
        <v>62</v>
      </c>
      <c r="C98" t="s">
        <v>14</v>
      </c>
      <c r="D98" t="s">
        <v>69</v>
      </c>
      <c r="E98" t="s">
        <v>70</v>
      </c>
      <c r="F98" s="4">
        <v>0</v>
      </c>
      <c r="G98" s="4">
        <v>585480</v>
      </c>
      <c r="H98" s="4">
        <f t="shared" si="3"/>
        <v>585480</v>
      </c>
      <c r="I98" s="4">
        <v>93676.800000000003</v>
      </c>
      <c r="J98" s="4">
        <f t="shared" si="4"/>
        <v>93676.800000000003</v>
      </c>
      <c r="K98" s="4">
        <v>0</v>
      </c>
      <c r="L98" s="4">
        <v>679156.8</v>
      </c>
      <c r="M98" t="s">
        <v>18</v>
      </c>
      <c r="N98" t="s">
        <v>65</v>
      </c>
      <c r="O98" t="s">
        <v>66</v>
      </c>
    </row>
    <row r="99" spans="1:15" x14ac:dyDescent="0.25">
      <c r="A99" t="s">
        <v>61</v>
      </c>
      <c r="B99" t="s">
        <v>62</v>
      </c>
      <c r="C99" t="s">
        <v>14</v>
      </c>
      <c r="D99" t="s">
        <v>67</v>
      </c>
      <c r="E99" t="s">
        <v>68</v>
      </c>
      <c r="F99" s="4">
        <v>0</v>
      </c>
      <c r="G99" s="4">
        <v>585480</v>
      </c>
      <c r="H99" s="4">
        <f t="shared" si="3"/>
        <v>585480</v>
      </c>
      <c r="I99" s="4">
        <v>93676.800000000003</v>
      </c>
      <c r="J99" s="4">
        <f t="shared" si="4"/>
        <v>93676.800000000003</v>
      </c>
      <c r="K99" s="4">
        <v>0</v>
      </c>
      <c r="L99" s="4">
        <v>679156.8</v>
      </c>
      <c r="M99" t="s">
        <v>18</v>
      </c>
      <c r="N99" t="s">
        <v>65</v>
      </c>
      <c r="O99" t="s">
        <v>66</v>
      </c>
    </row>
    <row r="100" spans="1:15" x14ac:dyDescent="0.25">
      <c r="A100" t="s">
        <v>100</v>
      </c>
      <c r="B100" t="s">
        <v>101</v>
      </c>
      <c r="C100" t="s">
        <v>14</v>
      </c>
      <c r="D100" t="s">
        <v>403</v>
      </c>
      <c r="E100" t="s">
        <v>404</v>
      </c>
      <c r="F100" s="4">
        <v>0</v>
      </c>
      <c r="G100" s="4">
        <v>1115200</v>
      </c>
      <c r="H100" s="4">
        <f t="shared" si="3"/>
        <v>1115200</v>
      </c>
      <c r="I100" s="4">
        <v>178432</v>
      </c>
      <c r="J100" s="4">
        <f t="shared" si="4"/>
        <v>178432</v>
      </c>
      <c r="K100" s="4">
        <v>0</v>
      </c>
      <c r="L100" s="4">
        <v>1293632</v>
      </c>
      <c r="M100" t="s">
        <v>136</v>
      </c>
      <c r="N100" t="s">
        <v>35</v>
      </c>
      <c r="O100" t="s">
        <v>105</v>
      </c>
    </row>
    <row r="101" spans="1:15" x14ac:dyDescent="0.25">
      <c r="A101" t="s">
        <v>24</v>
      </c>
      <c r="B101" t="s">
        <v>25</v>
      </c>
      <c r="C101" t="s">
        <v>95</v>
      </c>
      <c r="D101" t="s">
        <v>425</v>
      </c>
      <c r="E101" t="s">
        <v>426</v>
      </c>
      <c r="F101" s="4">
        <v>0</v>
      </c>
      <c r="G101" s="4">
        <v>492000</v>
      </c>
      <c r="H101" s="4">
        <f t="shared" si="3"/>
        <v>492000</v>
      </c>
      <c r="I101" s="4">
        <v>78720</v>
      </c>
      <c r="J101" s="4">
        <f t="shared" si="4"/>
        <v>78720</v>
      </c>
      <c r="K101" s="4">
        <v>0</v>
      </c>
      <c r="L101" s="4">
        <v>570720</v>
      </c>
      <c r="M101" t="s">
        <v>136</v>
      </c>
      <c r="N101" t="s">
        <v>424</v>
      </c>
      <c r="O101" t="s">
        <v>140</v>
      </c>
    </row>
    <row r="102" spans="1:15" x14ac:dyDescent="0.25">
      <c r="A102" t="s">
        <v>61</v>
      </c>
      <c r="B102" t="s">
        <v>62</v>
      </c>
      <c r="C102" t="s">
        <v>14</v>
      </c>
      <c r="D102" t="s">
        <v>63</v>
      </c>
      <c r="E102" t="s">
        <v>64</v>
      </c>
      <c r="F102" s="4">
        <v>0</v>
      </c>
      <c r="G102" s="4">
        <v>516600</v>
      </c>
      <c r="H102" s="4">
        <f t="shared" si="3"/>
        <v>516600</v>
      </c>
      <c r="I102" s="4">
        <v>82656</v>
      </c>
      <c r="J102" s="4">
        <f t="shared" si="4"/>
        <v>82656</v>
      </c>
      <c r="K102" s="4">
        <v>0</v>
      </c>
      <c r="L102" s="4">
        <v>599256</v>
      </c>
      <c r="M102" t="s">
        <v>18</v>
      </c>
      <c r="N102" t="s">
        <v>65</v>
      </c>
      <c r="O102" t="s">
        <v>66</v>
      </c>
    </row>
    <row r="103" spans="1:15" x14ac:dyDescent="0.25">
      <c r="A103" t="s">
        <v>12</v>
      </c>
      <c r="B103" t="s">
        <v>13</v>
      </c>
      <c r="C103" t="s">
        <v>46</v>
      </c>
      <c r="D103" t="s">
        <v>166</v>
      </c>
      <c r="E103" t="s">
        <v>167</v>
      </c>
      <c r="F103" s="4">
        <v>0</v>
      </c>
      <c r="G103" s="4">
        <v>86100</v>
      </c>
      <c r="H103" s="4">
        <f t="shared" si="3"/>
        <v>86100</v>
      </c>
      <c r="I103" s="4">
        <v>13776</v>
      </c>
      <c r="J103" s="4">
        <f t="shared" si="4"/>
        <v>13776</v>
      </c>
      <c r="K103" s="4">
        <v>0</v>
      </c>
      <c r="L103" s="4">
        <v>99876</v>
      </c>
      <c r="M103" t="s">
        <v>136</v>
      </c>
      <c r="N103" t="s">
        <v>162</v>
      </c>
      <c r="O103" t="s">
        <v>20</v>
      </c>
    </row>
    <row r="104" spans="1:15" x14ac:dyDescent="0.25">
      <c r="A104" t="s">
        <v>24</v>
      </c>
      <c r="B104" t="s">
        <v>25</v>
      </c>
      <c r="C104" t="s">
        <v>188</v>
      </c>
      <c r="D104" t="s">
        <v>209</v>
      </c>
      <c r="E104" t="s">
        <v>210</v>
      </c>
      <c r="F104" s="4">
        <v>0</v>
      </c>
      <c r="G104" s="4">
        <v>60000</v>
      </c>
      <c r="H104" s="4">
        <f t="shared" si="3"/>
        <v>60000</v>
      </c>
      <c r="I104" s="4">
        <v>9600</v>
      </c>
      <c r="J104" s="4">
        <f t="shared" si="4"/>
        <v>9600</v>
      </c>
      <c r="K104" s="4">
        <v>0</v>
      </c>
      <c r="L104" s="4">
        <v>69600</v>
      </c>
      <c r="M104" t="s">
        <v>136</v>
      </c>
      <c r="N104" t="s">
        <v>202</v>
      </c>
      <c r="O104" t="s">
        <v>211</v>
      </c>
    </row>
    <row r="105" spans="1:15" x14ac:dyDescent="0.25">
      <c r="A105" t="s">
        <v>12</v>
      </c>
      <c r="B105" t="s">
        <v>13</v>
      </c>
      <c r="C105" t="s">
        <v>163</v>
      </c>
      <c r="D105" t="s">
        <v>164</v>
      </c>
      <c r="E105" t="s">
        <v>165</v>
      </c>
      <c r="F105" s="4">
        <v>0</v>
      </c>
      <c r="G105" s="4">
        <v>86100</v>
      </c>
      <c r="H105" s="4">
        <f t="shared" si="3"/>
        <v>86100</v>
      </c>
      <c r="I105" s="4">
        <v>13776</v>
      </c>
      <c r="J105" s="4">
        <f t="shared" si="4"/>
        <v>13776</v>
      </c>
      <c r="K105" s="4">
        <v>0</v>
      </c>
      <c r="L105" s="4">
        <v>99876</v>
      </c>
      <c r="M105" t="s">
        <v>136</v>
      </c>
      <c r="N105" t="s">
        <v>162</v>
      </c>
      <c r="O105" t="s">
        <v>20</v>
      </c>
    </row>
    <row r="106" spans="1:15" x14ac:dyDescent="0.25">
      <c r="A106" t="s">
        <v>12</v>
      </c>
      <c r="B106" t="s">
        <v>13</v>
      </c>
      <c r="C106" t="s">
        <v>14</v>
      </c>
      <c r="D106" t="s">
        <v>297</v>
      </c>
      <c r="E106" t="s">
        <v>298</v>
      </c>
      <c r="F106" s="4">
        <v>0</v>
      </c>
      <c r="G106" s="4">
        <v>1640000</v>
      </c>
      <c r="H106" s="4">
        <f t="shared" si="3"/>
        <v>1640000</v>
      </c>
      <c r="I106" s="4">
        <v>262400</v>
      </c>
      <c r="J106" s="4">
        <f t="shared" si="4"/>
        <v>262400</v>
      </c>
      <c r="K106" s="4">
        <v>0</v>
      </c>
      <c r="L106" s="4">
        <v>1902400</v>
      </c>
      <c r="M106" t="s">
        <v>18</v>
      </c>
      <c r="N106" t="s">
        <v>19</v>
      </c>
      <c r="O106" t="s">
        <v>20</v>
      </c>
    </row>
    <row r="107" spans="1:15" x14ac:dyDescent="0.25">
      <c r="A107" t="s">
        <v>738</v>
      </c>
      <c r="B107" t="s">
        <v>739</v>
      </c>
      <c r="C107" t="s">
        <v>405</v>
      </c>
      <c r="D107" t="s">
        <v>740</v>
      </c>
      <c r="E107" t="s">
        <v>741</v>
      </c>
      <c r="F107" s="4">
        <v>0</v>
      </c>
      <c r="G107" s="4">
        <v>250000</v>
      </c>
      <c r="H107" s="4">
        <f t="shared" si="3"/>
        <v>250000</v>
      </c>
      <c r="I107" s="4">
        <v>40000</v>
      </c>
      <c r="J107" s="4">
        <f t="shared" si="4"/>
        <v>40000</v>
      </c>
      <c r="K107" s="4">
        <v>0</v>
      </c>
      <c r="L107" s="4">
        <v>290000</v>
      </c>
      <c r="M107" t="s">
        <v>136</v>
      </c>
      <c r="N107" t="s">
        <v>173</v>
      </c>
      <c r="O107" t="s">
        <v>17</v>
      </c>
    </row>
    <row r="108" spans="1:15" x14ac:dyDescent="0.25">
      <c r="A108" t="s">
        <v>24</v>
      </c>
      <c r="B108" t="s">
        <v>25</v>
      </c>
      <c r="C108" t="s">
        <v>46</v>
      </c>
      <c r="D108" t="s">
        <v>364</v>
      </c>
      <c r="E108" t="s">
        <v>365</v>
      </c>
      <c r="F108" s="4">
        <v>0</v>
      </c>
      <c r="G108" s="4">
        <v>50000</v>
      </c>
      <c r="H108" s="4">
        <f t="shared" si="3"/>
        <v>50000</v>
      </c>
      <c r="I108" s="4">
        <v>8000</v>
      </c>
      <c r="J108" s="4">
        <f t="shared" si="4"/>
        <v>8000</v>
      </c>
      <c r="K108" s="4">
        <v>0</v>
      </c>
      <c r="L108" s="4">
        <v>58000</v>
      </c>
      <c r="M108" t="s">
        <v>18</v>
      </c>
      <c r="N108" t="s">
        <v>363</v>
      </c>
      <c r="O108" t="s">
        <v>133</v>
      </c>
    </row>
    <row r="109" spans="1:15" x14ac:dyDescent="0.25">
      <c r="A109" t="s">
        <v>732</v>
      </c>
      <c r="B109" t="s">
        <v>733</v>
      </c>
      <c r="C109" t="s">
        <v>163</v>
      </c>
      <c r="D109" t="s">
        <v>736</v>
      </c>
      <c r="E109" t="s">
        <v>737</v>
      </c>
      <c r="F109" s="4">
        <v>0</v>
      </c>
      <c r="G109" s="4">
        <v>300000</v>
      </c>
      <c r="H109" s="4">
        <f t="shared" si="3"/>
        <v>300000</v>
      </c>
      <c r="I109" s="4">
        <v>48000</v>
      </c>
      <c r="J109" s="4">
        <f t="shared" si="4"/>
        <v>48000</v>
      </c>
      <c r="K109" s="4">
        <v>0</v>
      </c>
      <c r="L109" s="4">
        <v>348000</v>
      </c>
      <c r="M109" t="s">
        <v>136</v>
      </c>
      <c r="N109" t="s">
        <v>173</v>
      </c>
      <c r="O109" t="s">
        <v>17</v>
      </c>
    </row>
    <row r="110" spans="1:15" x14ac:dyDescent="0.25">
      <c r="A110" t="s">
        <v>24</v>
      </c>
      <c r="B110" t="s">
        <v>25</v>
      </c>
      <c r="C110" t="s">
        <v>14</v>
      </c>
      <c r="D110" t="s">
        <v>267</v>
      </c>
      <c r="E110" t="s">
        <v>268</v>
      </c>
      <c r="F110" s="4">
        <v>0</v>
      </c>
      <c r="G110" s="4">
        <v>1476000</v>
      </c>
      <c r="H110" s="4">
        <f t="shared" si="3"/>
        <v>1476000</v>
      </c>
      <c r="I110" s="4">
        <v>236160</v>
      </c>
      <c r="J110" s="4">
        <f t="shared" si="4"/>
        <v>236160</v>
      </c>
      <c r="K110" s="4">
        <v>0</v>
      </c>
      <c r="L110" s="4">
        <v>1712160</v>
      </c>
      <c r="M110" t="s">
        <v>18</v>
      </c>
      <c r="N110" t="s">
        <v>23</v>
      </c>
      <c r="O110" t="s">
        <v>140</v>
      </c>
    </row>
    <row r="111" spans="1:15" x14ac:dyDescent="0.25">
      <c r="A111" t="s">
        <v>445</v>
      </c>
      <c r="B111" t="s">
        <v>446</v>
      </c>
      <c r="C111" t="s">
        <v>95</v>
      </c>
      <c r="D111" t="s">
        <v>454</v>
      </c>
      <c r="E111" t="s">
        <v>455</v>
      </c>
      <c r="F111" s="4">
        <v>0</v>
      </c>
      <c r="G111" s="4">
        <v>30000</v>
      </c>
      <c r="H111" s="4">
        <f t="shared" si="3"/>
        <v>30000</v>
      </c>
      <c r="I111" s="4">
        <v>4800</v>
      </c>
      <c r="J111" s="4">
        <f t="shared" si="4"/>
        <v>4800</v>
      </c>
      <c r="K111" s="4">
        <v>0</v>
      </c>
      <c r="L111" s="4">
        <v>34800</v>
      </c>
      <c r="M111" t="s">
        <v>136</v>
      </c>
      <c r="N111" t="s">
        <v>449</v>
      </c>
      <c r="O111" t="s">
        <v>17</v>
      </c>
    </row>
    <row r="112" spans="1:15" x14ac:dyDescent="0.25">
      <c r="A112" t="s">
        <v>445</v>
      </c>
      <c r="B112" t="s">
        <v>446</v>
      </c>
      <c r="C112" t="s">
        <v>14</v>
      </c>
      <c r="D112" t="s">
        <v>452</v>
      </c>
      <c r="E112" t="s">
        <v>453</v>
      </c>
      <c r="F112" s="4">
        <v>0</v>
      </c>
      <c r="G112" s="4">
        <v>30000</v>
      </c>
      <c r="H112" s="4">
        <f t="shared" si="3"/>
        <v>30000</v>
      </c>
      <c r="I112" s="4">
        <v>4800</v>
      </c>
      <c r="J112" s="4">
        <f t="shared" si="4"/>
        <v>4800</v>
      </c>
      <c r="K112" s="4">
        <v>0</v>
      </c>
      <c r="L112" s="4">
        <v>34800</v>
      </c>
      <c r="M112" t="s">
        <v>136</v>
      </c>
      <c r="N112" t="s">
        <v>449</v>
      </c>
      <c r="O112" t="s">
        <v>17</v>
      </c>
    </row>
    <row r="113" spans="1:15" x14ac:dyDescent="0.25">
      <c r="A113" t="s">
        <v>281</v>
      </c>
      <c r="B113" t="s">
        <v>282</v>
      </c>
      <c r="C113" t="s">
        <v>288</v>
      </c>
      <c r="D113" t="s">
        <v>289</v>
      </c>
      <c r="E113" t="s">
        <v>290</v>
      </c>
      <c r="F113" s="4">
        <v>0</v>
      </c>
      <c r="G113" s="4">
        <v>922500</v>
      </c>
      <c r="H113" s="4">
        <f t="shared" si="3"/>
        <v>922500</v>
      </c>
      <c r="I113" s="4">
        <v>147600</v>
      </c>
      <c r="J113" s="4">
        <f t="shared" si="4"/>
        <v>147600</v>
      </c>
      <c r="K113" s="4">
        <v>0</v>
      </c>
      <c r="L113" s="4">
        <v>1070100</v>
      </c>
      <c r="M113" t="s">
        <v>18</v>
      </c>
      <c r="N113" t="s">
        <v>277</v>
      </c>
      <c r="O113" t="s">
        <v>285</v>
      </c>
    </row>
    <row r="114" spans="1:15" x14ac:dyDescent="0.25">
      <c r="A114" t="s">
        <v>141</v>
      </c>
      <c r="B114" t="s">
        <v>142</v>
      </c>
      <c r="C114" t="s">
        <v>14</v>
      </c>
      <c r="D114" t="s">
        <v>333</v>
      </c>
      <c r="E114" t="s">
        <v>334</v>
      </c>
      <c r="F114" s="4">
        <v>0</v>
      </c>
      <c r="G114" s="4">
        <v>1033200</v>
      </c>
      <c r="H114" s="4">
        <f t="shared" si="3"/>
        <v>1033200</v>
      </c>
      <c r="I114" s="4">
        <v>165312</v>
      </c>
      <c r="J114" s="4">
        <f t="shared" si="4"/>
        <v>165312</v>
      </c>
      <c r="K114" s="4">
        <v>0</v>
      </c>
      <c r="L114" s="4">
        <v>1198512</v>
      </c>
      <c r="M114" t="s">
        <v>18</v>
      </c>
      <c r="N114" t="s">
        <v>331</v>
      </c>
      <c r="O114" t="s">
        <v>335</v>
      </c>
    </row>
    <row r="115" spans="1:15" x14ac:dyDescent="0.25">
      <c r="A115" t="s">
        <v>227</v>
      </c>
      <c r="B115" t="s">
        <v>228</v>
      </c>
      <c r="C115" t="s">
        <v>14</v>
      </c>
      <c r="D115" t="s">
        <v>352</v>
      </c>
      <c r="E115" t="s">
        <v>353</v>
      </c>
      <c r="F115" s="4">
        <v>0</v>
      </c>
      <c r="G115" s="4">
        <v>840000.21</v>
      </c>
      <c r="H115" s="4">
        <f t="shared" si="3"/>
        <v>840000.21</v>
      </c>
      <c r="I115" s="4">
        <v>134400.03</v>
      </c>
      <c r="J115" s="4">
        <f t="shared" si="4"/>
        <v>134400.0336</v>
      </c>
      <c r="K115" s="4">
        <v>3.599999996367842E-3</v>
      </c>
      <c r="L115" s="4">
        <v>974400.24</v>
      </c>
      <c r="M115" t="s">
        <v>18</v>
      </c>
      <c r="N115" t="s">
        <v>354</v>
      </c>
      <c r="O115" t="s">
        <v>232</v>
      </c>
    </row>
    <row r="116" spans="1:15" x14ac:dyDescent="0.25">
      <c r="A116" t="s">
        <v>227</v>
      </c>
      <c r="B116" t="s">
        <v>228</v>
      </c>
      <c r="C116" t="s">
        <v>258</v>
      </c>
      <c r="D116" t="s">
        <v>314</v>
      </c>
      <c r="E116" t="s">
        <v>315</v>
      </c>
      <c r="F116" s="4">
        <v>0</v>
      </c>
      <c r="G116" s="4">
        <v>1476000</v>
      </c>
      <c r="H116" s="4">
        <f t="shared" si="3"/>
        <v>1476000</v>
      </c>
      <c r="I116" s="4">
        <v>236160</v>
      </c>
      <c r="J116" s="4">
        <f t="shared" si="4"/>
        <v>236160</v>
      </c>
      <c r="K116" s="4">
        <v>0</v>
      </c>
      <c r="L116" s="4">
        <v>1712160</v>
      </c>
      <c r="M116" t="s">
        <v>18</v>
      </c>
      <c r="N116" t="s">
        <v>311</v>
      </c>
      <c r="O116" t="s">
        <v>232</v>
      </c>
    </row>
    <row r="117" spans="1:15" x14ac:dyDescent="0.25">
      <c r="A117" t="s">
        <v>227</v>
      </c>
      <c r="B117" t="s">
        <v>228</v>
      </c>
      <c r="C117" t="s">
        <v>349</v>
      </c>
      <c r="D117" t="s">
        <v>350</v>
      </c>
      <c r="E117" t="s">
        <v>351</v>
      </c>
      <c r="F117" s="4">
        <v>0</v>
      </c>
      <c r="G117" s="4">
        <v>471500</v>
      </c>
      <c r="H117" s="4">
        <f t="shared" si="3"/>
        <v>471500</v>
      </c>
      <c r="I117" s="4">
        <v>75440</v>
      </c>
      <c r="J117" s="4">
        <f t="shared" si="4"/>
        <v>75440</v>
      </c>
      <c r="K117" s="4">
        <v>0</v>
      </c>
      <c r="L117" s="4">
        <v>546940</v>
      </c>
      <c r="M117" t="s">
        <v>18</v>
      </c>
      <c r="N117" t="s">
        <v>348</v>
      </c>
      <c r="O117" t="s">
        <v>325</v>
      </c>
    </row>
    <row r="118" spans="1:15" x14ac:dyDescent="0.25">
      <c r="A118" t="s">
        <v>93</v>
      </c>
      <c r="B118" t="s">
        <v>94</v>
      </c>
      <c r="C118" t="s">
        <v>95</v>
      </c>
      <c r="D118" t="s">
        <v>96</v>
      </c>
      <c r="E118" t="s">
        <v>97</v>
      </c>
      <c r="F118" s="4">
        <v>0</v>
      </c>
      <c r="G118" s="4">
        <v>878220</v>
      </c>
      <c r="H118" s="4">
        <f t="shared" si="3"/>
        <v>878220</v>
      </c>
      <c r="I118" s="4">
        <v>140515.20000000001</v>
      </c>
      <c r="J118" s="4">
        <f t="shared" si="4"/>
        <v>140515.20000000001</v>
      </c>
      <c r="K118" s="4">
        <v>0</v>
      </c>
      <c r="L118" s="4">
        <v>1018735.2</v>
      </c>
      <c r="M118" t="s">
        <v>18</v>
      </c>
      <c r="N118" t="s">
        <v>98</v>
      </c>
      <c r="O118" t="s">
        <v>99</v>
      </c>
    </row>
    <row r="119" spans="1:15" x14ac:dyDescent="0.25">
      <c r="A119" t="s">
        <v>93</v>
      </c>
      <c r="B119" t="s">
        <v>94</v>
      </c>
      <c r="C119" t="s">
        <v>14</v>
      </c>
      <c r="D119" t="s">
        <v>265</v>
      </c>
      <c r="E119" t="s">
        <v>266</v>
      </c>
      <c r="F119" s="4">
        <v>0</v>
      </c>
      <c r="G119" s="4">
        <v>697000</v>
      </c>
      <c r="H119" s="4">
        <f t="shared" si="3"/>
        <v>697000</v>
      </c>
      <c r="I119" s="4">
        <v>111520</v>
      </c>
      <c r="J119" s="4">
        <f t="shared" si="4"/>
        <v>111520</v>
      </c>
      <c r="K119" s="4">
        <v>0</v>
      </c>
      <c r="L119" s="4">
        <v>808520</v>
      </c>
      <c r="M119" t="s">
        <v>18</v>
      </c>
      <c r="N119" t="s">
        <v>23</v>
      </c>
      <c r="O119" t="s">
        <v>133</v>
      </c>
    </row>
    <row r="120" spans="1:15" x14ac:dyDescent="0.25">
      <c r="A120" t="s">
        <v>917</v>
      </c>
      <c r="B120" t="s">
        <v>918</v>
      </c>
      <c r="C120" t="s">
        <v>14</v>
      </c>
      <c r="D120" t="s">
        <v>919</v>
      </c>
      <c r="E120" t="s">
        <v>920</v>
      </c>
      <c r="F120" s="4">
        <v>0</v>
      </c>
      <c r="G120" s="4">
        <v>1000000</v>
      </c>
      <c r="H120" s="4">
        <f t="shared" si="3"/>
        <v>1000000</v>
      </c>
      <c r="I120" s="4">
        <v>160000</v>
      </c>
      <c r="J120" s="4">
        <f t="shared" si="4"/>
        <v>160000</v>
      </c>
      <c r="K120" s="4">
        <v>0</v>
      </c>
      <c r="L120" s="4">
        <v>1160000</v>
      </c>
      <c r="M120" t="s">
        <v>18</v>
      </c>
      <c r="N120" t="s">
        <v>273</v>
      </c>
      <c r="O120" t="s">
        <v>17</v>
      </c>
    </row>
    <row r="121" spans="1:15" x14ac:dyDescent="0.25">
      <c r="A121" t="s">
        <v>732</v>
      </c>
      <c r="B121" t="s">
        <v>733</v>
      </c>
      <c r="C121" t="s">
        <v>163</v>
      </c>
      <c r="D121" t="s">
        <v>734</v>
      </c>
      <c r="E121" t="s">
        <v>735</v>
      </c>
      <c r="F121" s="4">
        <v>0</v>
      </c>
      <c r="G121" s="4">
        <v>300000</v>
      </c>
      <c r="H121" s="4">
        <f t="shared" si="3"/>
        <v>300000</v>
      </c>
      <c r="I121" s="4">
        <v>48000</v>
      </c>
      <c r="J121" s="4">
        <f t="shared" si="4"/>
        <v>48000</v>
      </c>
      <c r="K121" s="4">
        <v>0</v>
      </c>
      <c r="L121" s="4">
        <v>348000</v>
      </c>
      <c r="M121" t="s">
        <v>201</v>
      </c>
      <c r="N121" t="s">
        <v>173</v>
      </c>
      <c r="O121" t="s">
        <v>17</v>
      </c>
    </row>
    <row r="122" spans="1:15" x14ac:dyDescent="0.25">
      <c r="A122" t="s">
        <v>987</v>
      </c>
      <c r="B122" t="s">
        <v>988</v>
      </c>
      <c r="C122" t="s">
        <v>198</v>
      </c>
      <c r="D122" t="s">
        <v>989</v>
      </c>
      <c r="E122" t="s">
        <v>990</v>
      </c>
      <c r="F122" s="4">
        <v>0</v>
      </c>
      <c r="G122" s="4">
        <v>3000000</v>
      </c>
      <c r="H122" s="4">
        <f t="shared" si="3"/>
        <v>3000000</v>
      </c>
      <c r="I122" s="4">
        <v>480000</v>
      </c>
      <c r="J122" s="4">
        <f t="shared" si="4"/>
        <v>480000</v>
      </c>
      <c r="K122" s="4">
        <v>0</v>
      </c>
      <c r="L122" s="4">
        <v>3480000</v>
      </c>
      <c r="M122" t="s">
        <v>18</v>
      </c>
      <c r="N122" t="s">
        <v>277</v>
      </c>
      <c r="O122" t="s">
        <v>17</v>
      </c>
    </row>
    <row r="123" spans="1:15" x14ac:dyDescent="0.25">
      <c r="A123" t="s">
        <v>1003</v>
      </c>
      <c r="B123" t="s">
        <v>1004</v>
      </c>
      <c r="C123" t="s">
        <v>14</v>
      </c>
      <c r="D123" t="s">
        <v>1005</v>
      </c>
      <c r="E123" t="s">
        <v>1006</v>
      </c>
      <c r="F123" s="4">
        <v>0</v>
      </c>
      <c r="G123" s="4">
        <v>2625000</v>
      </c>
      <c r="H123" s="4">
        <f t="shared" si="3"/>
        <v>2625000</v>
      </c>
      <c r="I123" s="4">
        <v>420000</v>
      </c>
      <c r="J123" s="4">
        <f t="shared" si="4"/>
        <v>420000</v>
      </c>
      <c r="K123" s="4">
        <v>0</v>
      </c>
      <c r="L123" s="4">
        <v>3045000</v>
      </c>
      <c r="M123" t="s">
        <v>18</v>
      </c>
      <c r="N123" t="s">
        <v>277</v>
      </c>
      <c r="O123" t="s">
        <v>17</v>
      </c>
    </row>
    <row r="124" spans="1:15" x14ac:dyDescent="0.25">
      <c r="A124" t="s">
        <v>1041</v>
      </c>
      <c r="B124" t="s">
        <v>1042</v>
      </c>
      <c r="C124" t="s">
        <v>14</v>
      </c>
      <c r="D124" t="s">
        <v>1220</v>
      </c>
      <c r="E124" t="s">
        <v>1221</v>
      </c>
      <c r="F124" s="4">
        <v>0</v>
      </c>
      <c r="G124" s="4">
        <v>490000</v>
      </c>
      <c r="H124" s="4">
        <f t="shared" si="3"/>
        <v>490000</v>
      </c>
      <c r="I124" s="4">
        <v>78400</v>
      </c>
      <c r="J124" s="4">
        <f t="shared" si="4"/>
        <v>78400</v>
      </c>
      <c r="K124" s="4">
        <v>0</v>
      </c>
      <c r="L124" s="4">
        <v>568400</v>
      </c>
      <c r="M124" t="s">
        <v>18</v>
      </c>
      <c r="N124" t="s">
        <v>1214</v>
      </c>
      <c r="O124" t="s">
        <v>17</v>
      </c>
    </row>
    <row r="125" spans="1:15" x14ac:dyDescent="0.25">
      <c r="A125" t="s">
        <v>1215</v>
      </c>
      <c r="B125" t="s">
        <v>1216</v>
      </c>
      <c r="C125" t="s">
        <v>43</v>
      </c>
      <c r="D125" t="s">
        <v>1222</v>
      </c>
      <c r="E125" t="s">
        <v>1223</v>
      </c>
      <c r="F125" s="4">
        <v>0</v>
      </c>
      <c r="G125" s="4">
        <v>490000</v>
      </c>
      <c r="H125" s="4">
        <f t="shared" si="3"/>
        <v>490000</v>
      </c>
      <c r="I125" s="4">
        <v>78400</v>
      </c>
      <c r="J125" s="4">
        <f t="shared" si="4"/>
        <v>78400</v>
      </c>
      <c r="K125" s="4">
        <v>0</v>
      </c>
      <c r="L125" s="4">
        <v>568400</v>
      </c>
      <c r="M125" t="s">
        <v>18</v>
      </c>
      <c r="N125" t="s">
        <v>1214</v>
      </c>
      <c r="O125" t="s">
        <v>1219</v>
      </c>
    </row>
    <row r="126" spans="1:15" x14ac:dyDescent="0.25">
      <c r="A126" t="s">
        <v>61</v>
      </c>
      <c r="B126" t="s">
        <v>62</v>
      </c>
      <c r="C126" t="s">
        <v>46</v>
      </c>
      <c r="D126" t="s">
        <v>193</v>
      </c>
      <c r="E126" t="s">
        <v>194</v>
      </c>
      <c r="F126" s="4">
        <v>0</v>
      </c>
      <c r="G126" s="4">
        <v>244799.52</v>
      </c>
      <c r="H126" s="4">
        <f t="shared" si="3"/>
        <v>244799.52</v>
      </c>
      <c r="I126" s="4">
        <v>39167.919999999998</v>
      </c>
      <c r="J126" s="4">
        <f t="shared" si="4"/>
        <v>39167.923199999997</v>
      </c>
      <c r="K126" s="4">
        <v>3.1999999991967343E-3</v>
      </c>
      <c r="L126" s="4">
        <v>283967.44</v>
      </c>
      <c r="M126" t="s">
        <v>179</v>
      </c>
      <c r="N126" t="s">
        <v>195</v>
      </c>
      <c r="O126" t="s">
        <v>66</v>
      </c>
    </row>
    <row r="127" spans="1:15" x14ac:dyDescent="0.25">
      <c r="A127" t="s">
        <v>1011</v>
      </c>
      <c r="B127" t="s">
        <v>1012</v>
      </c>
      <c r="C127" t="s">
        <v>95</v>
      </c>
      <c r="D127" t="s">
        <v>1013</v>
      </c>
      <c r="E127" t="s">
        <v>1014</v>
      </c>
      <c r="F127" s="4">
        <v>0</v>
      </c>
      <c r="G127" s="4">
        <v>854000</v>
      </c>
      <c r="H127" s="4">
        <f t="shared" si="3"/>
        <v>854000</v>
      </c>
      <c r="I127" s="4">
        <v>136640</v>
      </c>
      <c r="J127" s="4">
        <f t="shared" si="4"/>
        <v>136640</v>
      </c>
      <c r="K127" s="4">
        <v>0</v>
      </c>
      <c r="L127" s="4">
        <v>990640</v>
      </c>
      <c r="M127" t="s">
        <v>18</v>
      </c>
      <c r="N127" t="s">
        <v>277</v>
      </c>
      <c r="O127" t="s">
        <v>17</v>
      </c>
    </row>
    <row r="128" spans="1:15" x14ac:dyDescent="0.25">
      <c r="A128" t="s">
        <v>1065</v>
      </c>
      <c r="B128" t="s">
        <v>1066</v>
      </c>
      <c r="C128" t="s">
        <v>349</v>
      </c>
      <c r="D128" t="s">
        <v>1097</v>
      </c>
      <c r="E128" t="s">
        <v>1098</v>
      </c>
      <c r="F128" s="4">
        <v>0</v>
      </c>
      <c r="G128" s="4">
        <v>1400000</v>
      </c>
      <c r="H128" s="4">
        <f t="shared" si="3"/>
        <v>1400000</v>
      </c>
      <c r="I128" s="4">
        <v>224000</v>
      </c>
      <c r="J128" s="4">
        <f t="shared" si="4"/>
        <v>224000</v>
      </c>
      <c r="K128" s="4">
        <v>0</v>
      </c>
      <c r="L128" s="4">
        <v>1624000</v>
      </c>
      <c r="M128" t="s">
        <v>18</v>
      </c>
      <c r="N128" t="s">
        <v>311</v>
      </c>
      <c r="O128" t="s">
        <v>17</v>
      </c>
    </row>
    <row r="129" spans="1:15" x14ac:dyDescent="0.25">
      <c r="A129" t="s">
        <v>891</v>
      </c>
      <c r="B129" t="s">
        <v>892</v>
      </c>
      <c r="C129" t="s">
        <v>436</v>
      </c>
      <c r="D129" t="s">
        <v>903</v>
      </c>
      <c r="E129" t="s">
        <v>904</v>
      </c>
      <c r="F129" s="4">
        <v>0</v>
      </c>
      <c r="G129" s="4">
        <v>700000</v>
      </c>
      <c r="H129" s="4">
        <f t="shared" si="3"/>
        <v>700000</v>
      </c>
      <c r="I129" s="4">
        <v>112000</v>
      </c>
      <c r="J129" s="4">
        <f t="shared" si="4"/>
        <v>112000</v>
      </c>
      <c r="K129" s="4">
        <v>0</v>
      </c>
      <c r="L129" s="4">
        <v>812000</v>
      </c>
      <c r="M129" t="s">
        <v>18</v>
      </c>
      <c r="N129" t="s">
        <v>23</v>
      </c>
      <c r="O129" t="s">
        <v>17</v>
      </c>
    </row>
    <row r="130" spans="1:15" x14ac:dyDescent="0.25">
      <c r="A130" t="s">
        <v>1132</v>
      </c>
      <c r="B130" t="s">
        <v>1133</v>
      </c>
      <c r="C130" t="s">
        <v>349</v>
      </c>
      <c r="D130" t="s">
        <v>1140</v>
      </c>
      <c r="E130" t="s">
        <v>1141</v>
      </c>
      <c r="F130" s="4">
        <v>0</v>
      </c>
      <c r="G130" s="4">
        <v>455000</v>
      </c>
      <c r="H130" s="4">
        <f t="shared" si="3"/>
        <v>455000</v>
      </c>
      <c r="I130" s="4">
        <v>72800</v>
      </c>
      <c r="J130" s="4">
        <f t="shared" si="4"/>
        <v>72800</v>
      </c>
      <c r="K130" s="4">
        <v>0</v>
      </c>
      <c r="L130" s="4">
        <v>527800</v>
      </c>
      <c r="M130" t="s">
        <v>18</v>
      </c>
      <c r="N130" t="s">
        <v>318</v>
      </c>
      <c r="O130" t="s">
        <v>17</v>
      </c>
    </row>
    <row r="131" spans="1:15" x14ac:dyDescent="0.25">
      <c r="A131" t="s">
        <v>861</v>
      </c>
      <c r="B131" t="s">
        <v>862</v>
      </c>
      <c r="C131" t="s">
        <v>288</v>
      </c>
      <c r="D131" t="s">
        <v>901</v>
      </c>
      <c r="E131" t="s">
        <v>902</v>
      </c>
      <c r="F131" s="4">
        <v>0</v>
      </c>
      <c r="G131" s="4">
        <v>700000</v>
      </c>
      <c r="H131" s="4">
        <f t="shared" si="3"/>
        <v>700000</v>
      </c>
      <c r="I131" s="4">
        <v>112000</v>
      </c>
      <c r="J131" s="4">
        <f t="shared" si="4"/>
        <v>112000</v>
      </c>
      <c r="K131" s="4">
        <v>0</v>
      </c>
      <c r="L131" s="4">
        <v>812000</v>
      </c>
      <c r="M131" t="s">
        <v>18</v>
      </c>
      <c r="N131" t="s">
        <v>23</v>
      </c>
      <c r="O131" t="s">
        <v>17</v>
      </c>
    </row>
    <row r="132" spans="1:15" x14ac:dyDescent="0.25">
      <c r="A132" t="s">
        <v>895</v>
      </c>
      <c r="B132" t="s">
        <v>896</v>
      </c>
      <c r="C132" t="s">
        <v>14</v>
      </c>
      <c r="D132" t="s">
        <v>899</v>
      </c>
      <c r="E132" t="s">
        <v>900</v>
      </c>
      <c r="F132" s="4">
        <v>0</v>
      </c>
      <c r="G132" s="4">
        <v>600000</v>
      </c>
      <c r="H132" s="4">
        <f t="shared" ref="H132:H195" si="5">F132+G132</f>
        <v>600000</v>
      </c>
      <c r="I132" s="4">
        <v>96000</v>
      </c>
      <c r="J132" s="4">
        <f t="shared" ref="J132:J195" si="6">H132*0.16</f>
        <v>96000</v>
      </c>
      <c r="K132" s="4">
        <v>0</v>
      </c>
      <c r="L132" s="4">
        <v>696000</v>
      </c>
      <c r="M132" t="s">
        <v>18</v>
      </c>
      <c r="N132" t="s">
        <v>23</v>
      </c>
      <c r="O132" t="s">
        <v>17</v>
      </c>
    </row>
    <row r="133" spans="1:15" x14ac:dyDescent="0.25">
      <c r="A133" t="s">
        <v>590</v>
      </c>
      <c r="B133" t="s">
        <v>591</v>
      </c>
      <c r="C133" t="s">
        <v>288</v>
      </c>
      <c r="D133" t="s">
        <v>651</v>
      </c>
      <c r="E133" t="s">
        <v>652</v>
      </c>
      <c r="F133" s="4">
        <v>0</v>
      </c>
      <c r="G133" s="4">
        <v>2100000</v>
      </c>
      <c r="H133" s="4">
        <f t="shared" si="5"/>
        <v>2100000</v>
      </c>
      <c r="I133" s="4">
        <v>336000</v>
      </c>
      <c r="J133" s="4">
        <f t="shared" si="6"/>
        <v>336000</v>
      </c>
      <c r="K133" s="4">
        <v>0</v>
      </c>
      <c r="L133" s="4">
        <v>2436000</v>
      </c>
      <c r="M133" t="s">
        <v>18</v>
      </c>
      <c r="N133" t="s">
        <v>638</v>
      </c>
      <c r="O133" t="s">
        <v>17</v>
      </c>
    </row>
    <row r="134" spans="1:15" x14ac:dyDescent="0.25">
      <c r="A134" t="s">
        <v>911</v>
      </c>
      <c r="B134" t="s">
        <v>912</v>
      </c>
      <c r="C134" t="s">
        <v>121</v>
      </c>
      <c r="D134" t="s">
        <v>915</v>
      </c>
      <c r="E134" t="s">
        <v>916</v>
      </c>
      <c r="F134" s="4">
        <v>0</v>
      </c>
      <c r="G134" s="4">
        <v>2600000</v>
      </c>
      <c r="H134" s="4">
        <f t="shared" si="5"/>
        <v>2600000</v>
      </c>
      <c r="I134" s="4">
        <v>416000</v>
      </c>
      <c r="J134" s="4">
        <f t="shared" si="6"/>
        <v>416000</v>
      </c>
      <c r="K134" s="4">
        <v>0</v>
      </c>
      <c r="L134" s="4">
        <v>3016000</v>
      </c>
      <c r="M134" t="s">
        <v>18</v>
      </c>
      <c r="N134" t="s">
        <v>273</v>
      </c>
      <c r="O134" t="s">
        <v>17</v>
      </c>
    </row>
    <row r="135" spans="1:15" x14ac:dyDescent="0.25">
      <c r="A135" t="s">
        <v>911</v>
      </c>
      <c r="B135" t="s">
        <v>912</v>
      </c>
      <c r="C135" t="s">
        <v>121</v>
      </c>
      <c r="D135" t="s">
        <v>913</v>
      </c>
      <c r="E135" t="s">
        <v>914</v>
      </c>
      <c r="F135" s="4">
        <v>0</v>
      </c>
      <c r="G135" s="4">
        <v>2600000</v>
      </c>
      <c r="H135" s="4">
        <f t="shared" si="5"/>
        <v>2600000</v>
      </c>
      <c r="I135" s="4">
        <v>416000</v>
      </c>
      <c r="J135" s="4">
        <f t="shared" si="6"/>
        <v>416000</v>
      </c>
      <c r="K135" s="4">
        <v>0</v>
      </c>
      <c r="L135" s="4">
        <v>3016000</v>
      </c>
      <c r="M135" t="s">
        <v>18</v>
      </c>
      <c r="N135" t="s">
        <v>273</v>
      </c>
      <c r="O135" t="s">
        <v>17</v>
      </c>
    </row>
    <row r="136" spans="1:15" x14ac:dyDescent="0.25">
      <c r="A136" t="s">
        <v>100</v>
      </c>
      <c r="B136" t="s">
        <v>101</v>
      </c>
      <c r="C136" t="s">
        <v>14</v>
      </c>
      <c r="D136" t="s">
        <v>401</v>
      </c>
      <c r="E136" t="s">
        <v>402</v>
      </c>
      <c r="F136" s="4">
        <v>0</v>
      </c>
      <c r="G136" s="4">
        <v>738000</v>
      </c>
      <c r="H136" s="4">
        <f t="shared" si="5"/>
        <v>738000</v>
      </c>
      <c r="I136" s="4">
        <v>118080</v>
      </c>
      <c r="J136" s="4">
        <f t="shared" si="6"/>
        <v>118080</v>
      </c>
      <c r="K136" s="4">
        <v>0</v>
      </c>
      <c r="L136" s="4">
        <v>856080</v>
      </c>
      <c r="M136" t="s">
        <v>158</v>
      </c>
      <c r="N136" t="s">
        <v>35</v>
      </c>
      <c r="O136" t="s">
        <v>105</v>
      </c>
    </row>
    <row r="137" spans="1:15" x14ac:dyDescent="0.25">
      <c r="A137" t="s">
        <v>1452</v>
      </c>
      <c r="B137" t="s">
        <v>1453</v>
      </c>
      <c r="C137" t="s">
        <v>204</v>
      </c>
      <c r="D137" t="s">
        <v>1454</v>
      </c>
      <c r="E137" t="s">
        <v>1455</v>
      </c>
      <c r="F137" s="4">
        <v>0</v>
      </c>
      <c r="G137" s="4">
        <v>350000</v>
      </c>
      <c r="H137" s="4">
        <f t="shared" si="5"/>
        <v>350000</v>
      </c>
      <c r="I137" s="4">
        <v>56000</v>
      </c>
      <c r="J137" s="4">
        <f t="shared" si="6"/>
        <v>56000</v>
      </c>
      <c r="K137" s="4">
        <v>0</v>
      </c>
      <c r="L137" s="4">
        <v>406000</v>
      </c>
      <c r="M137" t="s">
        <v>158</v>
      </c>
      <c r="N137" t="s">
        <v>35</v>
      </c>
      <c r="O137" t="s">
        <v>17</v>
      </c>
    </row>
    <row r="138" spans="1:15" x14ac:dyDescent="0.25">
      <c r="A138" t="s">
        <v>835</v>
      </c>
      <c r="B138" t="s">
        <v>836</v>
      </c>
      <c r="C138" t="s">
        <v>198</v>
      </c>
      <c r="D138" t="s">
        <v>1450</v>
      </c>
      <c r="E138" t="s">
        <v>1451</v>
      </c>
      <c r="F138" s="4">
        <v>0</v>
      </c>
      <c r="G138" s="4">
        <v>670000</v>
      </c>
      <c r="H138" s="4">
        <f t="shared" si="5"/>
        <v>670000</v>
      </c>
      <c r="I138" s="4">
        <v>107200</v>
      </c>
      <c r="J138" s="4">
        <f t="shared" si="6"/>
        <v>107200</v>
      </c>
      <c r="K138" s="4">
        <v>0</v>
      </c>
      <c r="L138" s="4">
        <v>777200</v>
      </c>
      <c r="M138" t="s">
        <v>158</v>
      </c>
      <c r="N138" t="s">
        <v>35</v>
      </c>
      <c r="O138" t="s">
        <v>17</v>
      </c>
    </row>
    <row r="139" spans="1:15" x14ac:dyDescent="0.25">
      <c r="A139" t="s">
        <v>776</v>
      </c>
      <c r="B139" t="s">
        <v>777</v>
      </c>
      <c r="C139" t="s">
        <v>14</v>
      </c>
      <c r="D139" t="s">
        <v>808</v>
      </c>
      <c r="E139" t="s">
        <v>809</v>
      </c>
      <c r="F139" s="4">
        <v>0</v>
      </c>
      <c r="G139" s="4">
        <v>200000</v>
      </c>
      <c r="H139" s="4">
        <f t="shared" si="5"/>
        <v>200000</v>
      </c>
      <c r="I139" s="4">
        <v>32000</v>
      </c>
      <c r="J139" s="4">
        <f t="shared" si="6"/>
        <v>32000</v>
      </c>
      <c r="K139" s="4">
        <v>0</v>
      </c>
      <c r="L139" s="4">
        <v>232000</v>
      </c>
      <c r="M139" t="s">
        <v>18</v>
      </c>
      <c r="N139" t="s">
        <v>780</v>
      </c>
      <c r="O139" t="s">
        <v>17</v>
      </c>
    </row>
    <row r="140" spans="1:15" x14ac:dyDescent="0.25">
      <c r="A140" t="s">
        <v>792</v>
      </c>
      <c r="B140" t="s">
        <v>793</v>
      </c>
      <c r="C140" t="s">
        <v>14</v>
      </c>
      <c r="D140" t="s">
        <v>806</v>
      </c>
      <c r="E140" t="s">
        <v>807</v>
      </c>
      <c r="F140" s="4">
        <v>0</v>
      </c>
      <c r="G140" s="4">
        <v>200000</v>
      </c>
      <c r="H140" s="4">
        <f t="shared" si="5"/>
        <v>200000</v>
      </c>
      <c r="I140" s="4">
        <v>32000</v>
      </c>
      <c r="J140" s="4">
        <f t="shared" si="6"/>
        <v>32000</v>
      </c>
      <c r="K140" s="4">
        <v>0</v>
      </c>
      <c r="L140" s="4">
        <v>232000</v>
      </c>
      <c r="M140" t="s">
        <v>18</v>
      </c>
      <c r="N140" t="s">
        <v>780</v>
      </c>
      <c r="O140" t="s">
        <v>17</v>
      </c>
    </row>
    <row r="141" spans="1:15" x14ac:dyDescent="0.25">
      <c r="A141" t="s">
        <v>584</v>
      </c>
      <c r="B141" t="s">
        <v>585</v>
      </c>
      <c r="C141" t="s">
        <v>14</v>
      </c>
      <c r="D141" t="s">
        <v>586</v>
      </c>
      <c r="E141" t="s">
        <v>587</v>
      </c>
      <c r="F141" s="4">
        <v>0</v>
      </c>
      <c r="G141" s="4">
        <v>660000</v>
      </c>
      <c r="H141" s="4">
        <f t="shared" si="5"/>
        <v>660000</v>
      </c>
      <c r="I141" s="4">
        <v>105600</v>
      </c>
      <c r="J141" s="4">
        <f t="shared" si="6"/>
        <v>105600</v>
      </c>
      <c r="K141" s="4">
        <v>0</v>
      </c>
      <c r="L141" s="4">
        <v>765600</v>
      </c>
      <c r="M141" t="s">
        <v>18</v>
      </c>
      <c r="N141" t="s">
        <v>588</v>
      </c>
      <c r="O141" t="s">
        <v>589</v>
      </c>
    </row>
    <row r="142" spans="1:15" x14ac:dyDescent="0.25">
      <c r="A142" t="s">
        <v>541</v>
      </c>
      <c r="B142" t="s">
        <v>542</v>
      </c>
      <c r="C142" t="s">
        <v>14</v>
      </c>
      <c r="D142" t="s">
        <v>543</v>
      </c>
      <c r="E142" t="s">
        <v>544</v>
      </c>
      <c r="F142" s="4">
        <v>0</v>
      </c>
      <c r="G142" s="4">
        <v>80000</v>
      </c>
      <c r="H142" s="4">
        <f t="shared" si="5"/>
        <v>80000</v>
      </c>
      <c r="I142" s="4">
        <v>12800</v>
      </c>
      <c r="J142" s="4">
        <f t="shared" si="6"/>
        <v>12800</v>
      </c>
      <c r="K142" s="4">
        <v>0</v>
      </c>
      <c r="L142" s="4">
        <v>92800</v>
      </c>
      <c r="M142" t="s">
        <v>172</v>
      </c>
      <c r="N142" t="s">
        <v>522</v>
      </c>
      <c r="O142" t="s">
        <v>17</v>
      </c>
    </row>
    <row r="143" spans="1:15" x14ac:dyDescent="0.25">
      <c r="A143" t="s">
        <v>751</v>
      </c>
      <c r="B143" t="s">
        <v>752</v>
      </c>
      <c r="C143" t="s">
        <v>43</v>
      </c>
      <c r="D143" t="s">
        <v>753</v>
      </c>
      <c r="E143" t="s">
        <v>754</v>
      </c>
      <c r="F143" s="4">
        <v>0</v>
      </c>
      <c r="G143" s="4">
        <v>200000</v>
      </c>
      <c r="H143" s="4">
        <f t="shared" si="5"/>
        <v>200000</v>
      </c>
      <c r="I143" s="4">
        <v>32000</v>
      </c>
      <c r="J143" s="4">
        <f t="shared" si="6"/>
        <v>32000</v>
      </c>
      <c r="K143" s="4">
        <v>0</v>
      </c>
      <c r="L143" s="4">
        <v>232000</v>
      </c>
      <c r="M143" t="s">
        <v>172</v>
      </c>
      <c r="N143" t="s">
        <v>755</v>
      </c>
      <c r="O143" t="s">
        <v>17</v>
      </c>
    </row>
    <row r="144" spans="1:15" x14ac:dyDescent="0.25">
      <c r="A144" t="s">
        <v>100</v>
      </c>
      <c r="B144" t="s">
        <v>101</v>
      </c>
      <c r="C144" t="s">
        <v>14</v>
      </c>
      <c r="D144" t="s">
        <v>399</v>
      </c>
      <c r="E144" t="s">
        <v>400</v>
      </c>
      <c r="F144" s="4">
        <v>0</v>
      </c>
      <c r="G144" s="4">
        <v>738000</v>
      </c>
      <c r="H144" s="4">
        <f t="shared" si="5"/>
        <v>738000</v>
      </c>
      <c r="I144" s="4">
        <v>118080</v>
      </c>
      <c r="J144" s="4">
        <f t="shared" si="6"/>
        <v>118080</v>
      </c>
      <c r="K144" s="4">
        <v>0</v>
      </c>
      <c r="L144" s="4">
        <v>856080</v>
      </c>
      <c r="M144" t="s">
        <v>172</v>
      </c>
      <c r="N144" t="s">
        <v>35</v>
      </c>
      <c r="O144" t="s">
        <v>105</v>
      </c>
    </row>
    <row r="145" spans="1:15" x14ac:dyDescent="0.25">
      <c r="A145" t="s">
        <v>844</v>
      </c>
      <c r="B145" t="s">
        <v>845</v>
      </c>
      <c r="C145" t="s">
        <v>659</v>
      </c>
      <c r="D145" t="s">
        <v>846</v>
      </c>
      <c r="E145" t="s">
        <v>847</v>
      </c>
      <c r="F145" s="4">
        <v>0</v>
      </c>
      <c r="G145" s="4">
        <v>822500</v>
      </c>
      <c r="H145" s="4">
        <f t="shared" si="5"/>
        <v>822500</v>
      </c>
      <c r="I145" s="4">
        <v>131600</v>
      </c>
      <c r="J145" s="4">
        <f t="shared" si="6"/>
        <v>131600</v>
      </c>
      <c r="K145" s="4">
        <v>0</v>
      </c>
      <c r="L145" s="4">
        <v>954100</v>
      </c>
      <c r="M145" t="s">
        <v>18</v>
      </c>
      <c r="N145" t="s">
        <v>38</v>
      </c>
      <c r="O145" t="s">
        <v>17</v>
      </c>
    </row>
    <row r="146" spans="1:15" x14ac:dyDescent="0.25">
      <c r="A146" t="s">
        <v>844</v>
      </c>
      <c r="B146" t="s">
        <v>845</v>
      </c>
      <c r="C146" t="s">
        <v>14</v>
      </c>
      <c r="D146" t="s">
        <v>1327</v>
      </c>
      <c r="E146" t="s">
        <v>1328</v>
      </c>
      <c r="F146" s="4">
        <v>0</v>
      </c>
      <c r="G146" s="4">
        <v>1410000</v>
      </c>
      <c r="H146" s="4">
        <f t="shared" si="5"/>
        <v>1410000</v>
      </c>
      <c r="I146" s="4">
        <v>225600</v>
      </c>
      <c r="J146" s="4">
        <f t="shared" si="6"/>
        <v>225600</v>
      </c>
      <c r="K146" s="4">
        <v>0</v>
      </c>
      <c r="L146" s="4">
        <v>1635600</v>
      </c>
      <c r="M146" t="s">
        <v>18</v>
      </c>
      <c r="N146" t="s">
        <v>1329</v>
      </c>
      <c r="O146" t="s">
        <v>17</v>
      </c>
    </row>
    <row r="147" spans="1:15" x14ac:dyDescent="0.25">
      <c r="A147" t="s">
        <v>1207</v>
      </c>
      <c r="B147" t="s">
        <v>1208</v>
      </c>
      <c r="C147" t="s">
        <v>436</v>
      </c>
      <c r="D147" t="s">
        <v>1209</v>
      </c>
      <c r="E147" t="s">
        <v>1210</v>
      </c>
      <c r="F147" s="4">
        <v>0</v>
      </c>
      <c r="G147" s="4">
        <v>1200000</v>
      </c>
      <c r="H147" s="4">
        <f t="shared" si="5"/>
        <v>1200000</v>
      </c>
      <c r="I147" s="4">
        <v>192000</v>
      </c>
      <c r="J147" s="4">
        <f t="shared" si="6"/>
        <v>192000</v>
      </c>
      <c r="K147" s="4">
        <v>0</v>
      </c>
      <c r="L147" s="4">
        <v>1392000</v>
      </c>
      <c r="M147" t="s">
        <v>18</v>
      </c>
      <c r="N147" t="s">
        <v>1211</v>
      </c>
      <c r="O147" t="s">
        <v>17</v>
      </c>
    </row>
    <row r="148" spans="1:15" x14ac:dyDescent="0.25">
      <c r="A148" t="s">
        <v>100</v>
      </c>
      <c r="B148" t="s">
        <v>101</v>
      </c>
      <c r="C148" t="s">
        <v>14</v>
      </c>
      <c r="D148" t="s">
        <v>397</v>
      </c>
      <c r="E148" t="s">
        <v>398</v>
      </c>
      <c r="F148" s="4">
        <v>0</v>
      </c>
      <c r="G148" s="4">
        <v>738000</v>
      </c>
      <c r="H148" s="4">
        <f t="shared" si="5"/>
        <v>738000</v>
      </c>
      <c r="I148" s="4">
        <v>118080</v>
      </c>
      <c r="J148" s="4">
        <f t="shared" si="6"/>
        <v>118080</v>
      </c>
      <c r="K148" s="4">
        <v>0</v>
      </c>
      <c r="L148" s="4">
        <v>856080</v>
      </c>
      <c r="M148" t="s">
        <v>187</v>
      </c>
      <c r="N148" t="s">
        <v>35</v>
      </c>
      <c r="O148" t="s">
        <v>105</v>
      </c>
    </row>
    <row r="149" spans="1:15" x14ac:dyDescent="0.25">
      <c r="A149" t="s">
        <v>1197</v>
      </c>
      <c r="B149" t="s">
        <v>1198</v>
      </c>
      <c r="C149" t="s">
        <v>436</v>
      </c>
      <c r="D149" t="s">
        <v>1199</v>
      </c>
      <c r="E149" t="s">
        <v>1200</v>
      </c>
      <c r="F149" s="4">
        <v>0</v>
      </c>
      <c r="G149" s="4">
        <v>2400000</v>
      </c>
      <c r="H149" s="4">
        <f t="shared" si="5"/>
        <v>2400000</v>
      </c>
      <c r="I149" s="4">
        <v>384000</v>
      </c>
      <c r="J149" s="4">
        <f t="shared" si="6"/>
        <v>384000</v>
      </c>
      <c r="K149" s="4">
        <v>0</v>
      </c>
      <c r="L149" s="4">
        <v>2784000</v>
      </c>
      <c r="M149" t="s">
        <v>18</v>
      </c>
      <c r="N149" t="s">
        <v>331</v>
      </c>
      <c r="O149" t="s">
        <v>17</v>
      </c>
    </row>
    <row r="150" spans="1:15" x14ac:dyDescent="0.25">
      <c r="A150" t="s">
        <v>12</v>
      </c>
      <c r="B150" t="s">
        <v>13</v>
      </c>
      <c r="C150" t="s">
        <v>204</v>
      </c>
      <c r="D150" t="s">
        <v>205</v>
      </c>
      <c r="E150" t="s">
        <v>206</v>
      </c>
      <c r="F150" s="4">
        <v>0</v>
      </c>
      <c r="G150" s="4">
        <v>40000</v>
      </c>
      <c r="H150" s="4">
        <f t="shared" si="5"/>
        <v>40000</v>
      </c>
      <c r="I150" s="4">
        <v>6400</v>
      </c>
      <c r="J150" s="4">
        <f t="shared" si="6"/>
        <v>6400</v>
      </c>
      <c r="K150" s="4">
        <v>0</v>
      </c>
      <c r="L150" s="4">
        <v>46400</v>
      </c>
      <c r="M150" t="s">
        <v>187</v>
      </c>
      <c r="N150" t="s">
        <v>202</v>
      </c>
      <c r="O150" t="s">
        <v>192</v>
      </c>
    </row>
    <row r="151" spans="1:15" x14ac:dyDescent="0.25">
      <c r="A151" t="s">
        <v>727</v>
      </c>
      <c r="B151" t="s">
        <v>728</v>
      </c>
      <c r="C151" t="s">
        <v>198</v>
      </c>
      <c r="D151" t="s">
        <v>729</v>
      </c>
      <c r="E151" t="s">
        <v>730</v>
      </c>
      <c r="F151" s="4">
        <v>0</v>
      </c>
      <c r="G151" s="4">
        <v>900000</v>
      </c>
      <c r="H151" s="4">
        <f t="shared" si="5"/>
        <v>900000</v>
      </c>
      <c r="I151" s="4">
        <v>144000</v>
      </c>
      <c r="J151" s="4">
        <f t="shared" si="6"/>
        <v>144000</v>
      </c>
      <c r="K151" s="4">
        <v>0</v>
      </c>
      <c r="L151" s="4">
        <v>1044000</v>
      </c>
      <c r="M151" t="s">
        <v>187</v>
      </c>
      <c r="N151" t="s">
        <v>173</v>
      </c>
      <c r="O151" t="s">
        <v>731</v>
      </c>
    </row>
    <row r="152" spans="1:15" x14ac:dyDescent="0.25">
      <c r="A152" t="s">
        <v>168</v>
      </c>
      <c r="B152" t="s">
        <v>169</v>
      </c>
      <c r="C152" t="s">
        <v>14</v>
      </c>
      <c r="D152" t="s">
        <v>185</v>
      </c>
      <c r="E152" t="s">
        <v>186</v>
      </c>
      <c r="F152" s="4">
        <v>0</v>
      </c>
      <c r="G152" s="4">
        <v>241900</v>
      </c>
      <c r="H152" s="4">
        <f t="shared" si="5"/>
        <v>241900</v>
      </c>
      <c r="I152" s="4">
        <v>38704</v>
      </c>
      <c r="J152" s="4">
        <f t="shared" si="6"/>
        <v>38704</v>
      </c>
      <c r="K152" s="4">
        <v>0</v>
      </c>
      <c r="L152" s="4">
        <v>280604</v>
      </c>
      <c r="M152" t="s">
        <v>187</v>
      </c>
      <c r="N152" t="s">
        <v>173</v>
      </c>
      <c r="O152" t="s">
        <v>174</v>
      </c>
    </row>
    <row r="153" spans="1:15" x14ac:dyDescent="0.25">
      <c r="A153" t="s">
        <v>1136</v>
      </c>
      <c r="B153" t="s">
        <v>1137</v>
      </c>
      <c r="C153" t="s">
        <v>43</v>
      </c>
      <c r="D153" t="s">
        <v>1138</v>
      </c>
      <c r="E153" t="s">
        <v>1139</v>
      </c>
      <c r="F153" s="4">
        <v>0</v>
      </c>
      <c r="G153" s="4">
        <v>455000</v>
      </c>
      <c r="H153" s="4">
        <f t="shared" si="5"/>
        <v>455000</v>
      </c>
      <c r="I153" s="4">
        <v>72800</v>
      </c>
      <c r="J153" s="4">
        <f t="shared" si="6"/>
        <v>72800</v>
      </c>
      <c r="K153" s="4">
        <v>0</v>
      </c>
      <c r="L153" s="4">
        <v>527800</v>
      </c>
      <c r="M153" t="s">
        <v>18</v>
      </c>
      <c r="N153" t="s">
        <v>318</v>
      </c>
      <c r="O153" t="s">
        <v>17</v>
      </c>
    </row>
    <row r="154" spans="1:15" x14ac:dyDescent="0.25">
      <c r="A154" t="s">
        <v>24</v>
      </c>
      <c r="B154" t="s">
        <v>25</v>
      </c>
      <c r="C154" t="s">
        <v>43</v>
      </c>
      <c r="D154" t="s">
        <v>44</v>
      </c>
      <c r="E154" t="s">
        <v>45</v>
      </c>
      <c r="F154" s="4">
        <v>98400</v>
      </c>
      <c r="G154" s="4">
        <v>656000</v>
      </c>
      <c r="H154" s="4">
        <f t="shared" si="5"/>
        <v>754400</v>
      </c>
      <c r="I154" s="4">
        <v>120704</v>
      </c>
      <c r="J154" s="4">
        <f t="shared" si="6"/>
        <v>120704</v>
      </c>
      <c r="K154" s="4">
        <v>0</v>
      </c>
      <c r="L154" s="4">
        <v>875104</v>
      </c>
      <c r="M154" t="s">
        <v>18</v>
      </c>
      <c r="N154" t="s">
        <v>38</v>
      </c>
      <c r="O154" t="s">
        <v>39</v>
      </c>
    </row>
    <row r="155" spans="1:15" x14ac:dyDescent="0.25">
      <c r="A155" t="s">
        <v>485</v>
      </c>
      <c r="B155" t="s">
        <v>486</v>
      </c>
      <c r="C155" t="s">
        <v>288</v>
      </c>
      <c r="D155" t="s">
        <v>487</v>
      </c>
      <c r="E155" t="s">
        <v>488</v>
      </c>
      <c r="F155" s="4">
        <v>0</v>
      </c>
      <c r="G155" s="4">
        <v>5621660</v>
      </c>
      <c r="H155" s="4">
        <f t="shared" si="5"/>
        <v>5621660</v>
      </c>
      <c r="I155" s="4">
        <v>899465.6</v>
      </c>
      <c r="J155" s="4">
        <f t="shared" si="6"/>
        <v>899465.6</v>
      </c>
      <c r="K155" s="4">
        <v>0</v>
      </c>
      <c r="L155" s="4">
        <v>6521125.5999999996</v>
      </c>
      <c r="M155" t="s">
        <v>484</v>
      </c>
      <c r="N155" t="s">
        <v>489</v>
      </c>
      <c r="O155" t="s">
        <v>17</v>
      </c>
    </row>
    <row r="156" spans="1:15" x14ac:dyDescent="0.25">
      <c r="A156" t="s">
        <v>61</v>
      </c>
      <c r="B156" t="s">
        <v>62</v>
      </c>
      <c r="C156" t="s">
        <v>14</v>
      </c>
      <c r="D156" t="s">
        <v>91</v>
      </c>
      <c r="E156" t="s">
        <v>92</v>
      </c>
      <c r="F156" s="4">
        <v>0</v>
      </c>
      <c r="G156" s="4">
        <v>129150</v>
      </c>
      <c r="H156" s="4">
        <f t="shared" si="5"/>
        <v>129150</v>
      </c>
      <c r="I156" s="4">
        <v>20664</v>
      </c>
      <c r="J156" s="4">
        <f t="shared" si="6"/>
        <v>20664</v>
      </c>
      <c r="K156" s="4">
        <v>0</v>
      </c>
      <c r="L156" s="4">
        <v>149814</v>
      </c>
      <c r="M156" t="s">
        <v>60</v>
      </c>
      <c r="N156" t="s">
        <v>84</v>
      </c>
      <c r="O156" t="s">
        <v>66</v>
      </c>
    </row>
    <row r="157" spans="1:15" x14ac:dyDescent="0.25">
      <c r="A157" t="s">
        <v>100</v>
      </c>
      <c r="B157" t="s">
        <v>101</v>
      </c>
      <c r="C157" t="s">
        <v>14</v>
      </c>
      <c r="D157" t="s">
        <v>263</v>
      </c>
      <c r="E157" t="s">
        <v>264</v>
      </c>
      <c r="F157" s="4">
        <v>0</v>
      </c>
      <c r="G157" s="4">
        <v>697000</v>
      </c>
      <c r="H157" s="4">
        <f t="shared" si="5"/>
        <v>697000</v>
      </c>
      <c r="I157" s="4">
        <v>111520</v>
      </c>
      <c r="J157" s="4">
        <f t="shared" si="6"/>
        <v>111520</v>
      </c>
      <c r="K157" s="4">
        <v>0</v>
      </c>
      <c r="L157" s="4">
        <v>808520</v>
      </c>
      <c r="M157" t="s">
        <v>60</v>
      </c>
      <c r="N157" t="s">
        <v>23</v>
      </c>
      <c r="O157" t="s">
        <v>105</v>
      </c>
    </row>
    <row r="158" spans="1:15" x14ac:dyDescent="0.25">
      <c r="A158" t="s">
        <v>991</v>
      </c>
      <c r="B158" t="s">
        <v>992</v>
      </c>
      <c r="C158" t="s">
        <v>204</v>
      </c>
      <c r="D158" t="s">
        <v>993</v>
      </c>
      <c r="E158" t="s">
        <v>994</v>
      </c>
      <c r="F158" s="4">
        <v>0</v>
      </c>
      <c r="G158" s="4">
        <v>600000</v>
      </c>
      <c r="H158" s="4">
        <f t="shared" si="5"/>
        <v>600000</v>
      </c>
      <c r="I158" s="4">
        <v>96000</v>
      </c>
      <c r="J158" s="4">
        <f t="shared" si="6"/>
        <v>96000</v>
      </c>
      <c r="K158" s="4">
        <v>0</v>
      </c>
      <c r="L158" s="4">
        <v>696000</v>
      </c>
      <c r="M158" t="s">
        <v>60</v>
      </c>
      <c r="N158" t="s">
        <v>277</v>
      </c>
      <c r="O158" t="s">
        <v>17</v>
      </c>
    </row>
    <row r="159" spans="1:15" x14ac:dyDescent="0.25">
      <c r="A159" t="s">
        <v>1089</v>
      </c>
      <c r="B159" t="s">
        <v>1090</v>
      </c>
      <c r="C159" t="s">
        <v>288</v>
      </c>
      <c r="D159" t="s">
        <v>1091</v>
      </c>
      <c r="E159" t="s">
        <v>1092</v>
      </c>
      <c r="F159" s="4">
        <v>0</v>
      </c>
      <c r="G159" s="4">
        <v>245000</v>
      </c>
      <c r="H159" s="4">
        <f t="shared" si="5"/>
        <v>245000</v>
      </c>
      <c r="I159" s="4">
        <v>39200</v>
      </c>
      <c r="J159" s="4">
        <f t="shared" si="6"/>
        <v>39200</v>
      </c>
      <c r="K159" s="4">
        <v>0</v>
      </c>
      <c r="L159" s="4">
        <v>284200</v>
      </c>
      <c r="M159" t="s">
        <v>60</v>
      </c>
      <c r="N159" t="s">
        <v>311</v>
      </c>
      <c r="O159" t="s">
        <v>17</v>
      </c>
    </row>
    <row r="160" spans="1:15" x14ac:dyDescent="0.25">
      <c r="A160" t="s">
        <v>1083</v>
      </c>
      <c r="B160" t="s">
        <v>1084</v>
      </c>
      <c r="C160" t="s">
        <v>204</v>
      </c>
      <c r="D160" t="s">
        <v>1087</v>
      </c>
      <c r="E160" t="s">
        <v>1088</v>
      </c>
      <c r="F160" s="4">
        <v>0</v>
      </c>
      <c r="G160" s="4">
        <v>250000</v>
      </c>
      <c r="H160" s="4">
        <f t="shared" si="5"/>
        <v>250000</v>
      </c>
      <c r="I160" s="4">
        <v>40000</v>
      </c>
      <c r="J160" s="4">
        <f t="shared" si="6"/>
        <v>40000</v>
      </c>
      <c r="K160" s="4">
        <v>0</v>
      </c>
      <c r="L160" s="4">
        <v>290000</v>
      </c>
      <c r="M160" t="s">
        <v>60</v>
      </c>
      <c r="N160" t="s">
        <v>311</v>
      </c>
      <c r="O160" t="s">
        <v>17</v>
      </c>
    </row>
    <row r="161" spans="1:15" x14ac:dyDescent="0.25">
      <c r="A161" t="s">
        <v>792</v>
      </c>
      <c r="B161" t="s">
        <v>793</v>
      </c>
      <c r="C161" t="s">
        <v>14</v>
      </c>
      <c r="D161" t="s">
        <v>804</v>
      </c>
      <c r="E161" t="s">
        <v>805</v>
      </c>
      <c r="F161" s="4">
        <v>0</v>
      </c>
      <c r="G161" s="4">
        <v>150000</v>
      </c>
      <c r="H161" s="4">
        <f t="shared" si="5"/>
        <v>150000</v>
      </c>
      <c r="I161" s="4">
        <v>24000</v>
      </c>
      <c r="J161" s="4">
        <f t="shared" si="6"/>
        <v>24000</v>
      </c>
      <c r="K161" s="4">
        <v>0</v>
      </c>
      <c r="L161" s="4">
        <v>174000</v>
      </c>
      <c r="M161" t="s">
        <v>60</v>
      </c>
      <c r="N161" t="s">
        <v>780</v>
      </c>
      <c r="O161" t="s">
        <v>17</v>
      </c>
    </row>
    <row r="162" spans="1:15" x14ac:dyDescent="0.25">
      <c r="A162" t="s">
        <v>792</v>
      </c>
      <c r="B162" t="s">
        <v>793</v>
      </c>
      <c r="C162" t="s">
        <v>14</v>
      </c>
      <c r="D162" t="s">
        <v>802</v>
      </c>
      <c r="E162" t="s">
        <v>803</v>
      </c>
      <c r="F162" s="4">
        <v>0</v>
      </c>
      <c r="G162" s="4">
        <v>150000</v>
      </c>
      <c r="H162" s="4">
        <f t="shared" si="5"/>
        <v>150000</v>
      </c>
      <c r="I162" s="4">
        <v>24000</v>
      </c>
      <c r="J162" s="4">
        <f t="shared" si="6"/>
        <v>24000</v>
      </c>
      <c r="K162" s="4">
        <v>0</v>
      </c>
      <c r="L162" s="4">
        <v>174000</v>
      </c>
      <c r="M162" t="s">
        <v>60</v>
      </c>
      <c r="N162" t="s">
        <v>780</v>
      </c>
      <c r="O162" t="s">
        <v>17</v>
      </c>
    </row>
    <row r="163" spans="1:15" x14ac:dyDescent="0.25">
      <c r="A163" t="s">
        <v>1093</v>
      </c>
      <c r="B163" t="s">
        <v>1094</v>
      </c>
      <c r="C163" t="s">
        <v>436</v>
      </c>
      <c r="D163" t="s">
        <v>1095</v>
      </c>
      <c r="E163" t="s">
        <v>1096</v>
      </c>
      <c r="F163" s="4">
        <v>0</v>
      </c>
      <c r="G163" s="4">
        <v>250000</v>
      </c>
      <c r="H163" s="4">
        <f t="shared" si="5"/>
        <v>250000</v>
      </c>
      <c r="I163" s="4">
        <v>40000</v>
      </c>
      <c r="J163" s="4">
        <f t="shared" si="6"/>
        <v>40000</v>
      </c>
      <c r="K163" s="4">
        <v>0</v>
      </c>
      <c r="L163" s="4">
        <v>290000</v>
      </c>
      <c r="M163" t="s">
        <v>60</v>
      </c>
      <c r="N163" t="s">
        <v>311</v>
      </c>
      <c r="O163" t="s">
        <v>17</v>
      </c>
    </row>
    <row r="164" spans="1:15" x14ac:dyDescent="0.25">
      <c r="A164" t="s">
        <v>999</v>
      </c>
      <c r="B164" t="s">
        <v>1000</v>
      </c>
      <c r="C164" t="s">
        <v>14</v>
      </c>
      <c r="D164" t="s">
        <v>1001</v>
      </c>
      <c r="E164" t="s">
        <v>1002</v>
      </c>
      <c r="F164" s="4">
        <v>0</v>
      </c>
      <c r="G164" s="4">
        <v>350000</v>
      </c>
      <c r="H164" s="4">
        <f t="shared" si="5"/>
        <v>350000</v>
      </c>
      <c r="I164" s="4">
        <v>56000</v>
      </c>
      <c r="J164" s="4">
        <f t="shared" si="6"/>
        <v>56000</v>
      </c>
      <c r="K164" s="4">
        <v>0</v>
      </c>
      <c r="L164" s="4">
        <v>406000</v>
      </c>
      <c r="M164" t="s">
        <v>60</v>
      </c>
      <c r="N164" t="s">
        <v>277</v>
      </c>
      <c r="O164" t="s">
        <v>17</v>
      </c>
    </row>
    <row r="165" spans="1:15" x14ac:dyDescent="0.25">
      <c r="A165" t="s">
        <v>688</v>
      </c>
      <c r="B165" t="s">
        <v>689</v>
      </c>
      <c r="C165" t="s">
        <v>405</v>
      </c>
      <c r="D165" t="s">
        <v>824</v>
      </c>
      <c r="E165" t="s">
        <v>825</v>
      </c>
      <c r="F165" s="4">
        <v>0</v>
      </c>
      <c r="G165" s="4">
        <v>282000</v>
      </c>
      <c r="H165" s="4">
        <f t="shared" si="5"/>
        <v>282000</v>
      </c>
      <c r="I165" s="4">
        <v>45120</v>
      </c>
      <c r="J165" s="4">
        <f t="shared" si="6"/>
        <v>45120</v>
      </c>
      <c r="K165" s="4">
        <v>0</v>
      </c>
      <c r="L165" s="4">
        <v>327120</v>
      </c>
      <c r="M165" t="s">
        <v>60</v>
      </c>
      <c r="N165" t="s">
        <v>49</v>
      </c>
      <c r="O165" t="s">
        <v>17</v>
      </c>
    </row>
    <row r="166" spans="1:15" x14ac:dyDescent="0.25">
      <c r="A166" t="s">
        <v>781</v>
      </c>
      <c r="B166" t="s">
        <v>782</v>
      </c>
      <c r="C166" t="s">
        <v>288</v>
      </c>
      <c r="D166" t="s">
        <v>810</v>
      </c>
      <c r="E166" t="s">
        <v>811</v>
      </c>
      <c r="F166" s="4">
        <v>0</v>
      </c>
      <c r="G166" s="4">
        <v>150000</v>
      </c>
      <c r="H166" s="4">
        <f t="shared" si="5"/>
        <v>150000</v>
      </c>
      <c r="I166" s="4">
        <v>24000</v>
      </c>
      <c r="J166" s="4">
        <f t="shared" si="6"/>
        <v>24000</v>
      </c>
      <c r="K166" s="4">
        <v>0</v>
      </c>
      <c r="L166" s="4">
        <v>174000</v>
      </c>
      <c r="M166" t="s">
        <v>60</v>
      </c>
      <c r="N166" t="s">
        <v>780</v>
      </c>
      <c r="O166" t="s">
        <v>17</v>
      </c>
    </row>
    <row r="167" spans="1:15" x14ac:dyDescent="0.25">
      <c r="A167" t="s">
        <v>1099</v>
      </c>
      <c r="B167" t="s">
        <v>1100</v>
      </c>
      <c r="C167" t="s">
        <v>163</v>
      </c>
      <c r="D167" t="s">
        <v>1101</v>
      </c>
      <c r="E167" t="s">
        <v>1102</v>
      </c>
      <c r="F167" s="4">
        <v>0</v>
      </c>
      <c r="G167" s="4">
        <v>300000</v>
      </c>
      <c r="H167" s="4">
        <f t="shared" si="5"/>
        <v>300000</v>
      </c>
      <c r="I167" s="4">
        <v>48000</v>
      </c>
      <c r="J167" s="4">
        <f t="shared" si="6"/>
        <v>48000</v>
      </c>
      <c r="K167" s="4">
        <v>0</v>
      </c>
      <c r="L167" s="4">
        <v>348000</v>
      </c>
      <c r="M167" t="s">
        <v>60</v>
      </c>
      <c r="N167" t="s">
        <v>311</v>
      </c>
      <c r="O167" t="s">
        <v>17</v>
      </c>
    </row>
    <row r="168" spans="1:15" x14ac:dyDescent="0.25">
      <c r="A168" t="s">
        <v>168</v>
      </c>
      <c r="B168" t="s">
        <v>169</v>
      </c>
      <c r="C168" t="s">
        <v>121</v>
      </c>
      <c r="D168" t="s">
        <v>233</v>
      </c>
      <c r="E168" t="s">
        <v>234</v>
      </c>
      <c r="F168" s="4">
        <v>0</v>
      </c>
      <c r="G168" s="4">
        <v>1476000</v>
      </c>
      <c r="H168" s="4">
        <f t="shared" si="5"/>
        <v>1476000</v>
      </c>
      <c r="I168" s="4">
        <v>236160</v>
      </c>
      <c r="J168" s="4">
        <f t="shared" si="6"/>
        <v>236160</v>
      </c>
      <c r="K168" s="4">
        <v>0</v>
      </c>
      <c r="L168" s="4">
        <v>1712160</v>
      </c>
      <c r="M168" t="s">
        <v>18</v>
      </c>
      <c r="N168" t="s">
        <v>235</v>
      </c>
      <c r="O168" t="s">
        <v>236</v>
      </c>
    </row>
    <row r="169" spans="1:15" x14ac:dyDescent="0.25">
      <c r="A169" t="s">
        <v>835</v>
      </c>
      <c r="B169" t="s">
        <v>836</v>
      </c>
      <c r="C169" t="s">
        <v>198</v>
      </c>
      <c r="D169" t="s">
        <v>1448</v>
      </c>
      <c r="E169" t="s">
        <v>1449</v>
      </c>
      <c r="F169" s="4">
        <v>0</v>
      </c>
      <c r="G169" s="4">
        <v>670000</v>
      </c>
      <c r="H169" s="4">
        <f t="shared" si="5"/>
        <v>670000</v>
      </c>
      <c r="I169" s="4">
        <v>107200</v>
      </c>
      <c r="J169" s="4">
        <f t="shared" si="6"/>
        <v>107200</v>
      </c>
      <c r="K169" s="4">
        <v>0</v>
      </c>
      <c r="L169" s="4">
        <v>777200</v>
      </c>
      <c r="M169" t="s">
        <v>172</v>
      </c>
      <c r="N169" t="s">
        <v>35</v>
      </c>
      <c r="O169" t="s">
        <v>17</v>
      </c>
    </row>
    <row r="170" spans="1:15" x14ac:dyDescent="0.25">
      <c r="A170" t="s">
        <v>93</v>
      </c>
      <c r="B170" t="s">
        <v>94</v>
      </c>
      <c r="C170" t="s">
        <v>14</v>
      </c>
      <c r="D170" t="s">
        <v>439</v>
      </c>
      <c r="E170" t="s">
        <v>440</v>
      </c>
      <c r="F170" s="4">
        <v>0</v>
      </c>
      <c r="G170" s="4">
        <v>369000</v>
      </c>
      <c r="H170" s="4">
        <f t="shared" si="5"/>
        <v>369000</v>
      </c>
      <c r="I170" s="4">
        <v>59040</v>
      </c>
      <c r="J170" s="4">
        <f t="shared" si="6"/>
        <v>59040</v>
      </c>
      <c r="K170" s="4">
        <v>0</v>
      </c>
      <c r="L170" s="4">
        <v>428040</v>
      </c>
      <c r="M170" t="s">
        <v>146</v>
      </c>
      <c r="N170" t="s">
        <v>441</v>
      </c>
      <c r="O170" t="s">
        <v>99</v>
      </c>
    </row>
    <row r="171" spans="1:15" x14ac:dyDescent="0.25">
      <c r="A171" t="s">
        <v>1498</v>
      </c>
      <c r="B171" t="s">
        <v>1499</v>
      </c>
      <c r="C171" t="s">
        <v>349</v>
      </c>
      <c r="D171" t="s">
        <v>1500</v>
      </c>
      <c r="E171" t="s">
        <v>1501</v>
      </c>
      <c r="F171" s="4">
        <v>0</v>
      </c>
      <c r="G171" s="4">
        <v>344827.59</v>
      </c>
      <c r="H171" s="4">
        <f t="shared" si="5"/>
        <v>344827.59</v>
      </c>
      <c r="I171" s="4">
        <v>55172.41</v>
      </c>
      <c r="J171" s="4">
        <f t="shared" si="6"/>
        <v>55172.414400000009</v>
      </c>
      <c r="K171" s="4">
        <v>4.4000000052619725E-3</v>
      </c>
      <c r="L171" s="4">
        <v>400000</v>
      </c>
      <c r="M171" t="s">
        <v>146</v>
      </c>
      <c r="N171" t="s">
        <v>441</v>
      </c>
      <c r="O171" t="s">
        <v>17</v>
      </c>
    </row>
    <row r="172" spans="1:15" x14ac:dyDescent="0.25">
      <c r="A172" t="s">
        <v>555</v>
      </c>
      <c r="B172" t="s">
        <v>556</v>
      </c>
      <c r="C172" t="s">
        <v>349</v>
      </c>
      <c r="D172" t="s">
        <v>557</v>
      </c>
      <c r="E172" t="s">
        <v>558</v>
      </c>
      <c r="F172" s="4">
        <v>0</v>
      </c>
      <c r="G172" s="4">
        <v>100000</v>
      </c>
      <c r="H172" s="4">
        <f t="shared" si="5"/>
        <v>100000</v>
      </c>
      <c r="I172" s="4">
        <v>16000</v>
      </c>
      <c r="J172" s="4">
        <f t="shared" si="6"/>
        <v>16000</v>
      </c>
      <c r="K172" s="4">
        <v>0</v>
      </c>
      <c r="L172" s="4">
        <v>116000</v>
      </c>
      <c r="M172" t="s">
        <v>29</v>
      </c>
      <c r="N172" t="s">
        <v>554</v>
      </c>
      <c r="O172" t="s">
        <v>17</v>
      </c>
    </row>
    <row r="173" spans="1:15" x14ac:dyDescent="0.25">
      <c r="A173" t="s">
        <v>1489</v>
      </c>
      <c r="B173" t="s">
        <v>1490</v>
      </c>
      <c r="C173" t="s">
        <v>258</v>
      </c>
      <c r="D173" t="s">
        <v>1491</v>
      </c>
      <c r="E173" t="s">
        <v>1492</v>
      </c>
      <c r="F173" s="4">
        <v>0</v>
      </c>
      <c r="G173" s="4">
        <v>680000</v>
      </c>
      <c r="H173" s="4">
        <f t="shared" si="5"/>
        <v>680000</v>
      </c>
      <c r="I173" s="4">
        <v>108800</v>
      </c>
      <c r="J173" s="4">
        <f t="shared" si="6"/>
        <v>108800</v>
      </c>
      <c r="K173" s="4">
        <v>0</v>
      </c>
      <c r="L173" s="4">
        <v>788800</v>
      </c>
      <c r="M173" t="s">
        <v>29</v>
      </c>
      <c r="N173" t="s">
        <v>431</v>
      </c>
      <c r="O173" t="s">
        <v>17</v>
      </c>
    </row>
    <row r="174" spans="1:15" x14ac:dyDescent="0.25">
      <c r="A174" t="s">
        <v>747</v>
      </c>
      <c r="B174" t="s">
        <v>748</v>
      </c>
      <c r="C174" t="s">
        <v>121</v>
      </c>
      <c r="D174" t="s">
        <v>749</v>
      </c>
      <c r="E174" t="s">
        <v>750</v>
      </c>
      <c r="F174" s="4">
        <v>0</v>
      </c>
      <c r="G174" s="4">
        <v>100000</v>
      </c>
      <c r="H174" s="4">
        <f t="shared" si="5"/>
        <v>100000</v>
      </c>
      <c r="I174" s="4">
        <v>16000</v>
      </c>
      <c r="J174" s="4">
        <f t="shared" si="6"/>
        <v>16000</v>
      </c>
      <c r="K174" s="4">
        <v>0</v>
      </c>
      <c r="L174" s="4">
        <v>116000</v>
      </c>
      <c r="M174" t="s">
        <v>29</v>
      </c>
      <c r="N174" t="s">
        <v>746</v>
      </c>
      <c r="O174" t="s">
        <v>17</v>
      </c>
    </row>
    <row r="175" spans="1:15" x14ac:dyDescent="0.25">
      <c r="A175" t="s">
        <v>1273</v>
      </c>
      <c r="B175" t="s">
        <v>1274</v>
      </c>
      <c r="C175" t="s">
        <v>436</v>
      </c>
      <c r="D175" t="s">
        <v>1275</v>
      </c>
      <c r="E175" t="s">
        <v>1276</v>
      </c>
      <c r="F175" s="4">
        <v>0</v>
      </c>
      <c r="G175" s="4">
        <v>245000</v>
      </c>
      <c r="H175" s="4">
        <f t="shared" si="5"/>
        <v>245000</v>
      </c>
      <c r="I175" s="4">
        <v>39200</v>
      </c>
      <c r="J175" s="4">
        <f t="shared" si="6"/>
        <v>39200</v>
      </c>
      <c r="K175" s="4">
        <v>0</v>
      </c>
      <c r="L175" s="4">
        <v>284200</v>
      </c>
      <c r="M175" t="s">
        <v>29</v>
      </c>
      <c r="N175" t="s">
        <v>1272</v>
      </c>
      <c r="O175" t="s">
        <v>17</v>
      </c>
    </row>
    <row r="176" spans="1:15" x14ac:dyDescent="0.25">
      <c r="A176" t="s">
        <v>869</v>
      </c>
      <c r="B176" t="s">
        <v>870</v>
      </c>
      <c r="C176" t="s">
        <v>14</v>
      </c>
      <c r="D176" t="s">
        <v>1460</v>
      </c>
      <c r="E176" t="s">
        <v>1461</v>
      </c>
      <c r="F176" s="4">
        <v>0</v>
      </c>
      <c r="G176" s="4">
        <v>3360000</v>
      </c>
      <c r="H176" s="4">
        <f t="shared" si="5"/>
        <v>3360000</v>
      </c>
      <c r="I176" s="4">
        <v>537600</v>
      </c>
      <c r="J176" s="4">
        <f t="shared" si="6"/>
        <v>537600</v>
      </c>
      <c r="K176" s="4">
        <v>0</v>
      </c>
      <c r="L176" s="4">
        <v>3897600</v>
      </c>
      <c r="M176" t="s">
        <v>29</v>
      </c>
      <c r="N176" t="s">
        <v>35</v>
      </c>
      <c r="O176" t="s">
        <v>17</v>
      </c>
    </row>
    <row r="177" spans="1:15" x14ac:dyDescent="0.25">
      <c r="A177" t="s">
        <v>595</v>
      </c>
      <c r="B177" t="s">
        <v>596</v>
      </c>
      <c r="C177" t="s">
        <v>46</v>
      </c>
      <c r="D177" t="s">
        <v>1285</v>
      </c>
      <c r="E177" t="s">
        <v>1286</v>
      </c>
      <c r="F177" s="4">
        <v>0</v>
      </c>
      <c r="G177" s="4">
        <v>258625</v>
      </c>
      <c r="H177" s="4">
        <f t="shared" si="5"/>
        <v>258625</v>
      </c>
      <c r="I177" s="4">
        <v>41380</v>
      </c>
      <c r="J177" s="4">
        <f t="shared" si="6"/>
        <v>41380</v>
      </c>
      <c r="K177" s="4">
        <v>0</v>
      </c>
      <c r="L177" s="4">
        <v>300005</v>
      </c>
      <c r="M177" t="s">
        <v>29</v>
      </c>
      <c r="N177" t="s">
        <v>1272</v>
      </c>
      <c r="O177" t="s">
        <v>17</v>
      </c>
    </row>
    <row r="178" spans="1:15" x14ac:dyDescent="0.25">
      <c r="A178" t="s">
        <v>24</v>
      </c>
      <c r="B178" t="s">
        <v>25</v>
      </c>
      <c r="C178" t="s">
        <v>95</v>
      </c>
      <c r="D178" t="s">
        <v>138</v>
      </c>
      <c r="E178" t="s">
        <v>139</v>
      </c>
      <c r="F178" s="4">
        <v>0</v>
      </c>
      <c r="G178" s="4">
        <v>906100</v>
      </c>
      <c r="H178" s="4">
        <f t="shared" si="5"/>
        <v>906100</v>
      </c>
      <c r="I178" s="4">
        <v>144976</v>
      </c>
      <c r="J178" s="4">
        <f t="shared" si="6"/>
        <v>144976</v>
      </c>
      <c r="K178" s="4">
        <v>0</v>
      </c>
      <c r="L178" s="4">
        <v>1051076</v>
      </c>
      <c r="M178" t="s">
        <v>29</v>
      </c>
      <c r="N178" t="s">
        <v>137</v>
      </c>
      <c r="O178" t="s">
        <v>140</v>
      </c>
    </row>
    <row r="179" spans="1:15" x14ac:dyDescent="0.25">
      <c r="A179" t="s">
        <v>227</v>
      </c>
      <c r="B179" t="s">
        <v>228</v>
      </c>
      <c r="C179" t="s">
        <v>436</v>
      </c>
      <c r="D179" t="s">
        <v>437</v>
      </c>
      <c r="E179" t="s">
        <v>438</v>
      </c>
      <c r="F179" s="4">
        <v>0</v>
      </c>
      <c r="G179" s="4">
        <v>738000</v>
      </c>
      <c r="H179" s="4">
        <f t="shared" si="5"/>
        <v>738000</v>
      </c>
      <c r="I179" s="4">
        <v>118080</v>
      </c>
      <c r="J179" s="4">
        <f t="shared" si="6"/>
        <v>118080</v>
      </c>
      <c r="K179" s="4">
        <v>0</v>
      </c>
      <c r="L179" s="4">
        <v>856080</v>
      </c>
      <c r="M179" t="s">
        <v>29</v>
      </c>
      <c r="N179" t="s">
        <v>431</v>
      </c>
      <c r="O179" t="s">
        <v>325</v>
      </c>
    </row>
    <row r="180" spans="1:15" x14ac:dyDescent="0.25">
      <c r="A180" t="s">
        <v>835</v>
      </c>
      <c r="B180" t="s">
        <v>836</v>
      </c>
      <c r="C180" t="s">
        <v>405</v>
      </c>
      <c r="D180" t="s">
        <v>837</v>
      </c>
      <c r="E180" t="s">
        <v>838</v>
      </c>
      <c r="F180" s="4">
        <v>0</v>
      </c>
      <c r="G180" s="4">
        <v>250000</v>
      </c>
      <c r="H180" s="4">
        <f t="shared" si="5"/>
        <v>250000</v>
      </c>
      <c r="I180" s="4">
        <v>40000</v>
      </c>
      <c r="J180" s="4">
        <f t="shared" si="6"/>
        <v>40000</v>
      </c>
      <c r="K180" s="4">
        <v>0</v>
      </c>
      <c r="L180" s="4">
        <v>290000</v>
      </c>
      <c r="M180" t="s">
        <v>29</v>
      </c>
      <c r="N180" t="s">
        <v>202</v>
      </c>
      <c r="O180" t="s">
        <v>17</v>
      </c>
    </row>
    <row r="181" spans="1:15" x14ac:dyDescent="0.25">
      <c r="A181" t="s">
        <v>545</v>
      </c>
      <c r="B181" t="s">
        <v>546</v>
      </c>
      <c r="C181" t="s">
        <v>163</v>
      </c>
      <c r="D181" t="s">
        <v>547</v>
      </c>
      <c r="E181" t="s">
        <v>548</v>
      </c>
      <c r="F181" s="4">
        <v>0</v>
      </c>
      <c r="G181" s="4">
        <v>100000</v>
      </c>
      <c r="H181" s="4">
        <f t="shared" si="5"/>
        <v>100000</v>
      </c>
      <c r="I181" s="4">
        <v>16000</v>
      </c>
      <c r="J181" s="4">
        <f t="shared" si="6"/>
        <v>16000</v>
      </c>
      <c r="K181" s="4">
        <v>0</v>
      </c>
      <c r="L181" s="4">
        <v>116000</v>
      </c>
      <c r="M181" t="s">
        <v>29</v>
      </c>
      <c r="N181" t="s">
        <v>522</v>
      </c>
      <c r="O181" t="s">
        <v>17</v>
      </c>
    </row>
    <row r="182" spans="1:15" x14ac:dyDescent="0.25">
      <c r="A182" t="s">
        <v>835</v>
      </c>
      <c r="B182" t="s">
        <v>836</v>
      </c>
      <c r="C182" t="s">
        <v>198</v>
      </c>
      <c r="D182" t="s">
        <v>1446</v>
      </c>
      <c r="E182" t="s">
        <v>1447</v>
      </c>
      <c r="F182" s="4">
        <v>0</v>
      </c>
      <c r="G182" s="4">
        <v>603000</v>
      </c>
      <c r="H182" s="4">
        <f t="shared" si="5"/>
        <v>603000</v>
      </c>
      <c r="I182" s="4">
        <v>96480</v>
      </c>
      <c r="J182" s="4">
        <f t="shared" si="6"/>
        <v>96480</v>
      </c>
      <c r="K182" s="4">
        <v>0</v>
      </c>
      <c r="L182" s="4">
        <v>699480</v>
      </c>
      <c r="M182" t="s">
        <v>201</v>
      </c>
      <c r="N182" t="s">
        <v>35</v>
      </c>
      <c r="O182" t="s">
        <v>17</v>
      </c>
    </row>
    <row r="183" spans="1:15" x14ac:dyDescent="0.25">
      <c r="A183" t="s">
        <v>535</v>
      </c>
      <c r="B183" t="s">
        <v>536</v>
      </c>
      <c r="C183" t="s">
        <v>252</v>
      </c>
      <c r="D183" t="s">
        <v>537</v>
      </c>
      <c r="E183" t="s">
        <v>538</v>
      </c>
      <c r="F183" s="4">
        <v>0</v>
      </c>
      <c r="G183" s="4">
        <v>60000</v>
      </c>
      <c r="H183" s="4">
        <f t="shared" si="5"/>
        <v>60000</v>
      </c>
      <c r="I183" s="4">
        <v>9600</v>
      </c>
      <c r="J183" s="4">
        <f t="shared" si="6"/>
        <v>9600</v>
      </c>
      <c r="K183" s="4">
        <v>0</v>
      </c>
      <c r="L183" s="4">
        <v>69600</v>
      </c>
      <c r="M183" t="s">
        <v>201</v>
      </c>
      <c r="N183" t="s">
        <v>522</v>
      </c>
      <c r="O183" t="s">
        <v>17</v>
      </c>
    </row>
    <row r="184" spans="1:15" x14ac:dyDescent="0.25">
      <c r="A184" t="s">
        <v>1351</v>
      </c>
      <c r="B184" t="s">
        <v>1352</v>
      </c>
      <c r="C184" t="s">
        <v>143</v>
      </c>
      <c r="D184" t="s">
        <v>1353</v>
      </c>
      <c r="E184" t="s">
        <v>1354</v>
      </c>
      <c r="F184" s="4">
        <v>0</v>
      </c>
      <c r="G184" s="4">
        <v>45000</v>
      </c>
      <c r="H184" s="4">
        <f t="shared" si="5"/>
        <v>45000</v>
      </c>
      <c r="I184" s="4">
        <v>7200</v>
      </c>
      <c r="J184" s="4">
        <f t="shared" si="6"/>
        <v>7200</v>
      </c>
      <c r="K184" s="4">
        <v>0</v>
      </c>
      <c r="L184" s="4">
        <v>52200</v>
      </c>
      <c r="M184" t="s">
        <v>136</v>
      </c>
      <c r="N184" t="s">
        <v>1350</v>
      </c>
      <c r="O184" t="s">
        <v>17</v>
      </c>
    </row>
    <row r="185" spans="1:15" x14ac:dyDescent="0.25">
      <c r="A185" t="s">
        <v>445</v>
      </c>
      <c r="B185" t="s">
        <v>446</v>
      </c>
      <c r="C185" t="s">
        <v>149</v>
      </c>
      <c r="D185" t="s">
        <v>450</v>
      </c>
      <c r="E185" t="s">
        <v>451</v>
      </c>
      <c r="F185" s="4">
        <v>0</v>
      </c>
      <c r="G185" s="4">
        <v>30000</v>
      </c>
      <c r="H185" s="4">
        <f t="shared" si="5"/>
        <v>30000</v>
      </c>
      <c r="I185" s="4">
        <v>4800</v>
      </c>
      <c r="J185" s="4">
        <f t="shared" si="6"/>
        <v>4800</v>
      </c>
      <c r="K185" s="4">
        <v>0</v>
      </c>
      <c r="L185" s="4">
        <v>34800</v>
      </c>
      <c r="M185" t="s">
        <v>136</v>
      </c>
      <c r="N185" t="s">
        <v>449</v>
      </c>
      <c r="O185" t="s">
        <v>17</v>
      </c>
    </row>
    <row r="186" spans="1:15" x14ac:dyDescent="0.25">
      <c r="A186" t="s">
        <v>503</v>
      </c>
      <c r="B186" t="s">
        <v>504</v>
      </c>
      <c r="C186" t="s">
        <v>121</v>
      </c>
      <c r="D186" t="s">
        <v>931</v>
      </c>
      <c r="E186" t="s">
        <v>932</v>
      </c>
      <c r="F186" s="4">
        <v>0</v>
      </c>
      <c r="G186" s="4">
        <v>840000</v>
      </c>
      <c r="H186" s="4">
        <f t="shared" si="5"/>
        <v>840000</v>
      </c>
      <c r="I186" s="4">
        <v>134400</v>
      </c>
      <c r="J186" s="4">
        <f t="shared" si="6"/>
        <v>134400</v>
      </c>
      <c r="K186" s="4">
        <v>0</v>
      </c>
      <c r="L186" s="4">
        <v>974400</v>
      </c>
      <c r="M186" t="s">
        <v>52</v>
      </c>
      <c r="N186" t="s">
        <v>933</v>
      </c>
      <c r="O186" t="s">
        <v>17</v>
      </c>
    </row>
    <row r="187" spans="1:15" x14ac:dyDescent="0.25">
      <c r="A187" t="s">
        <v>848</v>
      </c>
      <c r="B187" t="s">
        <v>849</v>
      </c>
      <c r="C187" t="s">
        <v>149</v>
      </c>
      <c r="D187" t="s">
        <v>850</v>
      </c>
      <c r="E187" t="s">
        <v>851</v>
      </c>
      <c r="F187" s="4">
        <v>0</v>
      </c>
      <c r="G187" s="4">
        <v>800000</v>
      </c>
      <c r="H187" s="4">
        <f t="shared" si="5"/>
        <v>800000</v>
      </c>
      <c r="I187" s="4">
        <v>128000</v>
      </c>
      <c r="J187" s="4">
        <f t="shared" si="6"/>
        <v>128000</v>
      </c>
      <c r="K187" s="4">
        <v>0</v>
      </c>
      <c r="L187" s="4">
        <v>928000</v>
      </c>
      <c r="M187" t="s">
        <v>60</v>
      </c>
      <c r="N187" t="s">
        <v>231</v>
      </c>
      <c r="O187" t="s">
        <v>17</v>
      </c>
    </row>
    <row r="188" spans="1:15" x14ac:dyDescent="0.25">
      <c r="A188" t="s">
        <v>100</v>
      </c>
      <c r="B188" t="s">
        <v>101</v>
      </c>
      <c r="C188" t="s">
        <v>14</v>
      </c>
      <c r="D188" t="s">
        <v>395</v>
      </c>
      <c r="E188" t="s">
        <v>396</v>
      </c>
      <c r="F188" s="4">
        <v>0</v>
      </c>
      <c r="G188" s="4">
        <v>811800</v>
      </c>
      <c r="H188" s="4">
        <f t="shared" si="5"/>
        <v>811800</v>
      </c>
      <c r="I188" s="4">
        <v>129888</v>
      </c>
      <c r="J188" s="4">
        <f t="shared" si="6"/>
        <v>129888</v>
      </c>
      <c r="K188" s="4">
        <v>0</v>
      </c>
      <c r="L188" s="4">
        <v>941688</v>
      </c>
      <c r="M188" t="s">
        <v>201</v>
      </c>
      <c r="N188" t="s">
        <v>35</v>
      </c>
      <c r="O188" t="s">
        <v>105</v>
      </c>
    </row>
    <row r="189" spans="1:15" x14ac:dyDescent="0.25">
      <c r="A189" t="s">
        <v>688</v>
      </c>
      <c r="B189" t="s">
        <v>689</v>
      </c>
      <c r="C189" t="s">
        <v>121</v>
      </c>
      <c r="D189" t="s">
        <v>1291</v>
      </c>
      <c r="E189" t="s">
        <v>1292</v>
      </c>
      <c r="F189" s="4">
        <v>0</v>
      </c>
      <c r="G189" s="4">
        <v>387750</v>
      </c>
      <c r="H189" s="4">
        <f t="shared" si="5"/>
        <v>387750</v>
      </c>
      <c r="I189" s="4">
        <v>62040</v>
      </c>
      <c r="J189" s="4">
        <f t="shared" si="6"/>
        <v>62040</v>
      </c>
      <c r="K189" s="4">
        <v>0</v>
      </c>
      <c r="L189" s="4">
        <v>449790</v>
      </c>
      <c r="M189" t="s">
        <v>52</v>
      </c>
      <c r="N189" t="s">
        <v>1290</v>
      </c>
      <c r="O189" t="s">
        <v>17</v>
      </c>
    </row>
    <row r="190" spans="1:15" x14ac:dyDescent="0.25">
      <c r="A190" t="s">
        <v>848</v>
      </c>
      <c r="B190" t="s">
        <v>849</v>
      </c>
      <c r="C190" t="s">
        <v>149</v>
      </c>
      <c r="D190" t="s">
        <v>1432</v>
      </c>
      <c r="E190" t="s">
        <v>1433</v>
      </c>
      <c r="F190" s="4">
        <v>0</v>
      </c>
      <c r="G190" s="4">
        <v>780000</v>
      </c>
      <c r="H190" s="4">
        <f t="shared" si="5"/>
        <v>780000</v>
      </c>
      <c r="I190" s="4">
        <v>124800</v>
      </c>
      <c r="J190" s="4">
        <f t="shared" si="6"/>
        <v>124800</v>
      </c>
      <c r="K190" s="4">
        <v>0</v>
      </c>
      <c r="L190" s="4">
        <v>904800</v>
      </c>
      <c r="M190" t="s">
        <v>179</v>
      </c>
      <c r="N190" t="s">
        <v>35</v>
      </c>
      <c r="O190" t="s">
        <v>17</v>
      </c>
    </row>
    <row r="191" spans="1:15" x14ac:dyDescent="0.25">
      <c r="A191" t="s">
        <v>503</v>
      </c>
      <c r="B191" t="s">
        <v>504</v>
      </c>
      <c r="C191" t="s">
        <v>88</v>
      </c>
      <c r="D191" t="s">
        <v>936</v>
      </c>
      <c r="E191" t="s">
        <v>937</v>
      </c>
      <c r="F191" s="4">
        <v>0</v>
      </c>
      <c r="G191" s="4">
        <v>2250000</v>
      </c>
      <c r="H191" s="4">
        <f t="shared" si="5"/>
        <v>2250000</v>
      </c>
      <c r="I191" s="4">
        <v>360000</v>
      </c>
      <c r="J191" s="4">
        <f t="shared" si="6"/>
        <v>360000</v>
      </c>
      <c r="K191" s="4">
        <v>0</v>
      </c>
      <c r="L191" s="4">
        <v>2610000</v>
      </c>
      <c r="M191" t="s">
        <v>18</v>
      </c>
      <c r="N191" t="s">
        <v>938</v>
      </c>
      <c r="O191" t="s">
        <v>17</v>
      </c>
    </row>
    <row r="192" spans="1:15" x14ac:dyDescent="0.25">
      <c r="A192" t="s">
        <v>168</v>
      </c>
      <c r="B192" t="s">
        <v>169</v>
      </c>
      <c r="C192" t="s">
        <v>14</v>
      </c>
      <c r="D192" t="s">
        <v>183</v>
      </c>
      <c r="E192" t="s">
        <v>184</v>
      </c>
      <c r="F192" s="4">
        <v>0</v>
      </c>
      <c r="G192" s="4">
        <v>290280</v>
      </c>
      <c r="H192" s="4">
        <f t="shared" si="5"/>
        <v>290280</v>
      </c>
      <c r="I192" s="4">
        <v>46444.800000000003</v>
      </c>
      <c r="J192" s="4">
        <f t="shared" si="6"/>
        <v>46444.800000000003</v>
      </c>
      <c r="K192" s="4">
        <v>0</v>
      </c>
      <c r="L192" s="4">
        <v>336724.8</v>
      </c>
      <c r="M192" t="s">
        <v>136</v>
      </c>
      <c r="N192" t="s">
        <v>173</v>
      </c>
      <c r="O192" t="s">
        <v>174</v>
      </c>
    </row>
    <row r="193" spans="1:15" x14ac:dyDescent="0.25">
      <c r="A193" t="s">
        <v>141</v>
      </c>
      <c r="B193" t="s">
        <v>142</v>
      </c>
      <c r="C193" t="s">
        <v>149</v>
      </c>
      <c r="D193" t="s">
        <v>420</v>
      </c>
      <c r="E193" t="s">
        <v>421</v>
      </c>
      <c r="F193" s="4">
        <v>0</v>
      </c>
      <c r="G193" s="4">
        <v>766700</v>
      </c>
      <c r="H193" s="4">
        <f t="shared" si="5"/>
        <v>766700</v>
      </c>
      <c r="I193" s="4">
        <v>122672</v>
      </c>
      <c r="J193" s="4">
        <f t="shared" si="6"/>
        <v>122672</v>
      </c>
      <c r="K193" s="4">
        <v>0</v>
      </c>
      <c r="L193" s="4">
        <v>889372</v>
      </c>
      <c r="M193" t="s">
        <v>379</v>
      </c>
      <c r="N193" t="s">
        <v>413</v>
      </c>
      <c r="O193" t="s">
        <v>148</v>
      </c>
    </row>
    <row r="194" spans="1:15" x14ac:dyDescent="0.25">
      <c r="A194" t="s">
        <v>1132</v>
      </c>
      <c r="B194" t="s">
        <v>1133</v>
      </c>
      <c r="C194" t="s">
        <v>149</v>
      </c>
      <c r="D194" t="s">
        <v>1134</v>
      </c>
      <c r="E194" t="s">
        <v>1135</v>
      </c>
      <c r="F194" s="4">
        <v>0</v>
      </c>
      <c r="G194" s="4">
        <v>455000</v>
      </c>
      <c r="H194" s="4">
        <f t="shared" si="5"/>
        <v>455000</v>
      </c>
      <c r="I194" s="4">
        <v>72800</v>
      </c>
      <c r="J194" s="4">
        <f t="shared" si="6"/>
        <v>72800</v>
      </c>
      <c r="K194" s="4">
        <v>0</v>
      </c>
      <c r="L194" s="4">
        <v>527800</v>
      </c>
      <c r="M194" t="s">
        <v>18</v>
      </c>
      <c r="N194" t="s">
        <v>318</v>
      </c>
      <c r="O194" t="s">
        <v>17</v>
      </c>
    </row>
    <row r="195" spans="1:15" x14ac:dyDescent="0.25">
      <c r="A195" t="s">
        <v>1227</v>
      </c>
      <c r="B195" t="s">
        <v>1228</v>
      </c>
      <c r="C195" t="s">
        <v>198</v>
      </c>
      <c r="D195" t="s">
        <v>1229</v>
      </c>
      <c r="E195" t="s">
        <v>1230</v>
      </c>
      <c r="F195" s="4">
        <v>0</v>
      </c>
      <c r="G195" s="4">
        <v>1500000</v>
      </c>
      <c r="H195" s="4">
        <f t="shared" si="5"/>
        <v>1500000</v>
      </c>
      <c r="I195" s="4">
        <v>240000</v>
      </c>
      <c r="J195" s="4">
        <f t="shared" si="6"/>
        <v>240000</v>
      </c>
      <c r="K195" s="4">
        <v>0</v>
      </c>
      <c r="L195" s="4">
        <v>1740000</v>
      </c>
      <c r="M195" t="s">
        <v>18</v>
      </c>
      <c r="N195" t="s">
        <v>1231</v>
      </c>
      <c r="O195" t="s">
        <v>17</v>
      </c>
    </row>
    <row r="196" spans="1:15" x14ac:dyDescent="0.25">
      <c r="A196" t="s">
        <v>1083</v>
      </c>
      <c r="B196" t="s">
        <v>1084</v>
      </c>
      <c r="C196" t="s">
        <v>149</v>
      </c>
      <c r="D196" t="s">
        <v>1085</v>
      </c>
      <c r="E196" t="s">
        <v>1086</v>
      </c>
      <c r="F196" s="4">
        <v>0</v>
      </c>
      <c r="G196" s="4">
        <v>650000</v>
      </c>
      <c r="H196" s="4">
        <f t="shared" ref="H196:H259" si="7">F196+G196</f>
        <v>650000</v>
      </c>
      <c r="I196" s="4">
        <v>104000</v>
      </c>
      <c r="J196" s="4">
        <f t="shared" ref="J196:J259" si="8">H196*0.16</f>
        <v>104000</v>
      </c>
      <c r="K196" s="4">
        <v>0</v>
      </c>
      <c r="L196" s="4">
        <v>754000</v>
      </c>
      <c r="M196" t="s">
        <v>18</v>
      </c>
      <c r="N196" t="s">
        <v>311</v>
      </c>
      <c r="O196" t="s">
        <v>17</v>
      </c>
    </row>
    <row r="197" spans="1:15" x14ac:dyDescent="0.25">
      <c r="A197" t="s">
        <v>979</v>
      </c>
      <c r="B197" t="s">
        <v>980</v>
      </c>
      <c r="C197" t="s">
        <v>149</v>
      </c>
      <c r="D197" t="s">
        <v>1190</v>
      </c>
      <c r="E197" t="s">
        <v>1191</v>
      </c>
      <c r="F197" s="4">
        <v>0</v>
      </c>
      <c r="G197" s="4">
        <v>490000</v>
      </c>
      <c r="H197" s="4">
        <f t="shared" si="7"/>
        <v>490000</v>
      </c>
      <c r="I197" s="4">
        <v>78400</v>
      </c>
      <c r="J197" s="4">
        <f t="shared" si="8"/>
        <v>78400</v>
      </c>
      <c r="K197" s="4">
        <v>0</v>
      </c>
      <c r="L197" s="4">
        <v>568400</v>
      </c>
      <c r="M197" t="s">
        <v>18</v>
      </c>
      <c r="N197" t="s">
        <v>331</v>
      </c>
      <c r="O197" t="s">
        <v>17</v>
      </c>
    </row>
    <row r="198" spans="1:15" x14ac:dyDescent="0.25">
      <c r="A198" t="s">
        <v>1182</v>
      </c>
      <c r="B198" t="s">
        <v>1183</v>
      </c>
      <c r="C198" t="s">
        <v>88</v>
      </c>
      <c r="D198" t="s">
        <v>1184</v>
      </c>
      <c r="E198" t="s">
        <v>1185</v>
      </c>
      <c r="F198" s="4">
        <v>0</v>
      </c>
      <c r="G198" s="4">
        <v>500000</v>
      </c>
      <c r="H198" s="4">
        <f t="shared" si="7"/>
        <v>500000</v>
      </c>
      <c r="I198" s="4">
        <v>80000</v>
      </c>
      <c r="J198" s="4">
        <f t="shared" si="8"/>
        <v>80000</v>
      </c>
      <c r="K198" s="4">
        <v>0</v>
      </c>
      <c r="L198" s="4">
        <v>580000</v>
      </c>
      <c r="M198" t="s">
        <v>18</v>
      </c>
      <c r="N198" t="s">
        <v>331</v>
      </c>
      <c r="O198" t="s">
        <v>17</v>
      </c>
    </row>
    <row r="199" spans="1:15" x14ac:dyDescent="0.25">
      <c r="A199" t="s">
        <v>796</v>
      </c>
      <c r="B199" t="s">
        <v>797</v>
      </c>
      <c r="C199" t="s">
        <v>149</v>
      </c>
      <c r="D199" t="s">
        <v>798</v>
      </c>
      <c r="E199" t="s">
        <v>799</v>
      </c>
      <c r="F199" s="4">
        <v>0</v>
      </c>
      <c r="G199" s="4">
        <v>230000</v>
      </c>
      <c r="H199" s="4">
        <f t="shared" si="7"/>
        <v>230000</v>
      </c>
      <c r="I199" s="4">
        <v>36800</v>
      </c>
      <c r="J199" s="4">
        <f t="shared" si="8"/>
        <v>36800</v>
      </c>
      <c r="K199" s="4">
        <v>0</v>
      </c>
      <c r="L199" s="4">
        <v>266800</v>
      </c>
      <c r="M199" t="s">
        <v>18</v>
      </c>
      <c r="N199" t="s">
        <v>780</v>
      </c>
      <c r="O199" t="s">
        <v>17</v>
      </c>
    </row>
    <row r="200" spans="1:15" x14ac:dyDescent="0.25">
      <c r="A200" t="s">
        <v>629</v>
      </c>
      <c r="B200" t="s">
        <v>630</v>
      </c>
      <c r="C200" t="s">
        <v>143</v>
      </c>
      <c r="D200" t="s">
        <v>631</v>
      </c>
      <c r="E200" t="s">
        <v>632</v>
      </c>
      <c r="F200" s="4">
        <v>0</v>
      </c>
      <c r="G200" s="4">
        <v>120000</v>
      </c>
      <c r="H200" s="4">
        <f t="shared" si="7"/>
        <v>120000</v>
      </c>
      <c r="I200" s="4">
        <v>19200</v>
      </c>
      <c r="J200" s="4">
        <f t="shared" si="8"/>
        <v>19200</v>
      </c>
      <c r="K200" s="4">
        <v>0</v>
      </c>
      <c r="L200" s="4">
        <v>139200</v>
      </c>
      <c r="M200" t="s">
        <v>60</v>
      </c>
      <c r="N200" t="s">
        <v>624</v>
      </c>
      <c r="O200" t="s">
        <v>17</v>
      </c>
    </row>
    <row r="201" spans="1:15" x14ac:dyDescent="0.25">
      <c r="A201" t="s">
        <v>1192</v>
      </c>
      <c r="B201" t="s">
        <v>1193</v>
      </c>
      <c r="C201" t="s">
        <v>143</v>
      </c>
      <c r="D201" t="s">
        <v>1194</v>
      </c>
      <c r="E201" t="s">
        <v>1195</v>
      </c>
      <c r="F201" s="4">
        <v>0</v>
      </c>
      <c r="G201" s="4">
        <v>267750</v>
      </c>
      <c r="H201" s="4">
        <f t="shared" si="7"/>
        <v>267750</v>
      </c>
      <c r="I201" s="4">
        <v>42840</v>
      </c>
      <c r="J201" s="4">
        <f t="shared" si="8"/>
        <v>42840</v>
      </c>
      <c r="K201" s="4">
        <v>0</v>
      </c>
      <c r="L201" s="4">
        <v>310590</v>
      </c>
      <c r="M201" t="s">
        <v>60</v>
      </c>
      <c r="N201" t="s">
        <v>331</v>
      </c>
      <c r="O201" t="s">
        <v>1196</v>
      </c>
    </row>
    <row r="202" spans="1:15" x14ac:dyDescent="0.25">
      <c r="A202" t="s">
        <v>792</v>
      </c>
      <c r="B202" t="s">
        <v>793</v>
      </c>
      <c r="C202" t="s">
        <v>149</v>
      </c>
      <c r="D202" t="s">
        <v>794</v>
      </c>
      <c r="E202" t="s">
        <v>795</v>
      </c>
      <c r="F202" s="4">
        <v>0</v>
      </c>
      <c r="G202" s="4">
        <v>150000</v>
      </c>
      <c r="H202" s="4">
        <f t="shared" si="7"/>
        <v>150000</v>
      </c>
      <c r="I202" s="4">
        <v>24000</v>
      </c>
      <c r="J202" s="4">
        <f t="shared" si="8"/>
        <v>24000</v>
      </c>
      <c r="K202" s="4">
        <v>0</v>
      </c>
      <c r="L202" s="4">
        <v>174000</v>
      </c>
      <c r="M202" t="s">
        <v>60</v>
      </c>
      <c r="N202" t="s">
        <v>780</v>
      </c>
      <c r="O202" t="s">
        <v>17</v>
      </c>
    </row>
    <row r="203" spans="1:15" x14ac:dyDescent="0.25">
      <c r="A203" t="s">
        <v>788</v>
      </c>
      <c r="B203" t="s">
        <v>789</v>
      </c>
      <c r="C203" t="s">
        <v>149</v>
      </c>
      <c r="D203" t="s">
        <v>790</v>
      </c>
      <c r="E203" t="s">
        <v>791</v>
      </c>
      <c r="F203" s="4">
        <v>0</v>
      </c>
      <c r="G203" s="4">
        <v>150000</v>
      </c>
      <c r="H203" s="4">
        <f t="shared" si="7"/>
        <v>150000</v>
      </c>
      <c r="I203" s="4">
        <v>24000</v>
      </c>
      <c r="J203" s="4">
        <f t="shared" si="8"/>
        <v>24000</v>
      </c>
      <c r="K203" s="4">
        <v>0</v>
      </c>
      <c r="L203" s="4">
        <v>174000</v>
      </c>
      <c r="M203" t="s">
        <v>60</v>
      </c>
      <c r="N203" t="s">
        <v>780</v>
      </c>
      <c r="O203" t="s">
        <v>17</v>
      </c>
    </row>
    <row r="204" spans="1:15" x14ac:dyDescent="0.25">
      <c r="A204" t="s">
        <v>456</v>
      </c>
      <c r="B204" t="s">
        <v>457</v>
      </c>
      <c r="C204" t="s">
        <v>126</v>
      </c>
      <c r="D204" t="s">
        <v>461</v>
      </c>
      <c r="E204" t="s">
        <v>462</v>
      </c>
      <c r="F204" s="4">
        <v>0</v>
      </c>
      <c r="G204" s="4">
        <v>21200</v>
      </c>
      <c r="H204" s="4">
        <f t="shared" si="7"/>
        <v>21200</v>
      </c>
      <c r="I204" s="4">
        <v>3392</v>
      </c>
      <c r="J204" s="4">
        <f t="shared" si="8"/>
        <v>3392</v>
      </c>
      <c r="K204" s="4">
        <v>0</v>
      </c>
      <c r="L204" s="4">
        <v>24592</v>
      </c>
      <c r="M204" t="s">
        <v>60</v>
      </c>
      <c r="N204" t="s">
        <v>463</v>
      </c>
      <c r="O204" t="s">
        <v>17</v>
      </c>
    </row>
    <row r="205" spans="1:15" x14ac:dyDescent="0.25">
      <c r="A205" t="s">
        <v>688</v>
      </c>
      <c r="B205" t="s">
        <v>689</v>
      </c>
      <c r="C205" t="s">
        <v>121</v>
      </c>
      <c r="D205" t="s">
        <v>1300</v>
      </c>
      <c r="E205" t="s">
        <v>1301</v>
      </c>
      <c r="F205" s="4">
        <v>0</v>
      </c>
      <c r="G205" s="4">
        <v>352500</v>
      </c>
      <c r="H205" s="4">
        <f t="shared" si="7"/>
        <v>352500</v>
      </c>
      <c r="I205" s="4">
        <v>56400</v>
      </c>
      <c r="J205" s="4">
        <f t="shared" si="8"/>
        <v>56400</v>
      </c>
      <c r="K205" s="4">
        <v>0</v>
      </c>
      <c r="L205" s="4">
        <v>408900</v>
      </c>
      <c r="M205" t="s">
        <v>60</v>
      </c>
      <c r="N205" t="s">
        <v>1297</v>
      </c>
      <c r="O205" t="s">
        <v>17</v>
      </c>
    </row>
    <row r="206" spans="1:15" x14ac:dyDescent="0.25">
      <c r="A206" t="s">
        <v>781</v>
      </c>
      <c r="B206" t="s">
        <v>782</v>
      </c>
      <c r="C206" t="s">
        <v>143</v>
      </c>
      <c r="D206" t="s">
        <v>800</v>
      </c>
      <c r="E206" t="s">
        <v>801</v>
      </c>
      <c r="F206" s="4">
        <v>0</v>
      </c>
      <c r="G206" s="4">
        <v>150000</v>
      </c>
      <c r="H206" s="4">
        <f t="shared" si="7"/>
        <v>150000</v>
      </c>
      <c r="I206" s="4">
        <v>24000</v>
      </c>
      <c r="J206" s="4">
        <f t="shared" si="8"/>
        <v>24000</v>
      </c>
      <c r="K206" s="4">
        <v>0</v>
      </c>
      <c r="L206" s="4">
        <v>174000</v>
      </c>
      <c r="M206" t="s">
        <v>60</v>
      </c>
      <c r="N206" t="s">
        <v>780</v>
      </c>
      <c r="O206" t="s">
        <v>17</v>
      </c>
    </row>
    <row r="207" spans="1:15" x14ac:dyDescent="0.25">
      <c r="A207" t="s">
        <v>1035</v>
      </c>
      <c r="B207" t="s">
        <v>1036</v>
      </c>
      <c r="C207" t="s">
        <v>121</v>
      </c>
      <c r="D207" t="s">
        <v>1338</v>
      </c>
      <c r="E207" t="s">
        <v>1339</v>
      </c>
      <c r="F207" s="4">
        <v>0</v>
      </c>
      <c r="G207" s="4">
        <v>30000</v>
      </c>
      <c r="H207" s="4">
        <f t="shared" si="7"/>
        <v>30000</v>
      </c>
      <c r="I207" s="4">
        <v>4800</v>
      </c>
      <c r="J207" s="4">
        <f t="shared" si="8"/>
        <v>4800</v>
      </c>
      <c r="K207" s="4">
        <v>0</v>
      </c>
      <c r="L207" s="4">
        <v>34800</v>
      </c>
      <c r="M207" t="s">
        <v>60</v>
      </c>
      <c r="N207" t="s">
        <v>363</v>
      </c>
      <c r="O207" t="s">
        <v>17</v>
      </c>
    </row>
    <row r="208" spans="1:15" x14ac:dyDescent="0.25">
      <c r="A208" t="s">
        <v>12</v>
      </c>
      <c r="B208" t="s">
        <v>13</v>
      </c>
      <c r="C208" t="s">
        <v>121</v>
      </c>
      <c r="D208" t="s">
        <v>160</v>
      </c>
      <c r="E208" t="s">
        <v>161</v>
      </c>
      <c r="F208" s="4">
        <v>0</v>
      </c>
      <c r="G208" s="4">
        <v>86100</v>
      </c>
      <c r="H208" s="4">
        <f t="shared" si="7"/>
        <v>86100</v>
      </c>
      <c r="I208" s="4">
        <v>13776</v>
      </c>
      <c r="J208" s="4">
        <f t="shared" si="8"/>
        <v>13776</v>
      </c>
      <c r="K208" s="4">
        <v>0</v>
      </c>
      <c r="L208" s="4">
        <v>99876</v>
      </c>
      <c r="M208" t="s">
        <v>136</v>
      </c>
      <c r="N208" t="s">
        <v>162</v>
      </c>
      <c r="O208" t="s">
        <v>20</v>
      </c>
    </row>
    <row r="209" spans="1:15" x14ac:dyDescent="0.25">
      <c r="A209" t="s">
        <v>747</v>
      </c>
      <c r="B209" t="s">
        <v>748</v>
      </c>
      <c r="C209" t="s">
        <v>198</v>
      </c>
      <c r="D209" t="s">
        <v>1444</v>
      </c>
      <c r="E209" t="s">
        <v>1445</v>
      </c>
      <c r="F209" s="4">
        <v>0</v>
      </c>
      <c r="G209" s="4">
        <v>600000</v>
      </c>
      <c r="H209" s="4">
        <f t="shared" si="7"/>
        <v>600000</v>
      </c>
      <c r="I209" s="4">
        <v>96000</v>
      </c>
      <c r="J209" s="4">
        <f t="shared" si="8"/>
        <v>96000</v>
      </c>
      <c r="K209" s="4">
        <v>0</v>
      </c>
      <c r="L209" s="4">
        <v>696000</v>
      </c>
      <c r="M209" t="s">
        <v>136</v>
      </c>
      <c r="N209" t="s">
        <v>35</v>
      </c>
      <c r="O209" t="s">
        <v>17</v>
      </c>
    </row>
    <row r="210" spans="1:15" x14ac:dyDescent="0.25">
      <c r="A210" t="s">
        <v>647</v>
      </c>
      <c r="B210" t="s">
        <v>648</v>
      </c>
      <c r="C210" t="s">
        <v>258</v>
      </c>
      <c r="D210" t="s">
        <v>649</v>
      </c>
      <c r="E210" t="s">
        <v>650</v>
      </c>
      <c r="F210" s="4">
        <v>0</v>
      </c>
      <c r="G210" s="4">
        <v>6075000</v>
      </c>
      <c r="H210" s="4">
        <f t="shared" si="7"/>
        <v>6075000</v>
      </c>
      <c r="I210" s="4">
        <v>972000</v>
      </c>
      <c r="J210" s="4">
        <f t="shared" si="8"/>
        <v>972000</v>
      </c>
      <c r="K210" s="4">
        <v>0</v>
      </c>
      <c r="L210" s="4">
        <v>7047000</v>
      </c>
      <c r="M210" t="s">
        <v>18</v>
      </c>
      <c r="N210" t="s">
        <v>638</v>
      </c>
      <c r="O210" t="s">
        <v>17</v>
      </c>
    </row>
    <row r="211" spans="1:15" x14ac:dyDescent="0.25">
      <c r="A211" t="s">
        <v>1356</v>
      </c>
      <c r="B211" t="s">
        <v>1357</v>
      </c>
      <c r="C211" t="s">
        <v>149</v>
      </c>
      <c r="D211" t="s">
        <v>1358</v>
      </c>
      <c r="E211" t="s">
        <v>1359</v>
      </c>
      <c r="F211" s="4">
        <v>0</v>
      </c>
      <c r="G211" s="4">
        <v>520000</v>
      </c>
      <c r="H211" s="4">
        <f t="shared" si="7"/>
        <v>520000</v>
      </c>
      <c r="I211" s="4">
        <v>83200</v>
      </c>
      <c r="J211" s="4">
        <f t="shared" si="8"/>
        <v>83200</v>
      </c>
      <c r="K211" s="4">
        <v>0</v>
      </c>
      <c r="L211" s="4">
        <v>603200</v>
      </c>
      <c r="M211" t="s">
        <v>146</v>
      </c>
      <c r="N211" t="s">
        <v>1355</v>
      </c>
      <c r="O211" t="s">
        <v>17</v>
      </c>
    </row>
    <row r="212" spans="1:15" x14ac:dyDescent="0.25">
      <c r="A212" t="s">
        <v>826</v>
      </c>
      <c r="B212" t="s">
        <v>827</v>
      </c>
      <c r="C212" t="s">
        <v>143</v>
      </c>
      <c r="D212" t="s">
        <v>828</v>
      </c>
      <c r="E212" t="s">
        <v>829</v>
      </c>
      <c r="F212" s="4">
        <v>0</v>
      </c>
      <c r="G212" s="4">
        <v>1314300</v>
      </c>
      <c r="H212" s="4">
        <f t="shared" si="7"/>
        <v>1314300</v>
      </c>
      <c r="I212" s="4">
        <v>210288</v>
      </c>
      <c r="J212" s="4">
        <f t="shared" si="8"/>
        <v>210288</v>
      </c>
      <c r="K212" s="4">
        <v>0</v>
      </c>
      <c r="L212" s="4">
        <v>1524588</v>
      </c>
      <c r="M212" t="s">
        <v>146</v>
      </c>
      <c r="N212" t="s">
        <v>830</v>
      </c>
      <c r="O212" t="s">
        <v>17</v>
      </c>
    </row>
    <row r="213" spans="1:15" x14ac:dyDescent="0.25">
      <c r="A213" t="s">
        <v>1341</v>
      </c>
      <c r="B213" t="s">
        <v>1342</v>
      </c>
      <c r="C213" t="s">
        <v>436</v>
      </c>
      <c r="D213" t="s">
        <v>1343</v>
      </c>
      <c r="E213" t="s">
        <v>1344</v>
      </c>
      <c r="F213" s="4">
        <v>0</v>
      </c>
      <c r="G213" s="4">
        <v>200000</v>
      </c>
      <c r="H213" s="4">
        <f t="shared" si="7"/>
        <v>200000</v>
      </c>
      <c r="I213" s="4">
        <v>32000</v>
      </c>
      <c r="J213" s="4">
        <f t="shared" si="8"/>
        <v>32000</v>
      </c>
      <c r="K213" s="4">
        <v>0</v>
      </c>
      <c r="L213" s="4">
        <v>232000</v>
      </c>
      <c r="M213" t="s">
        <v>146</v>
      </c>
      <c r="N213" t="s">
        <v>1340</v>
      </c>
      <c r="O213" t="s">
        <v>17</v>
      </c>
    </row>
    <row r="214" spans="1:15" x14ac:dyDescent="0.25">
      <c r="A214" t="s">
        <v>688</v>
      </c>
      <c r="B214" t="s">
        <v>689</v>
      </c>
      <c r="C214" t="s">
        <v>149</v>
      </c>
      <c r="D214" t="s">
        <v>765</v>
      </c>
      <c r="E214" t="s">
        <v>766</v>
      </c>
      <c r="F214" s="4">
        <v>0</v>
      </c>
      <c r="G214" s="4">
        <v>1419000</v>
      </c>
      <c r="H214" s="4">
        <f t="shared" si="7"/>
        <v>1419000</v>
      </c>
      <c r="I214" s="4">
        <v>227040</v>
      </c>
      <c r="J214" s="4">
        <f t="shared" si="8"/>
        <v>227040</v>
      </c>
      <c r="K214" s="4">
        <v>0</v>
      </c>
      <c r="L214" s="4">
        <v>1646040</v>
      </c>
      <c r="M214" t="s">
        <v>146</v>
      </c>
      <c r="N214" t="s">
        <v>767</v>
      </c>
      <c r="O214" t="s">
        <v>17</v>
      </c>
    </row>
    <row r="215" spans="1:15" x14ac:dyDescent="0.25">
      <c r="A215" t="s">
        <v>1360</v>
      </c>
      <c r="B215" t="s">
        <v>1361</v>
      </c>
      <c r="C215" t="s">
        <v>405</v>
      </c>
      <c r="D215" t="s">
        <v>1362</v>
      </c>
      <c r="E215" t="s">
        <v>1363</v>
      </c>
      <c r="F215" s="4">
        <v>0</v>
      </c>
      <c r="G215" s="4">
        <v>105000</v>
      </c>
      <c r="H215" s="4">
        <f t="shared" si="7"/>
        <v>105000</v>
      </c>
      <c r="I215" s="4">
        <v>16800</v>
      </c>
      <c r="J215" s="4">
        <f t="shared" si="8"/>
        <v>16800</v>
      </c>
      <c r="K215" s="4">
        <v>0</v>
      </c>
      <c r="L215" s="4">
        <v>121800</v>
      </c>
      <c r="M215" t="s">
        <v>146</v>
      </c>
      <c r="N215" t="s">
        <v>1355</v>
      </c>
      <c r="O215" t="s">
        <v>17</v>
      </c>
    </row>
    <row r="216" spans="1:15" x14ac:dyDescent="0.25">
      <c r="A216" t="s">
        <v>759</v>
      </c>
      <c r="B216" t="s">
        <v>760</v>
      </c>
      <c r="C216" t="s">
        <v>761</v>
      </c>
      <c r="D216" t="s">
        <v>762</v>
      </c>
      <c r="E216" t="s">
        <v>763</v>
      </c>
      <c r="F216" s="4">
        <v>0</v>
      </c>
      <c r="G216" s="4">
        <v>400000</v>
      </c>
      <c r="H216" s="4">
        <f t="shared" si="7"/>
        <v>400000</v>
      </c>
      <c r="I216" s="4">
        <v>64000</v>
      </c>
      <c r="J216" s="4">
        <f t="shared" si="8"/>
        <v>64000</v>
      </c>
      <c r="K216" s="4">
        <v>0</v>
      </c>
      <c r="L216" s="4">
        <v>464000</v>
      </c>
      <c r="M216" t="s">
        <v>146</v>
      </c>
      <c r="N216" t="s">
        <v>764</v>
      </c>
      <c r="O216" t="s">
        <v>17</v>
      </c>
    </row>
    <row r="217" spans="1:15" x14ac:dyDescent="0.25">
      <c r="A217" t="s">
        <v>168</v>
      </c>
      <c r="B217" t="s">
        <v>169</v>
      </c>
      <c r="C217" t="s">
        <v>149</v>
      </c>
      <c r="D217" t="s">
        <v>180</v>
      </c>
      <c r="E217" t="s">
        <v>181</v>
      </c>
      <c r="F217" s="4">
        <v>0</v>
      </c>
      <c r="G217" s="4">
        <v>241900</v>
      </c>
      <c r="H217" s="4">
        <f t="shared" si="7"/>
        <v>241900</v>
      </c>
      <c r="I217" s="4">
        <v>38704</v>
      </c>
      <c r="J217" s="4">
        <f t="shared" si="8"/>
        <v>38704</v>
      </c>
      <c r="K217" s="4">
        <v>0</v>
      </c>
      <c r="L217" s="4">
        <v>280604</v>
      </c>
      <c r="M217" t="s">
        <v>182</v>
      </c>
      <c r="N217" t="s">
        <v>173</v>
      </c>
      <c r="O217" t="s">
        <v>174</v>
      </c>
    </row>
    <row r="218" spans="1:15" x14ac:dyDescent="0.25">
      <c r="A218" t="s">
        <v>995</v>
      </c>
      <c r="B218" t="s">
        <v>996</v>
      </c>
      <c r="C218" t="s">
        <v>149</v>
      </c>
      <c r="D218" t="s">
        <v>1430</v>
      </c>
      <c r="E218" t="s">
        <v>1431</v>
      </c>
      <c r="F218" s="4">
        <v>0</v>
      </c>
      <c r="G218" s="4">
        <v>350000</v>
      </c>
      <c r="H218" s="4">
        <f t="shared" si="7"/>
        <v>350000</v>
      </c>
      <c r="I218" s="4">
        <v>56000</v>
      </c>
      <c r="J218" s="4">
        <f t="shared" si="8"/>
        <v>56000</v>
      </c>
      <c r="K218" s="4">
        <v>0</v>
      </c>
      <c r="L218" s="4">
        <v>406000</v>
      </c>
      <c r="M218" t="s">
        <v>182</v>
      </c>
      <c r="N218" t="s">
        <v>35</v>
      </c>
      <c r="O218" t="s">
        <v>17</v>
      </c>
    </row>
    <row r="219" spans="1:15" x14ac:dyDescent="0.25">
      <c r="A219" t="s">
        <v>535</v>
      </c>
      <c r="B219" t="s">
        <v>536</v>
      </c>
      <c r="C219" t="s">
        <v>126</v>
      </c>
      <c r="D219" t="s">
        <v>768</v>
      </c>
      <c r="E219" t="s">
        <v>769</v>
      </c>
      <c r="F219" s="4">
        <v>0</v>
      </c>
      <c r="G219" s="4">
        <v>600000</v>
      </c>
      <c r="H219" s="4">
        <f t="shared" si="7"/>
        <v>600000</v>
      </c>
      <c r="I219" s="4">
        <v>96000</v>
      </c>
      <c r="J219" s="4">
        <f t="shared" si="8"/>
        <v>96000</v>
      </c>
      <c r="K219" s="4">
        <v>0</v>
      </c>
      <c r="L219" s="4">
        <v>696000</v>
      </c>
      <c r="M219" t="s">
        <v>182</v>
      </c>
      <c r="N219" t="s">
        <v>770</v>
      </c>
      <c r="O219" t="s">
        <v>17</v>
      </c>
    </row>
    <row r="220" spans="1:15" x14ac:dyDescent="0.25">
      <c r="A220" t="s">
        <v>869</v>
      </c>
      <c r="B220" t="s">
        <v>870</v>
      </c>
      <c r="C220" t="s">
        <v>149</v>
      </c>
      <c r="D220" t="s">
        <v>1428</v>
      </c>
      <c r="E220" t="s">
        <v>1429</v>
      </c>
      <c r="F220" s="4">
        <v>0</v>
      </c>
      <c r="G220" s="4">
        <v>1050000</v>
      </c>
      <c r="H220" s="4">
        <f t="shared" si="7"/>
        <v>1050000</v>
      </c>
      <c r="I220" s="4">
        <v>168000</v>
      </c>
      <c r="J220" s="4">
        <f t="shared" si="8"/>
        <v>168000</v>
      </c>
      <c r="K220" s="4">
        <v>0</v>
      </c>
      <c r="L220" s="4">
        <v>1218000</v>
      </c>
      <c r="M220" t="s">
        <v>182</v>
      </c>
      <c r="N220" t="s">
        <v>35</v>
      </c>
      <c r="O220" t="s">
        <v>17</v>
      </c>
    </row>
    <row r="221" spans="1:15" x14ac:dyDescent="0.25">
      <c r="A221" t="s">
        <v>835</v>
      </c>
      <c r="B221" t="s">
        <v>836</v>
      </c>
      <c r="C221" t="s">
        <v>198</v>
      </c>
      <c r="D221" t="s">
        <v>1442</v>
      </c>
      <c r="E221" t="s">
        <v>1443</v>
      </c>
      <c r="F221" s="4">
        <v>0</v>
      </c>
      <c r="G221" s="4">
        <v>670000</v>
      </c>
      <c r="H221" s="4">
        <f t="shared" si="7"/>
        <v>670000</v>
      </c>
      <c r="I221" s="4">
        <v>107200</v>
      </c>
      <c r="J221" s="4">
        <f t="shared" si="8"/>
        <v>107200</v>
      </c>
      <c r="K221" s="4">
        <v>0</v>
      </c>
      <c r="L221" s="4">
        <v>777200</v>
      </c>
      <c r="M221" t="s">
        <v>182</v>
      </c>
      <c r="N221" t="s">
        <v>35</v>
      </c>
      <c r="O221" t="s">
        <v>17</v>
      </c>
    </row>
    <row r="222" spans="1:15" x14ac:dyDescent="0.25">
      <c r="A222" t="s">
        <v>1345</v>
      </c>
      <c r="B222" t="s">
        <v>1346</v>
      </c>
      <c r="C222" t="s">
        <v>143</v>
      </c>
      <c r="D222" t="s">
        <v>1347</v>
      </c>
      <c r="E222" t="s">
        <v>1348</v>
      </c>
      <c r="F222" s="4">
        <v>0</v>
      </c>
      <c r="G222" s="4">
        <v>15000</v>
      </c>
      <c r="H222" s="4">
        <f t="shared" si="7"/>
        <v>15000</v>
      </c>
      <c r="I222" s="4">
        <v>2400</v>
      </c>
      <c r="J222" s="4">
        <f t="shared" si="8"/>
        <v>2400</v>
      </c>
      <c r="K222" s="4">
        <v>0</v>
      </c>
      <c r="L222" s="4">
        <v>17400</v>
      </c>
      <c r="M222" t="s">
        <v>1349</v>
      </c>
      <c r="N222" t="s">
        <v>1350</v>
      </c>
      <c r="O222" t="s">
        <v>17</v>
      </c>
    </row>
    <row r="223" spans="1:15" x14ac:dyDescent="0.25">
      <c r="A223" t="s">
        <v>1246</v>
      </c>
      <c r="B223" t="s">
        <v>1247</v>
      </c>
      <c r="C223" t="s">
        <v>32</v>
      </c>
      <c r="D223" t="s">
        <v>1248</v>
      </c>
      <c r="E223" t="s">
        <v>1249</v>
      </c>
      <c r="F223" s="4">
        <v>0</v>
      </c>
      <c r="G223" s="4">
        <v>0</v>
      </c>
      <c r="H223" s="4">
        <f t="shared" si="7"/>
        <v>0</v>
      </c>
      <c r="I223" s="4">
        <v>0</v>
      </c>
      <c r="J223" s="4">
        <f t="shared" si="8"/>
        <v>0</v>
      </c>
      <c r="K223" s="4">
        <v>0</v>
      </c>
      <c r="L223" s="4">
        <v>0</v>
      </c>
      <c r="M223" t="s">
        <v>146</v>
      </c>
      <c r="N223" t="s">
        <v>1355</v>
      </c>
      <c r="O223" t="s">
        <v>17</v>
      </c>
    </row>
    <row r="224" spans="1:15" x14ac:dyDescent="0.25">
      <c r="A224" t="s">
        <v>221</v>
      </c>
      <c r="B224" t="s">
        <v>222</v>
      </c>
      <c r="C224" t="s">
        <v>149</v>
      </c>
      <c r="D224" t="s">
        <v>223</v>
      </c>
      <c r="E224" t="s">
        <v>224</v>
      </c>
      <c r="F224" s="4">
        <v>0</v>
      </c>
      <c r="G224" s="4">
        <v>820000</v>
      </c>
      <c r="H224" s="4">
        <f t="shared" si="7"/>
        <v>820000</v>
      </c>
      <c r="I224" s="4">
        <v>131200</v>
      </c>
      <c r="J224" s="4">
        <f t="shared" si="8"/>
        <v>131200</v>
      </c>
      <c r="K224" s="4">
        <v>0</v>
      </c>
      <c r="L224" s="4">
        <v>951200</v>
      </c>
      <c r="M224" t="s">
        <v>179</v>
      </c>
      <c r="N224" t="s">
        <v>225</v>
      </c>
      <c r="O224" t="s">
        <v>226</v>
      </c>
    </row>
    <row r="225" spans="1:15" x14ac:dyDescent="0.25">
      <c r="A225" t="s">
        <v>607</v>
      </c>
      <c r="B225" t="s">
        <v>608</v>
      </c>
      <c r="C225" t="s">
        <v>26</v>
      </c>
      <c r="D225" t="s">
        <v>699</v>
      </c>
      <c r="E225" t="s">
        <v>700</v>
      </c>
      <c r="F225" s="4">
        <v>0</v>
      </c>
      <c r="G225" s="4">
        <v>950400</v>
      </c>
      <c r="H225" s="4">
        <f t="shared" si="7"/>
        <v>950400</v>
      </c>
      <c r="I225" s="4">
        <v>152064</v>
      </c>
      <c r="J225" s="4">
        <f t="shared" si="8"/>
        <v>152064</v>
      </c>
      <c r="K225" s="4">
        <v>0</v>
      </c>
      <c r="L225" s="4">
        <v>1102464</v>
      </c>
      <c r="M225" t="s">
        <v>179</v>
      </c>
      <c r="N225" t="s">
        <v>692</v>
      </c>
      <c r="O225" t="s">
        <v>17</v>
      </c>
    </row>
    <row r="226" spans="1:15" x14ac:dyDescent="0.25">
      <c r="A226" t="s">
        <v>835</v>
      </c>
      <c r="B226" t="s">
        <v>836</v>
      </c>
      <c r="C226" t="s">
        <v>71</v>
      </c>
      <c r="D226" t="s">
        <v>1418</v>
      </c>
      <c r="E226" t="s">
        <v>1419</v>
      </c>
      <c r="F226" s="4">
        <v>0</v>
      </c>
      <c r="G226" s="4">
        <v>1305000</v>
      </c>
      <c r="H226" s="4">
        <f t="shared" si="7"/>
        <v>1305000</v>
      </c>
      <c r="I226" s="4">
        <v>208800</v>
      </c>
      <c r="J226" s="4">
        <f t="shared" si="8"/>
        <v>208800</v>
      </c>
      <c r="K226" s="4">
        <v>0</v>
      </c>
      <c r="L226" s="4">
        <v>1513800</v>
      </c>
      <c r="M226" t="s">
        <v>179</v>
      </c>
      <c r="N226" t="s">
        <v>35</v>
      </c>
      <c r="O226" t="s">
        <v>17</v>
      </c>
    </row>
    <row r="227" spans="1:15" x14ac:dyDescent="0.25">
      <c r="A227" t="s">
        <v>688</v>
      </c>
      <c r="B227" t="s">
        <v>689</v>
      </c>
      <c r="C227" t="s">
        <v>40</v>
      </c>
      <c r="D227" t="s">
        <v>709</v>
      </c>
      <c r="E227" t="s">
        <v>710</v>
      </c>
      <c r="F227" s="4">
        <v>0</v>
      </c>
      <c r="G227" s="4">
        <v>908000</v>
      </c>
      <c r="H227" s="4">
        <f t="shared" si="7"/>
        <v>908000</v>
      </c>
      <c r="I227" s="4">
        <v>145280</v>
      </c>
      <c r="J227" s="4">
        <f t="shared" si="8"/>
        <v>145280</v>
      </c>
      <c r="K227" s="4">
        <v>0</v>
      </c>
      <c r="L227" s="4">
        <v>1053280</v>
      </c>
      <c r="M227" t="s">
        <v>179</v>
      </c>
      <c r="N227" t="s">
        <v>692</v>
      </c>
      <c r="O227" t="s">
        <v>17</v>
      </c>
    </row>
    <row r="228" spans="1:15" x14ac:dyDescent="0.25">
      <c r="A228" t="s">
        <v>742</v>
      </c>
      <c r="B228" t="s">
        <v>743</v>
      </c>
      <c r="C228" t="s">
        <v>88</v>
      </c>
      <c r="D228" t="s">
        <v>744</v>
      </c>
      <c r="E228" t="s">
        <v>745</v>
      </c>
      <c r="F228" s="4">
        <v>0</v>
      </c>
      <c r="G228" s="4">
        <v>35000</v>
      </c>
      <c r="H228" s="4">
        <f t="shared" si="7"/>
        <v>35000</v>
      </c>
      <c r="I228" s="4">
        <v>5600</v>
      </c>
      <c r="J228" s="4">
        <f t="shared" si="8"/>
        <v>5600</v>
      </c>
      <c r="K228" s="4">
        <v>0</v>
      </c>
      <c r="L228" s="4">
        <v>40600</v>
      </c>
      <c r="M228" t="s">
        <v>179</v>
      </c>
      <c r="N228" t="s">
        <v>746</v>
      </c>
      <c r="O228" t="s">
        <v>17</v>
      </c>
    </row>
    <row r="229" spans="1:15" x14ac:dyDescent="0.25">
      <c r="A229" t="s">
        <v>1434</v>
      </c>
      <c r="B229" t="s">
        <v>1435</v>
      </c>
      <c r="C229" t="s">
        <v>143</v>
      </c>
      <c r="D229" t="s">
        <v>1436</v>
      </c>
      <c r="E229" t="s">
        <v>1437</v>
      </c>
      <c r="F229" s="4">
        <v>0</v>
      </c>
      <c r="G229" s="4">
        <v>910000</v>
      </c>
      <c r="H229" s="4">
        <f t="shared" si="7"/>
        <v>910000</v>
      </c>
      <c r="I229" s="4">
        <v>145600</v>
      </c>
      <c r="J229" s="4">
        <f t="shared" si="8"/>
        <v>145600</v>
      </c>
      <c r="K229" s="4">
        <v>0</v>
      </c>
      <c r="L229" s="4">
        <v>1055600</v>
      </c>
      <c r="M229" t="s">
        <v>179</v>
      </c>
      <c r="N229" t="s">
        <v>35</v>
      </c>
      <c r="O229" t="s">
        <v>17</v>
      </c>
    </row>
    <row r="230" spans="1:15" x14ac:dyDescent="0.25">
      <c r="A230" t="s">
        <v>513</v>
      </c>
      <c r="B230" t="s">
        <v>514</v>
      </c>
      <c r="C230" t="s">
        <v>143</v>
      </c>
      <c r="D230" t="s">
        <v>515</v>
      </c>
      <c r="E230" t="s">
        <v>516</v>
      </c>
      <c r="F230" s="4">
        <v>0</v>
      </c>
      <c r="G230" s="4">
        <v>140000</v>
      </c>
      <c r="H230" s="4">
        <f t="shared" si="7"/>
        <v>140000</v>
      </c>
      <c r="I230" s="4">
        <v>22400</v>
      </c>
      <c r="J230" s="4">
        <f t="shared" si="8"/>
        <v>22400</v>
      </c>
      <c r="K230" s="4">
        <v>0</v>
      </c>
      <c r="L230" s="4">
        <v>162400</v>
      </c>
      <c r="M230" t="s">
        <v>179</v>
      </c>
      <c r="N230" t="s">
        <v>517</v>
      </c>
      <c r="O230" t="s">
        <v>17</v>
      </c>
    </row>
    <row r="231" spans="1:15" x14ac:dyDescent="0.25">
      <c r="A231" t="s">
        <v>869</v>
      </c>
      <c r="B231" t="s">
        <v>870</v>
      </c>
      <c r="C231" t="s">
        <v>26</v>
      </c>
      <c r="D231" t="s">
        <v>1408</v>
      </c>
      <c r="E231" t="s">
        <v>1409</v>
      </c>
      <c r="F231" s="4">
        <v>0</v>
      </c>
      <c r="G231" s="4">
        <v>1820000</v>
      </c>
      <c r="H231" s="4">
        <f t="shared" si="7"/>
        <v>1820000</v>
      </c>
      <c r="I231" s="4">
        <v>291200</v>
      </c>
      <c r="J231" s="4">
        <f t="shared" si="8"/>
        <v>291200</v>
      </c>
      <c r="K231" s="4">
        <v>0</v>
      </c>
      <c r="L231" s="4">
        <v>2111200</v>
      </c>
      <c r="M231" t="s">
        <v>179</v>
      </c>
      <c r="N231" t="s">
        <v>35</v>
      </c>
      <c r="O231" t="s">
        <v>17</v>
      </c>
    </row>
    <row r="232" spans="1:15" x14ac:dyDescent="0.25">
      <c r="A232" t="s">
        <v>688</v>
      </c>
      <c r="B232" t="s">
        <v>689</v>
      </c>
      <c r="C232" t="s">
        <v>40</v>
      </c>
      <c r="D232" t="s">
        <v>707</v>
      </c>
      <c r="E232" t="s">
        <v>708</v>
      </c>
      <c r="F232" s="4">
        <v>0</v>
      </c>
      <c r="G232" s="4">
        <v>393200</v>
      </c>
      <c r="H232" s="4">
        <f t="shared" si="7"/>
        <v>393200</v>
      </c>
      <c r="I232" s="4">
        <v>62912</v>
      </c>
      <c r="J232" s="4">
        <f t="shared" si="8"/>
        <v>62912</v>
      </c>
      <c r="K232" s="4">
        <v>0</v>
      </c>
      <c r="L232" s="4">
        <v>456112</v>
      </c>
      <c r="M232" t="s">
        <v>553</v>
      </c>
      <c r="N232" t="s">
        <v>692</v>
      </c>
      <c r="O232" t="s">
        <v>17</v>
      </c>
    </row>
    <row r="233" spans="1:15" x14ac:dyDescent="0.25">
      <c r="A233" t="s">
        <v>1015</v>
      </c>
      <c r="B233" t="s">
        <v>1016</v>
      </c>
      <c r="C233" t="s">
        <v>32</v>
      </c>
      <c r="D233" t="s">
        <v>1390</v>
      </c>
      <c r="E233" t="s">
        <v>1391</v>
      </c>
      <c r="F233" s="4">
        <v>0</v>
      </c>
      <c r="G233" s="4">
        <v>350000</v>
      </c>
      <c r="H233" s="4">
        <f t="shared" si="7"/>
        <v>350000</v>
      </c>
      <c r="I233" s="4">
        <v>56000</v>
      </c>
      <c r="J233" s="4">
        <f t="shared" si="8"/>
        <v>56000</v>
      </c>
      <c r="K233" s="4">
        <v>0</v>
      </c>
      <c r="L233" s="4">
        <v>406000</v>
      </c>
      <c r="M233" t="s">
        <v>172</v>
      </c>
      <c r="N233" t="s">
        <v>35</v>
      </c>
      <c r="O233" t="s">
        <v>17</v>
      </c>
    </row>
    <row r="234" spans="1:15" x14ac:dyDescent="0.25">
      <c r="A234" t="s">
        <v>688</v>
      </c>
      <c r="B234" t="s">
        <v>689</v>
      </c>
      <c r="C234" t="s">
        <v>40</v>
      </c>
      <c r="D234" t="s">
        <v>705</v>
      </c>
      <c r="E234" t="s">
        <v>706</v>
      </c>
      <c r="F234" s="4">
        <v>0</v>
      </c>
      <c r="G234" s="4">
        <v>436100</v>
      </c>
      <c r="H234" s="4">
        <f t="shared" si="7"/>
        <v>436100</v>
      </c>
      <c r="I234" s="4">
        <v>69776</v>
      </c>
      <c r="J234" s="4">
        <f t="shared" si="8"/>
        <v>69776</v>
      </c>
      <c r="K234" s="4">
        <v>0</v>
      </c>
      <c r="L234" s="4">
        <v>505876</v>
      </c>
      <c r="M234" t="s">
        <v>172</v>
      </c>
      <c r="N234" t="s">
        <v>692</v>
      </c>
      <c r="O234" t="s">
        <v>17</v>
      </c>
    </row>
    <row r="235" spans="1:15" x14ac:dyDescent="0.25">
      <c r="A235" t="s">
        <v>869</v>
      </c>
      <c r="B235" t="s">
        <v>870</v>
      </c>
      <c r="C235" t="s">
        <v>149</v>
      </c>
      <c r="D235" t="s">
        <v>1426</v>
      </c>
      <c r="E235" t="s">
        <v>1427</v>
      </c>
      <c r="F235" s="4">
        <v>0</v>
      </c>
      <c r="G235" s="4">
        <v>1050000</v>
      </c>
      <c r="H235" s="4">
        <f t="shared" si="7"/>
        <v>1050000</v>
      </c>
      <c r="I235" s="4">
        <v>168000</v>
      </c>
      <c r="J235" s="4">
        <f t="shared" si="8"/>
        <v>168000</v>
      </c>
      <c r="K235" s="4">
        <v>0</v>
      </c>
      <c r="L235" s="4">
        <v>1218000</v>
      </c>
      <c r="M235" t="s">
        <v>172</v>
      </c>
      <c r="N235" t="s">
        <v>35</v>
      </c>
      <c r="O235" t="s">
        <v>17</v>
      </c>
    </row>
    <row r="236" spans="1:15" x14ac:dyDescent="0.25">
      <c r="A236" t="s">
        <v>1020</v>
      </c>
      <c r="B236" t="s">
        <v>1021</v>
      </c>
      <c r="C236" t="s">
        <v>32</v>
      </c>
      <c r="D236" t="s">
        <v>1025</v>
      </c>
      <c r="E236" t="s">
        <v>1026</v>
      </c>
      <c r="F236" s="4">
        <v>0</v>
      </c>
      <c r="G236" s="4">
        <v>390000</v>
      </c>
      <c r="H236" s="4">
        <f t="shared" si="7"/>
        <v>390000</v>
      </c>
      <c r="I236" s="4">
        <v>62400</v>
      </c>
      <c r="J236" s="4">
        <f t="shared" si="8"/>
        <v>62400</v>
      </c>
      <c r="K236" s="4">
        <v>0</v>
      </c>
      <c r="L236" s="4">
        <v>452400</v>
      </c>
      <c r="M236" t="s">
        <v>60</v>
      </c>
      <c r="N236" t="s">
        <v>1024</v>
      </c>
      <c r="O236" t="s">
        <v>17</v>
      </c>
    </row>
    <row r="237" spans="1:15" x14ac:dyDescent="0.25">
      <c r="A237" t="s">
        <v>12</v>
      </c>
      <c r="B237" t="s">
        <v>13</v>
      </c>
      <c r="C237" t="s">
        <v>252</v>
      </c>
      <c r="D237" t="s">
        <v>253</v>
      </c>
      <c r="E237" t="s">
        <v>254</v>
      </c>
      <c r="F237" s="4">
        <v>0</v>
      </c>
      <c r="G237" s="4">
        <v>1722000</v>
      </c>
      <c r="H237" s="4">
        <f t="shared" si="7"/>
        <v>1722000</v>
      </c>
      <c r="I237" s="4">
        <v>275520</v>
      </c>
      <c r="J237" s="4">
        <f t="shared" si="8"/>
        <v>275520</v>
      </c>
      <c r="K237" s="4">
        <v>0</v>
      </c>
      <c r="L237" s="4">
        <v>1997520</v>
      </c>
      <c r="M237" t="s">
        <v>18</v>
      </c>
      <c r="N237" t="s">
        <v>23</v>
      </c>
      <c r="O237" t="s">
        <v>20</v>
      </c>
    </row>
    <row r="238" spans="1:15" x14ac:dyDescent="0.25">
      <c r="A238" t="s">
        <v>12</v>
      </c>
      <c r="B238" t="s">
        <v>13</v>
      </c>
      <c r="C238" t="s">
        <v>32</v>
      </c>
      <c r="D238" t="s">
        <v>293</v>
      </c>
      <c r="E238" t="s">
        <v>294</v>
      </c>
      <c r="F238" s="4">
        <v>0</v>
      </c>
      <c r="G238" s="4">
        <v>4356250</v>
      </c>
      <c r="H238" s="4">
        <f t="shared" si="7"/>
        <v>4356250</v>
      </c>
      <c r="I238" s="4">
        <v>697000</v>
      </c>
      <c r="J238" s="4">
        <f t="shared" si="8"/>
        <v>697000</v>
      </c>
      <c r="K238" s="4">
        <v>0</v>
      </c>
      <c r="L238" s="4">
        <v>5053250</v>
      </c>
      <c r="M238" t="s">
        <v>18</v>
      </c>
      <c r="N238" t="s">
        <v>19</v>
      </c>
      <c r="O238" t="s">
        <v>20</v>
      </c>
    </row>
    <row r="239" spans="1:15" x14ac:dyDescent="0.25">
      <c r="A239" t="s">
        <v>12</v>
      </c>
      <c r="B239" t="s">
        <v>13</v>
      </c>
      <c r="C239" t="s">
        <v>26</v>
      </c>
      <c r="D239" t="s">
        <v>295</v>
      </c>
      <c r="E239" t="s">
        <v>296</v>
      </c>
      <c r="F239" s="4">
        <v>0</v>
      </c>
      <c r="G239" s="4">
        <v>1640000</v>
      </c>
      <c r="H239" s="4">
        <f t="shared" si="7"/>
        <v>1640000</v>
      </c>
      <c r="I239" s="4">
        <v>262400</v>
      </c>
      <c r="J239" s="4">
        <f t="shared" si="8"/>
        <v>262400</v>
      </c>
      <c r="K239" s="4">
        <v>0</v>
      </c>
      <c r="L239" s="4">
        <v>1902400</v>
      </c>
      <c r="M239" t="s">
        <v>18</v>
      </c>
      <c r="N239" t="s">
        <v>19</v>
      </c>
      <c r="O239" t="s">
        <v>20</v>
      </c>
    </row>
    <row r="240" spans="1:15" x14ac:dyDescent="0.25">
      <c r="A240" t="s">
        <v>24</v>
      </c>
      <c r="B240" t="s">
        <v>25</v>
      </c>
      <c r="C240" t="s">
        <v>14</v>
      </c>
      <c r="D240" t="s">
        <v>261</v>
      </c>
      <c r="E240" t="s">
        <v>262</v>
      </c>
      <c r="F240" s="4">
        <v>0</v>
      </c>
      <c r="G240" s="4">
        <v>1476000</v>
      </c>
      <c r="H240" s="4">
        <f t="shared" si="7"/>
        <v>1476000</v>
      </c>
      <c r="I240" s="4">
        <v>236160</v>
      </c>
      <c r="J240" s="4">
        <f t="shared" si="8"/>
        <v>236160</v>
      </c>
      <c r="K240" s="4">
        <v>0</v>
      </c>
      <c r="L240" s="4">
        <v>1712160</v>
      </c>
      <c r="M240" t="s">
        <v>18</v>
      </c>
      <c r="N240" t="s">
        <v>23</v>
      </c>
      <c r="O240" t="s">
        <v>140</v>
      </c>
    </row>
    <row r="241" spans="1:15" x14ac:dyDescent="0.25">
      <c r="A241" t="s">
        <v>119</v>
      </c>
      <c r="B241" t="s">
        <v>120</v>
      </c>
      <c r="C241" t="s">
        <v>88</v>
      </c>
      <c r="D241" t="s">
        <v>307</v>
      </c>
      <c r="E241" t="s">
        <v>308</v>
      </c>
      <c r="F241" s="4">
        <v>0</v>
      </c>
      <c r="G241" s="4">
        <v>2091000</v>
      </c>
      <c r="H241" s="4">
        <f t="shared" si="7"/>
        <v>2091000</v>
      </c>
      <c r="I241" s="4">
        <v>334560</v>
      </c>
      <c r="J241" s="4">
        <f t="shared" si="8"/>
        <v>334560</v>
      </c>
      <c r="K241" s="4">
        <v>0</v>
      </c>
      <c r="L241" s="4">
        <v>2425560</v>
      </c>
      <c r="M241" t="s">
        <v>18</v>
      </c>
      <c r="N241" t="s">
        <v>305</v>
      </c>
      <c r="O241" t="s">
        <v>306</v>
      </c>
    </row>
    <row r="242" spans="1:15" x14ac:dyDescent="0.25">
      <c r="A242" t="s">
        <v>119</v>
      </c>
      <c r="B242" t="s">
        <v>120</v>
      </c>
      <c r="C242" t="s">
        <v>32</v>
      </c>
      <c r="D242" t="s">
        <v>309</v>
      </c>
      <c r="E242" t="s">
        <v>310</v>
      </c>
      <c r="F242" s="4">
        <v>0</v>
      </c>
      <c r="G242" s="4">
        <v>2091000</v>
      </c>
      <c r="H242" s="4">
        <f t="shared" si="7"/>
        <v>2091000</v>
      </c>
      <c r="I242" s="4">
        <v>334560</v>
      </c>
      <c r="J242" s="4">
        <f t="shared" si="8"/>
        <v>334560</v>
      </c>
      <c r="K242" s="4">
        <v>0</v>
      </c>
      <c r="L242" s="4">
        <v>2425560</v>
      </c>
      <c r="M242" t="s">
        <v>18</v>
      </c>
      <c r="N242" t="s">
        <v>311</v>
      </c>
      <c r="O242" t="s">
        <v>306</v>
      </c>
    </row>
    <row r="243" spans="1:15" x14ac:dyDescent="0.25">
      <c r="A243" t="s">
        <v>119</v>
      </c>
      <c r="B243" t="s">
        <v>120</v>
      </c>
      <c r="C243" t="s">
        <v>26</v>
      </c>
      <c r="D243" t="s">
        <v>303</v>
      </c>
      <c r="E243" t="s">
        <v>304</v>
      </c>
      <c r="F243" s="4">
        <v>0</v>
      </c>
      <c r="G243" s="4">
        <v>697000</v>
      </c>
      <c r="H243" s="4">
        <f t="shared" si="7"/>
        <v>697000</v>
      </c>
      <c r="I243" s="4">
        <v>111520</v>
      </c>
      <c r="J243" s="4">
        <f t="shared" si="8"/>
        <v>111520</v>
      </c>
      <c r="K243" s="4">
        <v>0</v>
      </c>
      <c r="L243" s="4">
        <v>808520</v>
      </c>
      <c r="M243" t="s">
        <v>18</v>
      </c>
      <c r="N243" t="s">
        <v>305</v>
      </c>
      <c r="O243" t="s">
        <v>306</v>
      </c>
    </row>
    <row r="244" spans="1:15" x14ac:dyDescent="0.25">
      <c r="A244" t="s">
        <v>957</v>
      </c>
      <c r="B244" t="s">
        <v>958</v>
      </c>
      <c r="C244" t="s">
        <v>32</v>
      </c>
      <c r="D244" t="s">
        <v>1029</v>
      </c>
      <c r="E244" t="s">
        <v>1030</v>
      </c>
      <c r="F244" s="4">
        <v>0</v>
      </c>
      <c r="G244" s="4">
        <v>4500000</v>
      </c>
      <c r="H244" s="4">
        <f t="shared" si="7"/>
        <v>4500000</v>
      </c>
      <c r="I244" s="4">
        <v>720000</v>
      </c>
      <c r="J244" s="4">
        <f t="shared" si="8"/>
        <v>720000</v>
      </c>
      <c r="K244" s="4">
        <v>0</v>
      </c>
      <c r="L244" s="4">
        <v>5220000</v>
      </c>
      <c r="M244" t="s">
        <v>18</v>
      </c>
      <c r="N244" t="s">
        <v>1031</v>
      </c>
      <c r="O244" t="s">
        <v>17</v>
      </c>
    </row>
    <row r="245" spans="1:15" x14ac:dyDescent="0.25">
      <c r="A245" t="s">
        <v>1215</v>
      </c>
      <c r="B245" t="s">
        <v>1216</v>
      </c>
      <c r="C245" t="s">
        <v>121</v>
      </c>
      <c r="D245" t="s">
        <v>1217</v>
      </c>
      <c r="E245" t="s">
        <v>1218</v>
      </c>
      <c r="F245" s="4">
        <v>0</v>
      </c>
      <c r="G245" s="4">
        <v>490000</v>
      </c>
      <c r="H245" s="4">
        <f t="shared" si="7"/>
        <v>490000</v>
      </c>
      <c r="I245" s="4">
        <v>78400</v>
      </c>
      <c r="J245" s="4">
        <f t="shared" si="8"/>
        <v>78400</v>
      </c>
      <c r="K245" s="4">
        <v>0</v>
      </c>
      <c r="L245" s="4">
        <v>568400</v>
      </c>
      <c r="M245" t="s">
        <v>18</v>
      </c>
      <c r="N245" t="s">
        <v>1214</v>
      </c>
      <c r="O245" t="s">
        <v>1219</v>
      </c>
    </row>
    <row r="246" spans="1:15" x14ac:dyDescent="0.25">
      <c r="A246" t="s">
        <v>957</v>
      </c>
      <c r="B246" t="s">
        <v>958</v>
      </c>
      <c r="C246" t="s">
        <v>32</v>
      </c>
      <c r="D246" t="s">
        <v>959</v>
      </c>
      <c r="E246" t="s">
        <v>960</v>
      </c>
      <c r="F246" s="4">
        <v>0</v>
      </c>
      <c r="G246" s="4">
        <v>1100000</v>
      </c>
      <c r="H246" s="4">
        <f t="shared" si="7"/>
        <v>1100000</v>
      </c>
      <c r="I246" s="4">
        <v>176000</v>
      </c>
      <c r="J246" s="4">
        <f t="shared" si="8"/>
        <v>176000</v>
      </c>
      <c r="K246" s="4">
        <v>0</v>
      </c>
      <c r="L246" s="4">
        <v>1276000</v>
      </c>
      <c r="M246" t="s">
        <v>60</v>
      </c>
      <c r="N246" t="s">
        <v>277</v>
      </c>
      <c r="O246" t="s">
        <v>17</v>
      </c>
    </row>
    <row r="247" spans="1:15" x14ac:dyDescent="0.25">
      <c r="A247" t="s">
        <v>1089</v>
      </c>
      <c r="B247" t="s">
        <v>1090</v>
      </c>
      <c r="C247" t="s">
        <v>32</v>
      </c>
      <c r="D247" t="s">
        <v>1162</v>
      </c>
      <c r="E247" t="s">
        <v>1163</v>
      </c>
      <c r="F247" s="4">
        <v>0</v>
      </c>
      <c r="G247" s="4">
        <v>220500</v>
      </c>
      <c r="H247" s="4">
        <f t="shared" si="7"/>
        <v>220500</v>
      </c>
      <c r="I247" s="4">
        <v>35280</v>
      </c>
      <c r="J247" s="4">
        <f t="shared" si="8"/>
        <v>35280</v>
      </c>
      <c r="K247" s="4">
        <v>0</v>
      </c>
      <c r="L247" s="4">
        <v>255780</v>
      </c>
      <c r="M247" t="s">
        <v>60</v>
      </c>
      <c r="N247" t="s">
        <v>331</v>
      </c>
      <c r="O247" t="s">
        <v>17</v>
      </c>
    </row>
    <row r="248" spans="1:15" x14ac:dyDescent="0.25">
      <c r="A248" t="s">
        <v>861</v>
      </c>
      <c r="B248" t="s">
        <v>862</v>
      </c>
      <c r="C248" t="s">
        <v>26</v>
      </c>
      <c r="D248" t="s">
        <v>889</v>
      </c>
      <c r="E248" t="s">
        <v>890</v>
      </c>
      <c r="F248" s="4">
        <v>0</v>
      </c>
      <c r="G248" s="4">
        <v>350000</v>
      </c>
      <c r="H248" s="4">
        <f t="shared" si="7"/>
        <v>350000</v>
      </c>
      <c r="I248" s="4">
        <v>56000</v>
      </c>
      <c r="J248" s="4">
        <f t="shared" si="8"/>
        <v>56000</v>
      </c>
      <c r="K248" s="4">
        <v>0</v>
      </c>
      <c r="L248" s="4">
        <v>406000</v>
      </c>
      <c r="M248" t="s">
        <v>60</v>
      </c>
      <c r="N248" t="s">
        <v>23</v>
      </c>
      <c r="O248" t="s">
        <v>17</v>
      </c>
    </row>
    <row r="249" spans="1:15" x14ac:dyDescent="0.25">
      <c r="A249" t="s">
        <v>667</v>
      </c>
      <c r="B249" t="s">
        <v>668</v>
      </c>
      <c r="C249" t="s">
        <v>32</v>
      </c>
      <c r="D249" t="s">
        <v>1049</v>
      </c>
      <c r="E249" t="s">
        <v>1050</v>
      </c>
      <c r="F249" s="4">
        <v>0</v>
      </c>
      <c r="G249" s="4">
        <v>800000</v>
      </c>
      <c r="H249" s="4">
        <f t="shared" si="7"/>
        <v>800000</v>
      </c>
      <c r="I249" s="4">
        <v>128000</v>
      </c>
      <c r="J249" s="4">
        <f t="shared" si="8"/>
        <v>128000</v>
      </c>
      <c r="K249" s="4">
        <v>0</v>
      </c>
      <c r="L249" s="4">
        <v>928000</v>
      </c>
      <c r="M249" t="s">
        <v>60</v>
      </c>
      <c r="N249" t="s">
        <v>311</v>
      </c>
      <c r="O249" t="s">
        <v>17</v>
      </c>
    </row>
    <row r="250" spans="1:15" x14ac:dyDescent="0.25">
      <c r="A250" t="s">
        <v>1073</v>
      </c>
      <c r="B250" t="s">
        <v>1074</v>
      </c>
      <c r="C250" t="s">
        <v>71</v>
      </c>
      <c r="D250" t="s">
        <v>1075</v>
      </c>
      <c r="E250" t="s">
        <v>1076</v>
      </c>
      <c r="F250" s="4">
        <v>0</v>
      </c>
      <c r="G250" s="4">
        <v>250000</v>
      </c>
      <c r="H250" s="4">
        <f t="shared" si="7"/>
        <v>250000</v>
      </c>
      <c r="I250" s="4">
        <v>40000</v>
      </c>
      <c r="J250" s="4">
        <f t="shared" si="8"/>
        <v>40000</v>
      </c>
      <c r="K250" s="4">
        <v>0</v>
      </c>
      <c r="L250" s="4">
        <v>290000</v>
      </c>
      <c r="M250" t="s">
        <v>60</v>
      </c>
      <c r="N250" t="s">
        <v>311</v>
      </c>
      <c r="O250" t="s">
        <v>17</v>
      </c>
    </row>
    <row r="251" spans="1:15" x14ac:dyDescent="0.25">
      <c r="A251" t="s">
        <v>953</v>
      </c>
      <c r="B251" t="s">
        <v>954</v>
      </c>
      <c r="C251" t="s">
        <v>32</v>
      </c>
      <c r="D251" t="s">
        <v>955</v>
      </c>
      <c r="E251" t="s">
        <v>956</v>
      </c>
      <c r="F251" s="4">
        <v>0</v>
      </c>
      <c r="G251" s="4">
        <v>600000</v>
      </c>
      <c r="H251" s="4">
        <f t="shared" si="7"/>
        <v>600000</v>
      </c>
      <c r="I251" s="4">
        <v>96000</v>
      </c>
      <c r="J251" s="4">
        <f t="shared" si="8"/>
        <v>96000</v>
      </c>
      <c r="K251" s="4">
        <v>0</v>
      </c>
      <c r="L251" s="4">
        <v>696000</v>
      </c>
      <c r="M251" t="s">
        <v>60</v>
      </c>
      <c r="N251" t="s">
        <v>277</v>
      </c>
      <c r="O251" t="s">
        <v>17</v>
      </c>
    </row>
    <row r="252" spans="1:15" x14ac:dyDescent="0.25">
      <c r="A252" t="s">
        <v>788</v>
      </c>
      <c r="B252" t="s">
        <v>789</v>
      </c>
      <c r="C252" t="s">
        <v>71</v>
      </c>
      <c r="D252" t="s">
        <v>1071</v>
      </c>
      <c r="E252" t="s">
        <v>1072</v>
      </c>
      <c r="F252" s="4">
        <v>0</v>
      </c>
      <c r="G252" s="4">
        <v>250000</v>
      </c>
      <c r="H252" s="4">
        <f t="shared" si="7"/>
        <v>250000</v>
      </c>
      <c r="I252" s="4">
        <v>40000</v>
      </c>
      <c r="J252" s="4">
        <f t="shared" si="8"/>
        <v>40000</v>
      </c>
      <c r="K252" s="4">
        <v>0</v>
      </c>
      <c r="L252" s="4">
        <v>290000</v>
      </c>
      <c r="M252" t="s">
        <v>60</v>
      </c>
      <c r="N252" t="s">
        <v>311</v>
      </c>
      <c r="O252" t="s">
        <v>17</v>
      </c>
    </row>
    <row r="253" spans="1:15" x14ac:dyDescent="0.25">
      <c r="A253" t="s">
        <v>1045</v>
      </c>
      <c r="B253" t="s">
        <v>1046</v>
      </c>
      <c r="C253" t="s">
        <v>252</v>
      </c>
      <c r="D253" t="s">
        <v>1081</v>
      </c>
      <c r="E253" t="s">
        <v>1082</v>
      </c>
      <c r="F253" s="4">
        <v>0</v>
      </c>
      <c r="G253" s="4">
        <v>245000</v>
      </c>
      <c r="H253" s="4">
        <f t="shared" si="7"/>
        <v>245000</v>
      </c>
      <c r="I253" s="4">
        <v>39200</v>
      </c>
      <c r="J253" s="4">
        <f t="shared" si="8"/>
        <v>39200</v>
      </c>
      <c r="K253" s="4">
        <v>0</v>
      </c>
      <c r="L253" s="4">
        <v>284200</v>
      </c>
      <c r="M253" t="s">
        <v>60</v>
      </c>
      <c r="N253" t="s">
        <v>311</v>
      </c>
      <c r="O253" t="s">
        <v>17</v>
      </c>
    </row>
    <row r="254" spans="1:15" x14ac:dyDescent="0.25">
      <c r="A254" t="s">
        <v>979</v>
      </c>
      <c r="B254" t="s">
        <v>980</v>
      </c>
      <c r="C254" t="s">
        <v>26</v>
      </c>
      <c r="D254" t="s">
        <v>981</v>
      </c>
      <c r="E254" t="s">
        <v>982</v>
      </c>
      <c r="F254" s="4">
        <v>0</v>
      </c>
      <c r="G254" s="4">
        <v>350000</v>
      </c>
      <c r="H254" s="4">
        <f t="shared" si="7"/>
        <v>350000</v>
      </c>
      <c r="I254" s="4">
        <v>56000</v>
      </c>
      <c r="J254" s="4">
        <f t="shared" si="8"/>
        <v>56000</v>
      </c>
      <c r="K254" s="4">
        <v>0</v>
      </c>
      <c r="L254" s="4">
        <v>406000</v>
      </c>
      <c r="M254" t="s">
        <v>60</v>
      </c>
      <c r="N254" t="s">
        <v>277</v>
      </c>
      <c r="O254" t="s">
        <v>17</v>
      </c>
    </row>
    <row r="255" spans="1:15" x14ac:dyDescent="0.25">
      <c r="A255" t="s">
        <v>792</v>
      </c>
      <c r="B255" t="s">
        <v>793</v>
      </c>
      <c r="C255" t="s">
        <v>81</v>
      </c>
      <c r="D255" t="s">
        <v>961</v>
      </c>
      <c r="E255" t="s">
        <v>962</v>
      </c>
      <c r="F255" s="4">
        <v>0</v>
      </c>
      <c r="G255" s="4">
        <v>350000</v>
      </c>
      <c r="H255" s="4">
        <f t="shared" si="7"/>
        <v>350000</v>
      </c>
      <c r="I255" s="4">
        <v>56000</v>
      </c>
      <c r="J255" s="4">
        <f t="shared" si="8"/>
        <v>56000</v>
      </c>
      <c r="K255" s="4">
        <v>0</v>
      </c>
      <c r="L255" s="4">
        <v>406000</v>
      </c>
      <c r="M255" t="s">
        <v>60</v>
      </c>
      <c r="N255" t="s">
        <v>277</v>
      </c>
      <c r="O255" t="s">
        <v>17</v>
      </c>
    </row>
    <row r="256" spans="1:15" x14ac:dyDescent="0.25">
      <c r="A256" t="s">
        <v>967</v>
      </c>
      <c r="B256" t="s">
        <v>968</v>
      </c>
      <c r="C256" t="s">
        <v>26</v>
      </c>
      <c r="D256" t="s">
        <v>1063</v>
      </c>
      <c r="E256" t="s">
        <v>1064</v>
      </c>
      <c r="F256" s="4">
        <v>0</v>
      </c>
      <c r="G256" s="4">
        <v>250000</v>
      </c>
      <c r="H256" s="4">
        <f t="shared" si="7"/>
        <v>250000</v>
      </c>
      <c r="I256" s="4">
        <v>40000</v>
      </c>
      <c r="J256" s="4">
        <f t="shared" si="8"/>
        <v>40000</v>
      </c>
      <c r="K256" s="4">
        <v>0</v>
      </c>
      <c r="L256" s="4">
        <v>290000</v>
      </c>
      <c r="M256" t="s">
        <v>60</v>
      </c>
      <c r="N256" t="s">
        <v>311</v>
      </c>
      <c r="O256" t="s">
        <v>17</v>
      </c>
    </row>
    <row r="257" spans="1:15" x14ac:dyDescent="0.25">
      <c r="A257" t="s">
        <v>1045</v>
      </c>
      <c r="B257" t="s">
        <v>1046</v>
      </c>
      <c r="C257" t="s">
        <v>32</v>
      </c>
      <c r="D257" t="s">
        <v>1047</v>
      </c>
      <c r="E257" t="s">
        <v>1048</v>
      </c>
      <c r="F257" s="4">
        <v>0</v>
      </c>
      <c r="G257" s="4">
        <v>350000</v>
      </c>
      <c r="H257" s="4">
        <f t="shared" si="7"/>
        <v>350000</v>
      </c>
      <c r="I257" s="4">
        <v>56000</v>
      </c>
      <c r="J257" s="4">
        <f t="shared" si="8"/>
        <v>56000</v>
      </c>
      <c r="K257" s="4">
        <v>0</v>
      </c>
      <c r="L257" s="4">
        <v>406000</v>
      </c>
      <c r="M257" t="s">
        <v>60</v>
      </c>
      <c r="N257" t="s">
        <v>311</v>
      </c>
      <c r="O257" t="s">
        <v>17</v>
      </c>
    </row>
    <row r="258" spans="1:15" x14ac:dyDescent="0.25">
      <c r="A258" t="s">
        <v>963</v>
      </c>
      <c r="B258" t="s">
        <v>964</v>
      </c>
      <c r="C258" t="s">
        <v>85</v>
      </c>
      <c r="D258" t="s">
        <v>965</v>
      </c>
      <c r="E258" t="s">
        <v>966</v>
      </c>
      <c r="F258" s="4">
        <v>0</v>
      </c>
      <c r="G258" s="4">
        <v>325000</v>
      </c>
      <c r="H258" s="4">
        <f t="shared" si="7"/>
        <v>325000</v>
      </c>
      <c r="I258" s="4">
        <v>52000</v>
      </c>
      <c r="J258" s="4">
        <f t="shared" si="8"/>
        <v>52000</v>
      </c>
      <c r="K258" s="4">
        <v>0</v>
      </c>
      <c r="L258" s="4">
        <v>377000</v>
      </c>
      <c r="M258" t="s">
        <v>60</v>
      </c>
      <c r="N258" t="s">
        <v>277</v>
      </c>
      <c r="O258" t="s">
        <v>17</v>
      </c>
    </row>
    <row r="259" spans="1:15" x14ac:dyDescent="0.25">
      <c r="A259" t="s">
        <v>1051</v>
      </c>
      <c r="B259" t="s">
        <v>1052</v>
      </c>
      <c r="C259" t="s">
        <v>81</v>
      </c>
      <c r="D259" t="s">
        <v>1053</v>
      </c>
      <c r="E259" t="s">
        <v>1054</v>
      </c>
      <c r="F259" s="4">
        <v>0</v>
      </c>
      <c r="G259" s="4">
        <v>260000</v>
      </c>
      <c r="H259" s="4">
        <f t="shared" si="7"/>
        <v>260000</v>
      </c>
      <c r="I259" s="4">
        <v>41600</v>
      </c>
      <c r="J259" s="4">
        <f t="shared" si="8"/>
        <v>41600</v>
      </c>
      <c r="K259" s="4">
        <v>0</v>
      </c>
      <c r="L259" s="4">
        <v>301600</v>
      </c>
      <c r="M259" t="s">
        <v>60</v>
      </c>
      <c r="N259" t="s">
        <v>311</v>
      </c>
      <c r="O259" t="s">
        <v>17</v>
      </c>
    </row>
    <row r="260" spans="1:15" x14ac:dyDescent="0.25">
      <c r="A260" t="s">
        <v>595</v>
      </c>
      <c r="B260" t="s">
        <v>596</v>
      </c>
      <c r="C260" t="s">
        <v>26</v>
      </c>
      <c r="D260" t="s">
        <v>600</v>
      </c>
      <c r="E260" t="s">
        <v>601</v>
      </c>
      <c r="F260" s="4">
        <v>0</v>
      </c>
      <c r="G260" s="4">
        <v>400000</v>
      </c>
      <c r="H260" s="4">
        <f t="shared" ref="H260:H323" si="9">F260+G260</f>
        <v>400000</v>
      </c>
      <c r="I260" s="4">
        <v>64000</v>
      </c>
      <c r="J260" s="4">
        <f t="shared" ref="J260:J323" si="10">H260*0.16</f>
        <v>64000</v>
      </c>
      <c r="K260" s="4">
        <v>0</v>
      </c>
      <c r="L260" s="4">
        <v>464000</v>
      </c>
      <c r="M260" t="s">
        <v>60</v>
      </c>
      <c r="N260" t="s">
        <v>602</v>
      </c>
      <c r="O260" t="s">
        <v>17</v>
      </c>
    </row>
    <row r="261" spans="1:15" x14ac:dyDescent="0.25">
      <c r="A261" t="s">
        <v>781</v>
      </c>
      <c r="B261" t="s">
        <v>782</v>
      </c>
      <c r="C261" t="s">
        <v>783</v>
      </c>
      <c r="D261" t="s">
        <v>784</v>
      </c>
      <c r="E261" t="s">
        <v>785</v>
      </c>
      <c r="F261" s="4">
        <v>0</v>
      </c>
      <c r="G261" s="4">
        <v>150000</v>
      </c>
      <c r="H261" s="4">
        <f t="shared" si="9"/>
        <v>150000</v>
      </c>
      <c r="I261" s="4">
        <v>24000</v>
      </c>
      <c r="J261" s="4">
        <f t="shared" si="10"/>
        <v>24000</v>
      </c>
      <c r="K261" s="4">
        <v>0</v>
      </c>
      <c r="L261" s="4">
        <v>174000</v>
      </c>
      <c r="M261" t="s">
        <v>60</v>
      </c>
      <c r="N261" t="s">
        <v>780</v>
      </c>
      <c r="O261" t="s">
        <v>17</v>
      </c>
    </row>
    <row r="262" spans="1:15" x14ac:dyDescent="0.25">
      <c r="A262" t="s">
        <v>1174</v>
      </c>
      <c r="B262" t="s">
        <v>1175</v>
      </c>
      <c r="C262" t="s">
        <v>71</v>
      </c>
      <c r="D262" t="s">
        <v>1176</v>
      </c>
      <c r="E262" t="s">
        <v>1177</v>
      </c>
      <c r="F262" s="4">
        <v>0</v>
      </c>
      <c r="G262" s="4">
        <v>220500</v>
      </c>
      <c r="H262" s="4">
        <f t="shared" si="9"/>
        <v>220500</v>
      </c>
      <c r="I262" s="4">
        <v>35280</v>
      </c>
      <c r="J262" s="4">
        <f t="shared" si="10"/>
        <v>35280</v>
      </c>
      <c r="K262" s="4">
        <v>0</v>
      </c>
      <c r="L262" s="4">
        <v>255780</v>
      </c>
      <c r="M262" t="s">
        <v>60</v>
      </c>
      <c r="N262" t="s">
        <v>331</v>
      </c>
      <c r="O262" t="s">
        <v>17</v>
      </c>
    </row>
    <row r="263" spans="1:15" x14ac:dyDescent="0.25">
      <c r="A263" t="s">
        <v>1059</v>
      </c>
      <c r="B263" t="s">
        <v>1060</v>
      </c>
      <c r="C263" t="s">
        <v>26</v>
      </c>
      <c r="D263" t="s">
        <v>1061</v>
      </c>
      <c r="E263" t="s">
        <v>1062</v>
      </c>
      <c r="F263" s="4">
        <v>0</v>
      </c>
      <c r="G263" s="4">
        <v>250000</v>
      </c>
      <c r="H263" s="4">
        <f t="shared" si="9"/>
        <v>250000</v>
      </c>
      <c r="I263" s="4">
        <v>40000</v>
      </c>
      <c r="J263" s="4">
        <f t="shared" si="10"/>
        <v>40000</v>
      </c>
      <c r="K263" s="4">
        <v>0</v>
      </c>
      <c r="L263" s="4">
        <v>290000</v>
      </c>
      <c r="M263" t="s">
        <v>60</v>
      </c>
      <c r="N263" t="s">
        <v>311</v>
      </c>
      <c r="O263" t="s">
        <v>17</v>
      </c>
    </row>
    <row r="264" spans="1:15" x14ac:dyDescent="0.25">
      <c r="A264" t="s">
        <v>611</v>
      </c>
      <c r="B264" t="s">
        <v>612</v>
      </c>
      <c r="C264" t="s">
        <v>32</v>
      </c>
      <c r="D264" t="s">
        <v>613</v>
      </c>
      <c r="E264" t="s">
        <v>614</v>
      </c>
      <c r="F264" s="4">
        <v>0</v>
      </c>
      <c r="G264" s="4">
        <v>680000</v>
      </c>
      <c r="H264" s="4">
        <f t="shared" si="9"/>
        <v>680000</v>
      </c>
      <c r="I264" s="4">
        <v>108800</v>
      </c>
      <c r="J264" s="4">
        <f t="shared" si="10"/>
        <v>108800</v>
      </c>
      <c r="K264" s="4">
        <v>0</v>
      </c>
      <c r="L264" s="4">
        <v>788800</v>
      </c>
      <c r="M264" t="s">
        <v>60</v>
      </c>
      <c r="N264" t="s">
        <v>615</v>
      </c>
      <c r="O264" t="s">
        <v>17</v>
      </c>
    </row>
    <row r="265" spans="1:15" x14ac:dyDescent="0.25">
      <c r="A265" t="s">
        <v>620</v>
      </c>
      <c r="B265" t="s">
        <v>621</v>
      </c>
      <c r="C265" t="s">
        <v>81</v>
      </c>
      <c r="D265" t="s">
        <v>622</v>
      </c>
      <c r="E265" t="s">
        <v>623</v>
      </c>
      <c r="F265" s="4">
        <v>0</v>
      </c>
      <c r="G265" s="4">
        <v>80000</v>
      </c>
      <c r="H265" s="4">
        <f t="shared" si="9"/>
        <v>80000</v>
      </c>
      <c r="I265" s="4">
        <v>12800</v>
      </c>
      <c r="J265" s="4">
        <f t="shared" si="10"/>
        <v>12800</v>
      </c>
      <c r="K265" s="4">
        <v>0</v>
      </c>
      <c r="L265" s="4">
        <v>92800</v>
      </c>
      <c r="M265" t="s">
        <v>60</v>
      </c>
      <c r="N265" t="s">
        <v>624</v>
      </c>
      <c r="O265" t="s">
        <v>17</v>
      </c>
    </row>
    <row r="266" spans="1:15" x14ac:dyDescent="0.25">
      <c r="A266" t="s">
        <v>1077</v>
      </c>
      <c r="B266" t="s">
        <v>1078</v>
      </c>
      <c r="C266" t="s">
        <v>88</v>
      </c>
      <c r="D266" t="s">
        <v>1079</v>
      </c>
      <c r="E266" t="s">
        <v>1080</v>
      </c>
      <c r="F266" s="4">
        <v>0</v>
      </c>
      <c r="G266" s="4">
        <v>245000</v>
      </c>
      <c r="H266" s="4">
        <f t="shared" si="9"/>
        <v>245000</v>
      </c>
      <c r="I266" s="4">
        <v>39200</v>
      </c>
      <c r="J266" s="4">
        <f t="shared" si="10"/>
        <v>39200</v>
      </c>
      <c r="K266" s="4">
        <v>0</v>
      </c>
      <c r="L266" s="4">
        <v>284200</v>
      </c>
      <c r="M266" t="s">
        <v>60</v>
      </c>
      <c r="N266" t="s">
        <v>311</v>
      </c>
      <c r="O266" t="s">
        <v>17</v>
      </c>
    </row>
    <row r="267" spans="1:15" x14ac:dyDescent="0.25">
      <c r="A267" t="s">
        <v>1041</v>
      </c>
      <c r="B267" t="s">
        <v>1042</v>
      </c>
      <c r="C267" t="s">
        <v>32</v>
      </c>
      <c r="D267" t="s">
        <v>1043</v>
      </c>
      <c r="E267" t="s">
        <v>1044</v>
      </c>
      <c r="F267" s="4">
        <v>0</v>
      </c>
      <c r="G267" s="4">
        <v>350000</v>
      </c>
      <c r="H267" s="4">
        <f t="shared" si="9"/>
        <v>350000</v>
      </c>
      <c r="I267" s="4">
        <v>56000</v>
      </c>
      <c r="J267" s="4">
        <f t="shared" si="10"/>
        <v>56000</v>
      </c>
      <c r="K267" s="4">
        <v>0</v>
      </c>
      <c r="L267" s="4">
        <v>406000</v>
      </c>
      <c r="M267" t="s">
        <v>60</v>
      </c>
      <c r="N267" t="s">
        <v>311</v>
      </c>
      <c r="O267" t="s">
        <v>17</v>
      </c>
    </row>
    <row r="268" spans="1:15" x14ac:dyDescent="0.25">
      <c r="A268" t="s">
        <v>1293</v>
      </c>
      <c r="B268" t="s">
        <v>1294</v>
      </c>
      <c r="C268" t="s">
        <v>121</v>
      </c>
      <c r="D268" t="s">
        <v>1298</v>
      </c>
      <c r="E268" t="s">
        <v>1299</v>
      </c>
      <c r="F268" s="4">
        <v>0</v>
      </c>
      <c r="G268" s="4">
        <v>300000</v>
      </c>
      <c r="H268" s="4">
        <f t="shared" si="9"/>
        <v>300000</v>
      </c>
      <c r="I268" s="4">
        <v>48000</v>
      </c>
      <c r="J268" s="4">
        <f t="shared" si="10"/>
        <v>48000</v>
      </c>
      <c r="K268" s="4">
        <v>0</v>
      </c>
      <c r="L268" s="4">
        <v>348000</v>
      </c>
      <c r="M268" t="s">
        <v>60</v>
      </c>
      <c r="N268" t="s">
        <v>1297</v>
      </c>
      <c r="O268" t="s">
        <v>17</v>
      </c>
    </row>
    <row r="269" spans="1:15" x14ac:dyDescent="0.25">
      <c r="A269" t="s">
        <v>1302</v>
      </c>
      <c r="B269" t="s">
        <v>1303</v>
      </c>
      <c r="C269" t="s">
        <v>198</v>
      </c>
      <c r="D269" t="s">
        <v>1304</v>
      </c>
      <c r="E269" t="s">
        <v>1305</v>
      </c>
      <c r="F269" s="4">
        <v>0</v>
      </c>
      <c r="G269" s="4">
        <v>300000</v>
      </c>
      <c r="H269" s="4">
        <f t="shared" si="9"/>
        <v>300000</v>
      </c>
      <c r="I269" s="4">
        <v>48000</v>
      </c>
      <c r="J269" s="4">
        <f t="shared" si="10"/>
        <v>48000</v>
      </c>
      <c r="K269" s="4">
        <v>0</v>
      </c>
      <c r="L269" s="4">
        <v>348000</v>
      </c>
      <c r="M269" t="s">
        <v>60</v>
      </c>
      <c r="N269" t="s">
        <v>1297</v>
      </c>
      <c r="O269" t="s">
        <v>17</v>
      </c>
    </row>
    <row r="270" spans="1:15" x14ac:dyDescent="0.25">
      <c r="A270" t="s">
        <v>603</v>
      </c>
      <c r="B270" t="s">
        <v>604</v>
      </c>
      <c r="C270" t="s">
        <v>32</v>
      </c>
      <c r="D270" t="s">
        <v>605</v>
      </c>
      <c r="E270" t="s">
        <v>606</v>
      </c>
      <c r="F270" s="4">
        <v>0</v>
      </c>
      <c r="G270" s="4">
        <v>2100000</v>
      </c>
      <c r="H270" s="4">
        <f t="shared" si="9"/>
        <v>2100000</v>
      </c>
      <c r="I270" s="4">
        <v>336000</v>
      </c>
      <c r="J270" s="4">
        <f t="shared" si="10"/>
        <v>336000</v>
      </c>
      <c r="K270" s="4">
        <v>0</v>
      </c>
      <c r="L270" s="4">
        <v>2436000</v>
      </c>
      <c r="M270" t="s">
        <v>29</v>
      </c>
      <c r="N270" t="s">
        <v>155</v>
      </c>
      <c r="O270" t="s">
        <v>17</v>
      </c>
    </row>
    <row r="271" spans="1:15" x14ac:dyDescent="0.25">
      <c r="A271" t="s">
        <v>1015</v>
      </c>
      <c r="B271" t="s">
        <v>1016</v>
      </c>
      <c r="C271" t="s">
        <v>81</v>
      </c>
      <c r="D271" t="s">
        <v>1398</v>
      </c>
      <c r="E271" t="s">
        <v>1399</v>
      </c>
      <c r="F271" s="4">
        <v>0</v>
      </c>
      <c r="G271" s="4">
        <v>840000</v>
      </c>
      <c r="H271" s="4">
        <f t="shared" si="9"/>
        <v>840000</v>
      </c>
      <c r="I271" s="4">
        <v>134400</v>
      </c>
      <c r="J271" s="4">
        <f t="shared" si="10"/>
        <v>134400</v>
      </c>
      <c r="K271" s="4">
        <v>0</v>
      </c>
      <c r="L271" s="4">
        <v>974400</v>
      </c>
      <c r="M271" t="s">
        <v>29</v>
      </c>
      <c r="N271" t="s">
        <v>35</v>
      </c>
      <c r="O271" t="s">
        <v>17</v>
      </c>
    </row>
    <row r="272" spans="1:15" x14ac:dyDescent="0.25">
      <c r="A272" t="s">
        <v>1015</v>
      </c>
      <c r="B272" t="s">
        <v>1016</v>
      </c>
      <c r="C272" t="s">
        <v>81</v>
      </c>
      <c r="D272" t="s">
        <v>1396</v>
      </c>
      <c r="E272" t="s">
        <v>1397</v>
      </c>
      <c r="F272" s="4">
        <v>0</v>
      </c>
      <c r="G272" s="4">
        <v>840000</v>
      </c>
      <c r="H272" s="4">
        <f t="shared" si="9"/>
        <v>840000</v>
      </c>
      <c r="I272" s="4">
        <v>134400</v>
      </c>
      <c r="J272" s="4">
        <f t="shared" si="10"/>
        <v>134400</v>
      </c>
      <c r="K272" s="4">
        <v>0</v>
      </c>
      <c r="L272" s="4">
        <v>974400</v>
      </c>
      <c r="M272" t="s">
        <v>29</v>
      </c>
      <c r="N272" t="s">
        <v>35</v>
      </c>
      <c r="O272" t="s">
        <v>17</v>
      </c>
    </row>
    <row r="273" spans="1:15" x14ac:dyDescent="0.25">
      <c r="A273" t="s">
        <v>1476</v>
      </c>
      <c r="B273" t="s">
        <v>1477</v>
      </c>
      <c r="C273" t="s">
        <v>71</v>
      </c>
      <c r="D273" t="s">
        <v>1478</v>
      </c>
      <c r="E273" t="s">
        <v>1479</v>
      </c>
      <c r="F273" s="4">
        <v>0</v>
      </c>
      <c r="G273" s="4">
        <v>1100001</v>
      </c>
      <c r="H273" s="4">
        <f t="shared" si="9"/>
        <v>1100001</v>
      </c>
      <c r="I273" s="4">
        <v>176000.16</v>
      </c>
      <c r="J273" s="4">
        <f t="shared" si="10"/>
        <v>176000.16</v>
      </c>
      <c r="K273" s="4">
        <v>0</v>
      </c>
      <c r="L273" s="4">
        <v>1276001.1599999999</v>
      </c>
      <c r="M273" t="s">
        <v>179</v>
      </c>
      <c r="N273" t="s">
        <v>1480</v>
      </c>
      <c r="O273" t="s">
        <v>17</v>
      </c>
    </row>
    <row r="274" spans="1:15" x14ac:dyDescent="0.25">
      <c r="A274" t="s">
        <v>957</v>
      </c>
      <c r="B274" t="s">
        <v>958</v>
      </c>
      <c r="C274" t="s">
        <v>32</v>
      </c>
      <c r="D274" t="s">
        <v>1388</v>
      </c>
      <c r="E274" t="s">
        <v>1389</v>
      </c>
      <c r="F274" s="4">
        <v>0</v>
      </c>
      <c r="G274" s="4">
        <v>1430000</v>
      </c>
      <c r="H274" s="4">
        <f t="shared" si="9"/>
        <v>1430000</v>
      </c>
      <c r="I274" s="4">
        <v>228800</v>
      </c>
      <c r="J274" s="4">
        <f t="shared" si="10"/>
        <v>228800</v>
      </c>
      <c r="K274" s="4">
        <v>0</v>
      </c>
      <c r="L274" s="4">
        <v>1658800</v>
      </c>
      <c r="M274" t="s">
        <v>179</v>
      </c>
      <c r="N274" t="s">
        <v>35</v>
      </c>
      <c r="O274" t="s">
        <v>17</v>
      </c>
    </row>
    <row r="275" spans="1:15" x14ac:dyDescent="0.25">
      <c r="A275" t="s">
        <v>1015</v>
      </c>
      <c r="B275" t="s">
        <v>1016</v>
      </c>
      <c r="C275" t="s">
        <v>32</v>
      </c>
      <c r="D275" t="s">
        <v>1386</v>
      </c>
      <c r="E275" t="s">
        <v>1387</v>
      </c>
      <c r="F275" s="4">
        <v>0</v>
      </c>
      <c r="G275" s="4">
        <v>455000</v>
      </c>
      <c r="H275" s="4">
        <f t="shared" si="9"/>
        <v>455000</v>
      </c>
      <c r="I275" s="4">
        <v>72800</v>
      </c>
      <c r="J275" s="4">
        <f t="shared" si="10"/>
        <v>72800</v>
      </c>
      <c r="K275" s="4">
        <v>0</v>
      </c>
      <c r="L275" s="4">
        <v>527800</v>
      </c>
      <c r="M275" t="s">
        <v>179</v>
      </c>
      <c r="N275" t="s">
        <v>35</v>
      </c>
      <c r="O275" t="s">
        <v>17</v>
      </c>
    </row>
    <row r="276" spans="1:15" x14ac:dyDescent="0.25">
      <c r="A276" t="s">
        <v>168</v>
      </c>
      <c r="B276" t="s">
        <v>169</v>
      </c>
      <c r="C276" t="s">
        <v>149</v>
      </c>
      <c r="D276" t="s">
        <v>177</v>
      </c>
      <c r="E276" t="s">
        <v>178</v>
      </c>
      <c r="F276" s="4">
        <v>0</v>
      </c>
      <c r="G276" s="4">
        <v>580560</v>
      </c>
      <c r="H276" s="4">
        <f t="shared" si="9"/>
        <v>580560</v>
      </c>
      <c r="I276" s="4">
        <v>92889.600000000006</v>
      </c>
      <c r="J276" s="4">
        <f t="shared" si="10"/>
        <v>92889.600000000006</v>
      </c>
      <c r="K276" s="4">
        <v>0</v>
      </c>
      <c r="L276" s="4">
        <v>673449.6</v>
      </c>
      <c r="M276" t="s">
        <v>179</v>
      </c>
      <c r="N276" t="s">
        <v>173</v>
      </c>
      <c r="O276" t="s">
        <v>174</v>
      </c>
    </row>
    <row r="277" spans="1:15" x14ac:dyDescent="0.25">
      <c r="A277" t="s">
        <v>715</v>
      </c>
      <c r="B277" t="s">
        <v>716</v>
      </c>
      <c r="C277" t="s">
        <v>81</v>
      </c>
      <c r="D277" t="s">
        <v>721</v>
      </c>
      <c r="E277" t="s">
        <v>722</v>
      </c>
      <c r="F277" s="4">
        <v>0</v>
      </c>
      <c r="G277" s="4">
        <v>490000</v>
      </c>
      <c r="H277" s="4">
        <f t="shared" si="9"/>
        <v>490000</v>
      </c>
      <c r="I277" s="4">
        <v>78400</v>
      </c>
      <c r="J277" s="4">
        <f t="shared" si="10"/>
        <v>78400</v>
      </c>
      <c r="K277" s="4">
        <v>0</v>
      </c>
      <c r="L277" s="4">
        <v>568400</v>
      </c>
      <c r="M277" t="s">
        <v>201</v>
      </c>
      <c r="N277" t="s">
        <v>173</v>
      </c>
      <c r="O277" t="s">
        <v>17</v>
      </c>
    </row>
    <row r="278" spans="1:15" x14ac:dyDescent="0.25">
      <c r="A278" t="s">
        <v>1015</v>
      </c>
      <c r="B278" t="s">
        <v>1016</v>
      </c>
      <c r="C278" t="s">
        <v>32</v>
      </c>
      <c r="D278" t="s">
        <v>1384</v>
      </c>
      <c r="E278" t="s">
        <v>1385</v>
      </c>
      <c r="F278" s="4">
        <v>0</v>
      </c>
      <c r="G278" s="4">
        <v>315000</v>
      </c>
      <c r="H278" s="4">
        <f t="shared" si="9"/>
        <v>315000</v>
      </c>
      <c r="I278" s="4">
        <v>50400</v>
      </c>
      <c r="J278" s="4">
        <f t="shared" si="10"/>
        <v>50400</v>
      </c>
      <c r="K278" s="4">
        <v>0</v>
      </c>
      <c r="L278" s="4">
        <v>365400</v>
      </c>
      <c r="M278" t="s">
        <v>201</v>
      </c>
      <c r="N278" t="s">
        <v>35</v>
      </c>
      <c r="O278" t="s">
        <v>17</v>
      </c>
    </row>
    <row r="279" spans="1:15" x14ac:dyDescent="0.25">
      <c r="A279" t="s">
        <v>1015</v>
      </c>
      <c r="B279" t="s">
        <v>1016</v>
      </c>
      <c r="C279" t="s">
        <v>32</v>
      </c>
      <c r="D279" t="s">
        <v>1382</v>
      </c>
      <c r="E279" t="s">
        <v>1383</v>
      </c>
      <c r="F279" s="4">
        <v>0</v>
      </c>
      <c r="G279" s="4">
        <v>315000</v>
      </c>
      <c r="H279" s="4">
        <f t="shared" si="9"/>
        <v>315000</v>
      </c>
      <c r="I279" s="4">
        <v>50400</v>
      </c>
      <c r="J279" s="4">
        <f t="shared" si="10"/>
        <v>50400</v>
      </c>
      <c r="K279" s="4">
        <v>0</v>
      </c>
      <c r="L279" s="4">
        <v>365400</v>
      </c>
      <c r="M279" t="s">
        <v>201</v>
      </c>
      <c r="N279" t="s">
        <v>35</v>
      </c>
      <c r="O279" t="s">
        <v>17</v>
      </c>
    </row>
    <row r="280" spans="1:15" x14ac:dyDescent="0.25">
      <c r="A280" t="s">
        <v>688</v>
      </c>
      <c r="B280" t="s">
        <v>689</v>
      </c>
      <c r="C280" t="s">
        <v>40</v>
      </c>
      <c r="D280" t="s">
        <v>703</v>
      </c>
      <c r="E280" t="s">
        <v>704</v>
      </c>
      <c r="F280" s="4">
        <v>0</v>
      </c>
      <c r="G280" s="4">
        <v>393200</v>
      </c>
      <c r="H280" s="4">
        <f t="shared" si="9"/>
        <v>393200</v>
      </c>
      <c r="I280" s="4">
        <v>62912</v>
      </c>
      <c r="J280" s="4">
        <f t="shared" si="10"/>
        <v>62912</v>
      </c>
      <c r="K280" s="4">
        <v>0</v>
      </c>
      <c r="L280" s="4">
        <v>456112</v>
      </c>
      <c r="M280" t="s">
        <v>201</v>
      </c>
      <c r="N280" t="s">
        <v>692</v>
      </c>
      <c r="O280" t="s">
        <v>17</v>
      </c>
    </row>
    <row r="281" spans="1:15" x14ac:dyDescent="0.25">
      <c r="A281" t="s">
        <v>473</v>
      </c>
      <c r="B281" t="s">
        <v>474</v>
      </c>
      <c r="C281" t="s">
        <v>88</v>
      </c>
      <c r="D281" t="s">
        <v>482</v>
      </c>
      <c r="E281" t="s">
        <v>483</v>
      </c>
      <c r="F281" s="4">
        <v>0</v>
      </c>
      <c r="G281" s="4">
        <v>120000</v>
      </c>
      <c r="H281" s="4">
        <f t="shared" si="9"/>
        <v>120000</v>
      </c>
      <c r="I281" s="4">
        <v>19200</v>
      </c>
      <c r="J281" s="4">
        <f t="shared" si="10"/>
        <v>19200</v>
      </c>
      <c r="K281" s="4">
        <v>0</v>
      </c>
      <c r="L281" s="4">
        <v>139200</v>
      </c>
      <c r="M281" t="s">
        <v>201</v>
      </c>
      <c r="N281" t="s">
        <v>477</v>
      </c>
      <c r="O281" t="s">
        <v>17</v>
      </c>
    </row>
    <row r="282" spans="1:15" x14ac:dyDescent="0.25">
      <c r="A282" t="s">
        <v>869</v>
      </c>
      <c r="B282" t="s">
        <v>870</v>
      </c>
      <c r="C282" t="s">
        <v>149</v>
      </c>
      <c r="D282" t="s">
        <v>1424</v>
      </c>
      <c r="E282" t="s">
        <v>1425</v>
      </c>
      <c r="F282" s="4">
        <v>0</v>
      </c>
      <c r="G282" s="4">
        <v>945000</v>
      </c>
      <c r="H282" s="4">
        <f t="shared" si="9"/>
        <v>945000</v>
      </c>
      <c r="I282" s="4">
        <v>151200</v>
      </c>
      <c r="J282" s="4">
        <f t="shared" si="10"/>
        <v>151200</v>
      </c>
      <c r="K282" s="4">
        <v>0</v>
      </c>
      <c r="L282" s="4">
        <v>1096200</v>
      </c>
      <c r="M282" t="s">
        <v>201</v>
      </c>
      <c r="N282" t="s">
        <v>35</v>
      </c>
      <c r="O282" t="s">
        <v>17</v>
      </c>
    </row>
    <row r="283" spans="1:15" x14ac:dyDescent="0.25">
      <c r="A283" t="s">
        <v>568</v>
      </c>
      <c r="B283" t="s">
        <v>569</v>
      </c>
      <c r="C283" t="s">
        <v>26</v>
      </c>
      <c r="D283" t="s">
        <v>570</v>
      </c>
      <c r="E283" t="s">
        <v>571</v>
      </c>
      <c r="F283" s="4">
        <v>0</v>
      </c>
      <c r="G283" s="4">
        <v>220000</v>
      </c>
      <c r="H283" s="4">
        <f t="shared" si="9"/>
        <v>220000</v>
      </c>
      <c r="I283" s="4">
        <v>35200</v>
      </c>
      <c r="J283" s="4">
        <f t="shared" si="10"/>
        <v>35200</v>
      </c>
      <c r="K283" s="4">
        <v>0</v>
      </c>
      <c r="L283" s="4">
        <v>255200</v>
      </c>
      <c r="M283" t="s">
        <v>146</v>
      </c>
      <c r="N283" t="s">
        <v>572</v>
      </c>
      <c r="O283" t="s">
        <v>17</v>
      </c>
    </row>
    <row r="284" spans="1:15" x14ac:dyDescent="0.25">
      <c r="A284" t="s">
        <v>473</v>
      </c>
      <c r="B284" t="s">
        <v>474</v>
      </c>
      <c r="C284" t="s">
        <v>88</v>
      </c>
      <c r="D284" t="s">
        <v>480</v>
      </c>
      <c r="E284" t="s">
        <v>481</v>
      </c>
      <c r="F284" s="4">
        <v>0</v>
      </c>
      <c r="G284" s="4">
        <v>120000</v>
      </c>
      <c r="H284" s="4">
        <f t="shared" si="9"/>
        <v>120000</v>
      </c>
      <c r="I284" s="4">
        <v>19200</v>
      </c>
      <c r="J284" s="4">
        <f t="shared" si="10"/>
        <v>19200</v>
      </c>
      <c r="K284" s="4">
        <v>0</v>
      </c>
      <c r="L284" s="4">
        <v>139200</v>
      </c>
      <c r="M284" t="s">
        <v>379</v>
      </c>
      <c r="N284" t="s">
        <v>477</v>
      </c>
      <c r="O284" t="s">
        <v>17</v>
      </c>
    </row>
    <row r="285" spans="1:15" x14ac:dyDescent="0.25">
      <c r="A285" t="s">
        <v>715</v>
      </c>
      <c r="B285" t="s">
        <v>716</v>
      </c>
      <c r="C285" t="s">
        <v>81</v>
      </c>
      <c r="D285" t="s">
        <v>719</v>
      </c>
      <c r="E285" t="s">
        <v>720</v>
      </c>
      <c r="F285" s="4">
        <v>0</v>
      </c>
      <c r="G285" s="4">
        <v>840000</v>
      </c>
      <c r="H285" s="4">
        <f t="shared" si="9"/>
        <v>840000</v>
      </c>
      <c r="I285" s="4">
        <v>134400</v>
      </c>
      <c r="J285" s="4">
        <f t="shared" si="10"/>
        <v>134400</v>
      </c>
      <c r="K285" s="4">
        <v>0</v>
      </c>
      <c r="L285" s="4">
        <v>974400</v>
      </c>
      <c r="M285" t="s">
        <v>136</v>
      </c>
      <c r="N285" t="s">
        <v>173</v>
      </c>
      <c r="O285" t="s">
        <v>17</v>
      </c>
    </row>
    <row r="286" spans="1:15" x14ac:dyDescent="0.25">
      <c r="A286" t="s">
        <v>865</v>
      </c>
      <c r="B286" t="s">
        <v>866</v>
      </c>
      <c r="C286" t="s">
        <v>71</v>
      </c>
      <c r="D286" t="s">
        <v>1416</v>
      </c>
      <c r="E286" t="s">
        <v>1417</v>
      </c>
      <c r="F286" s="4">
        <v>0</v>
      </c>
      <c r="G286" s="4">
        <v>1200000</v>
      </c>
      <c r="H286" s="4">
        <f t="shared" si="9"/>
        <v>1200000</v>
      </c>
      <c r="I286" s="4">
        <v>192000</v>
      </c>
      <c r="J286" s="4">
        <f t="shared" si="10"/>
        <v>192000</v>
      </c>
      <c r="K286" s="4">
        <v>0</v>
      </c>
      <c r="L286" s="4">
        <v>1392000</v>
      </c>
      <c r="M286" t="s">
        <v>136</v>
      </c>
      <c r="N286" t="s">
        <v>35</v>
      </c>
      <c r="O286" t="s">
        <v>17</v>
      </c>
    </row>
    <row r="287" spans="1:15" x14ac:dyDescent="0.25">
      <c r="A287" t="s">
        <v>1015</v>
      </c>
      <c r="B287" t="s">
        <v>1016</v>
      </c>
      <c r="C287" t="s">
        <v>32</v>
      </c>
      <c r="D287" t="s">
        <v>1487</v>
      </c>
      <c r="E287" t="s">
        <v>1488</v>
      </c>
      <c r="F287" s="4">
        <v>0</v>
      </c>
      <c r="G287" s="4">
        <v>490000</v>
      </c>
      <c r="H287" s="4">
        <f t="shared" si="9"/>
        <v>490000</v>
      </c>
      <c r="I287" s="4">
        <v>78400</v>
      </c>
      <c r="J287" s="4">
        <f t="shared" si="10"/>
        <v>78400</v>
      </c>
      <c r="K287" s="4">
        <v>0</v>
      </c>
      <c r="L287" s="4">
        <v>568400</v>
      </c>
      <c r="M287" t="s">
        <v>136</v>
      </c>
      <c r="N287" t="s">
        <v>424</v>
      </c>
      <c r="O287" t="s">
        <v>17</v>
      </c>
    </row>
    <row r="288" spans="1:15" x14ac:dyDescent="0.25">
      <c r="A288" t="s">
        <v>1015</v>
      </c>
      <c r="B288" t="s">
        <v>1016</v>
      </c>
      <c r="C288" t="s">
        <v>32</v>
      </c>
      <c r="D288" t="s">
        <v>1485</v>
      </c>
      <c r="E288" t="s">
        <v>1486</v>
      </c>
      <c r="F288" s="4">
        <v>0</v>
      </c>
      <c r="G288" s="4">
        <v>490000</v>
      </c>
      <c r="H288" s="4">
        <f t="shared" si="9"/>
        <v>490000</v>
      </c>
      <c r="I288" s="4">
        <v>78400</v>
      </c>
      <c r="J288" s="4">
        <f t="shared" si="10"/>
        <v>78400</v>
      </c>
      <c r="K288" s="4">
        <v>0</v>
      </c>
      <c r="L288" s="4">
        <v>568400</v>
      </c>
      <c r="M288" t="s">
        <v>136</v>
      </c>
      <c r="N288" t="s">
        <v>424</v>
      </c>
      <c r="O288" t="s">
        <v>17</v>
      </c>
    </row>
    <row r="289" spans="1:15" x14ac:dyDescent="0.25">
      <c r="A289" t="s">
        <v>995</v>
      </c>
      <c r="B289" t="s">
        <v>996</v>
      </c>
      <c r="C289" t="s">
        <v>32</v>
      </c>
      <c r="D289" t="s">
        <v>1380</v>
      </c>
      <c r="E289" t="s">
        <v>1381</v>
      </c>
      <c r="F289" s="4">
        <v>0</v>
      </c>
      <c r="G289" s="4">
        <v>560000</v>
      </c>
      <c r="H289" s="4">
        <f t="shared" si="9"/>
        <v>560000</v>
      </c>
      <c r="I289" s="4">
        <v>89600</v>
      </c>
      <c r="J289" s="4">
        <f t="shared" si="10"/>
        <v>89600</v>
      </c>
      <c r="K289" s="4">
        <v>0</v>
      </c>
      <c r="L289" s="4">
        <v>649600</v>
      </c>
      <c r="M289" t="s">
        <v>136</v>
      </c>
      <c r="N289" t="s">
        <v>35</v>
      </c>
      <c r="O289" t="s">
        <v>17</v>
      </c>
    </row>
    <row r="290" spans="1:15" x14ac:dyDescent="0.25">
      <c r="A290" t="s">
        <v>711</v>
      </c>
      <c r="B290" t="s">
        <v>712</v>
      </c>
      <c r="C290" t="s">
        <v>32</v>
      </c>
      <c r="D290" t="s">
        <v>713</v>
      </c>
      <c r="E290" t="s">
        <v>714</v>
      </c>
      <c r="F290" s="4">
        <v>0</v>
      </c>
      <c r="G290" s="4">
        <v>420000</v>
      </c>
      <c r="H290" s="4">
        <f t="shared" si="9"/>
        <v>420000</v>
      </c>
      <c r="I290" s="4">
        <v>67200</v>
      </c>
      <c r="J290" s="4">
        <f t="shared" si="10"/>
        <v>67200</v>
      </c>
      <c r="K290" s="4">
        <v>0</v>
      </c>
      <c r="L290" s="4">
        <v>487200</v>
      </c>
      <c r="M290" t="s">
        <v>136</v>
      </c>
      <c r="N290" t="s">
        <v>173</v>
      </c>
      <c r="O290" t="s">
        <v>17</v>
      </c>
    </row>
    <row r="291" spans="1:15" x14ac:dyDescent="0.25">
      <c r="A291" t="s">
        <v>445</v>
      </c>
      <c r="B291" t="s">
        <v>446</v>
      </c>
      <c r="C291" t="s">
        <v>26</v>
      </c>
      <c r="D291" t="s">
        <v>447</v>
      </c>
      <c r="E291" t="s">
        <v>448</v>
      </c>
      <c r="F291" s="4">
        <v>0</v>
      </c>
      <c r="G291" s="4">
        <v>30000</v>
      </c>
      <c r="H291" s="4">
        <f t="shared" si="9"/>
        <v>30000</v>
      </c>
      <c r="I291" s="4">
        <v>4800</v>
      </c>
      <c r="J291" s="4">
        <f t="shared" si="10"/>
        <v>4800</v>
      </c>
      <c r="K291" s="4">
        <v>0</v>
      </c>
      <c r="L291" s="4">
        <v>34800</v>
      </c>
      <c r="M291" t="s">
        <v>136</v>
      </c>
      <c r="N291" t="s">
        <v>449</v>
      </c>
      <c r="O291" t="s">
        <v>17</v>
      </c>
    </row>
    <row r="292" spans="1:15" x14ac:dyDescent="0.25">
      <c r="A292" t="s">
        <v>869</v>
      </c>
      <c r="B292" t="s">
        <v>870</v>
      </c>
      <c r="C292" t="s">
        <v>26</v>
      </c>
      <c r="D292" t="s">
        <v>1406</v>
      </c>
      <c r="E292" t="s">
        <v>1407</v>
      </c>
      <c r="F292" s="4">
        <v>0</v>
      </c>
      <c r="G292" s="4">
        <v>2240000</v>
      </c>
      <c r="H292" s="4">
        <f t="shared" si="9"/>
        <v>2240000</v>
      </c>
      <c r="I292" s="4">
        <v>358400</v>
      </c>
      <c r="J292" s="4">
        <f t="shared" si="10"/>
        <v>358400</v>
      </c>
      <c r="K292" s="4">
        <v>0</v>
      </c>
      <c r="L292" s="4">
        <v>2598400</v>
      </c>
      <c r="M292" t="s">
        <v>136</v>
      </c>
      <c r="N292" t="s">
        <v>35</v>
      </c>
      <c r="O292" t="s">
        <v>17</v>
      </c>
    </row>
    <row r="293" spans="1:15" x14ac:dyDescent="0.25">
      <c r="A293" t="s">
        <v>835</v>
      </c>
      <c r="B293" t="s">
        <v>836</v>
      </c>
      <c r="C293" t="s">
        <v>71</v>
      </c>
      <c r="D293" t="s">
        <v>1414</v>
      </c>
      <c r="E293" t="s">
        <v>1415</v>
      </c>
      <c r="F293" s="4">
        <v>0</v>
      </c>
      <c r="G293" s="4">
        <v>1608000</v>
      </c>
      <c r="H293" s="4">
        <f t="shared" si="9"/>
        <v>1608000</v>
      </c>
      <c r="I293" s="4">
        <v>257280</v>
      </c>
      <c r="J293" s="4">
        <f t="shared" si="10"/>
        <v>257280</v>
      </c>
      <c r="K293" s="4">
        <v>0</v>
      </c>
      <c r="L293" s="4">
        <v>1865280</v>
      </c>
      <c r="M293" t="s">
        <v>136</v>
      </c>
      <c r="N293" t="s">
        <v>35</v>
      </c>
      <c r="O293" t="s">
        <v>17</v>
      </c>
    </row>
    <row r="294" spans="1:15" x14ac:dyDescent="0.25">
      <c r="A294" t="s">
        <v>869</v>
      </c>
      <c r="B294" t="s">
        <v>870</v>
      </c>
      <c r="C294" t="s">
        <v>26</v>
      </c>
      <c r="D294" t="s">
        <v>1404</v>
      </c>
      <c r="E294" t="s">
        <v>1405</v>
      </c>
      <c r="F294" s="4">
        <v>0</v>
      </c>
      <c r="G294" s="4">
        <v>3360000</v>
      </c>
      <c r="H294" s="4">
        <f t="shared" si="9"/>
        <v>3360000</v>
      </c>
      <c r="I294" s="4">
        <v>537600</v>
      </c>
      <c r="J294" s="4">
        <f t="shared" si="10"/>
        <v>537600</v>
      </c>
      <c r="K294" s="4">
        <v>0</v>
      </c>
      <c r="L294" s="4">
        <v>3897600</v>
      </c>
      <c r="M294" t="s">
        <v>29</v>
      </c>
      <c r="N294" t="s">
        <v>35</v>
      </c>
      <c r="O294" t="s">
        <v>17</v>
      </c>
    </row>
    <row r="295" spans="1:15" x14ac:dyDescent="0.25">
      <c r="A295" t="s">
        <v>949</v>
      </c>
      <c r="B295" t="s">
        <v>950</v>
      </c>
      <c r="C295" t="s">
        <v>32</v>
      </c>
      <c r="D295" t="s">
        <v>1378</v>
      </c>
      <c r="E295" t="s">
        <v>1379</v>
      </c>
      <c r="F295" s="4">
        <v>0</v>
      </c>
      <c r="G295" s="4">
        <v>1750000</v>
      </c>
      <c r="H295" s="4">
        <f t="shared" si="9"/>
        <v>1750000</v>
      </c>
      <c r="I295" s="4">
        <v>280000</v>
      </c>
      <c r="J295" s="4">
        <f t="shared" si="10"/>
        <v>280000</v>
      </c>
      <c r="K295" s="4">
        <v>0</v>
      </c>
      <c r="L295" s="4">
        <v>2030000</v>
      </c>
      <c r="M295" t="s">
        <v>179</v>
      </c>
      <c r="N295" t="s">
        <v>35</v>
      </c>
      <c r="O295" t="s">
        <v>17</v>
      </c>
    </row>
    <row r="296" spans="1:15" x14ac:dyDescent="0.25">
      <c r="A296" t="s">
        <v>494</v>
      </c>
      <c r="B296" t="s">
        <v>495</v>
      </c>
      <c r="C296" t="s">
        <v>32</v>
      </c>
      <c r="D296" t="s">
        <v>496</v>
      </c>
      <c r="E296" t="s">
        <v>497</v>
      </c>
      <c r="F296" s="4">
        <v>0</v>
      </c>
      <c r="G296" s="4">
        <v>525000</v>
      </c>
      <c r="H296" s="4">
        <f t="shared" si="9"/>
        <v>525000</v>
      </c>
      <c r="I296" s="4">
        <v>84000</v>
      </c>
      <c r="J296" s="4">
        <f t="shared" si="10"/>
        <v>84000</v>
      </c>
      <c r="K296" s="4">
        <v>0</v>
      </c>
      <c r="L296" s="4">
        <v>609000</v>
      </c>
      <c r="M296" t="s">
        <v>179</v>
      </c>
      <c r="N296" t="s">
        <v>137</v>
      </c>
      <c r="O296" t="s">
        <v>17</v>
      </c>
    </row>
    <row r="297" spans="1:15" x14ac:dyDescent="0.25">
      <c r="A297" t="s">
        <v>688</v>
      </c>
      <c r="B297" t="s">
        <v>689</v>
      </c>
      <c r="C297" t="s">
        <v>32</v>
      </c>
      <c r="D297" t="s">
        <v>697</v>
      </c>
      <c r="E297" t="s">
        <v>698</v>
      </c>
      <c r="F297" s="4">
        <v>0</v>
      </c>
      <c r="G297" s="4">
        <v>720300</v>
      </c>
      <c r="H297" s="4">
        <f t="shared" si="9"/>
        <v>720300</v>
      </c>
      <c r="I297" s="4">
        <v>115248</v>
      </c>
      <c r="J297" s="4">
        <f t="shared" si="10"/>
        <v>115248</v>
      </c>
      <c r="K297" s="4">
        <v>0</v>
      </c>
      <c r="L297" s="4">
        <v>835548</v>
      </c>
      <c r="M297" t="s">
        <v>29</v>
      </c>
      <c r="N297" t="s">
        <v>692</v>
      </c>
      <c r="O297" t="s">
        <v>17</v>
      </c>
    </row>
    <row r="298" spans="1:15" x14ac:dyDescent="0.25">
      <c r="A298" t="s">
        <v>607</v>
      </c>
      <c r="B298" t="s">
        <v>608</v>
      </c>
      <c r="C298" t="s">
        <v>26</v>
      </c>
      <c r="D298" t="s">
        <v>609</v>
      </c>
      <c r="E298" t="s">
        <v>610</v>
      </c>
      <c r="F298" s="4">
        <v>0</v>
      </c>
      <c r="G298" s="4">
        <v>1876000</v>
      </c>
      <c r="H298" s="4">
        <f t="shared" si="9"/>
        <v>1876000</v>
      </c>
      <c r="I298" s="4">
        <v>300160</v>
      </c>
      <c r="J298" s="4">
        <f t="shared" si="10"/>
        <v>300160</v>
      </c>
      <c r="K298" s="4">
        <v>0</v>
      </c>
      <c r="L298" s="4">
        <v>2176160</v>
      </c>
      <c r="M298" t="s">
        <v>29</v>
      </c>
      <c r="N298" t="s">
        <v>155</v>
      </c>
      <c r="O298" t="s">
        <v>17</v>
      </c>
    </row>
    <row r="299" spans="1:15" x14ac:dyDescent="0.25">
      <c r="A299" t="s">
        <v>527</v>
      </c>
      <c r="B299" t="s">
        <v>528</v>
      </c>
      <c r="C299" t="s">
        <v>26</v>
      </c>
      <c r="D299" t="s">
        <v>529</v>
      </c>
      <c r="E299" t="s">
        <v>530</v>
      </c>
      <c r="F299" s="4">
        <v>0</v>
      </c>
      <c r="G299" s="4">
        <v>160000</v>
      </c>
      <c r="H299" s="4">
        <f t="shared" si="9"/>
        <v>160000</v>
      </c>
      <c r="I299" s="4">
        <v>25600</v>
      </c>
      <c r="J299" s="4">
        <f t="shared" si="10"/>
        <v>25600</v>
      </c>
      <c r="K299" s="4">
        <v>0</v>
      </c>
      <c r="L299" s="4">
        <v>185600</v>
      </c>
      <c r="M299" t="s">
        <v>179</v>
      </c>
      <c r="N299" t="s">
        <v>522</v>
      </c>
      <c r="O299" t="s">
        <v>17</v>
      </c>
    </row>
    <row r="300" spans="1:15" x14ac:dyDescent="0.25">
      <c r="A300" t="s">
        <v>523</v>
      </c>
      <c r="B300" t="s">
        <v>524</v>
      </c>
      <c r="C300" t="s">
        <v>32</v>
      </c>
      <c r="D300" t="s">
        <v>525</v>
      </c>
      <c r="E300" t="s">
        <v>526</v>
      </c>
      <c r="F300" s="4">
        <v>0</v>
      </c>
      <c r="G300" s="4">
        <v>210000</v>
      </c>
      <c r="H300" s="4">
        <f t="shared" si="9"/>
        <v>210000</v>
      </c>
      <c r="I300" s="4">
        <v>33600</v>
      </c>
      <c r="J300" s="4">
        <f t="shared" si="10"/>
        <v>33600</v>
      </c>
      <c r="K300" s="4">
        <v>0</v>
      </c>
      <c r="L300" s="4">
        <v>243600</v>
      </c>
      <c r="M300" t="s">
        <v>29</v>
      </c>
      <c r="N300" t="s">
        <v>522</v>
      </c>
      <c r="O300" t="s">
        <v>17</v>
      </c>
    </row>
    <row r="301" spans="1:15" x14ac:dyDescent="0.25">
      <c r="A301" t="s">
        <v>1015</v>
      </c>
      <c r="B301" t="s">
        <v>1016</v>
      </c>
      <c r="C301" t="s">
        <v>32</v>
      </c>
      <c r="D301" t="s">
        <v>1376</v>
      </c>
      <c r="E301" t="s">
        <v>1377</v>
      </c>
      <c r="F301" s="4">
        <v>0</v>
      </c>
      <c r="G301" s="4">
        <v>350000</v>
      </c>
      <c r="H301" s="4">
        <f t="shared" si="9"/>
        <v>350000</v>
      </c>
      <c r="I301" s="4">
        <v>56000</v>
      </c>
      <c r="J301" s="4">
        <f t="shared" si="10"/>
        <v>56000</v>
      </c>
      <c r="K301" s="4">
        <v>0</v>
      </c>
      <c r="L301" s="4">
        <v>406000</v>
      </c>
      <c r="M301" t="s">
        <v>158</v>
      </c>
      <c r="N301" t="s">
        <v>35</v>
      </c>
      <c r="O301" t="s">
        <v>17</v>
      </c>
    </row>
    <row r="302" spans="1:15" x14ac:dyDescent="0.25">
      <c r="A302" t="s">
        <v>1438</v>
      </c>
      <c r="B302" t="s">
        <v>1439</v>
      </c>
      <c r="C302" t="s">
        <v>126</v>
      </c>
      <c r="D302" t="s">
        <v>1440</v>
      </c>
      <c r="E302" t="s">
        <v>1441</v>
      </c>
      <c r="F302" s="4">
        <v>0</v>
      </c>
      <c r="G302" s="4">
        <v>1750000</v>
      </c>
      <c r="H302" s="4">
        <f t="shared" si="9"/>
        <v>1750000</v>
      </c>
      <c r="I302" s="4">
        <v>280000</v>
      </c>
      <c r="J302" s="4">
        <f t="shared" si="10"/>
        <v>280000</v>
      </c>
      <c r="K302" s="4">
        <v>0</v>
      </c>
      <c r="L302" s="4">
        <v>2030000</v>
      </c>
      <c r="M302" t="s">
        <v>29</v>
      </c>
      <c r="N302" t="s">
        <v>35</v>
      </c>
      <c r="O302" t="s">
        <v>17</v>
      </c>
    </row>
    <row r="303" spans="1:15" x14ac:dyDescent="0.25">
      <c r="A303" t="s">
        <v>1015</v>
      </c>
      <c r="B303" t="s">
        <v>1016</v>
      </c>
      <c r="C303" t="s">
        <v>32</v>
      </c>
      <c r="D303" t="s">
        <v>1374</v>
      </c>
      <c r="E303" t="s">
        <v>1375</v>
      </c>
      <c r="F303" s="4">
        <v>0</v>
      </c>
      <c r="G303" s="4">
        <v>350000</v>
      </c>
      <c r="H303" s="4">
        <f t="shared" si="9"/>
        <v>350000</v>
      </c>
      <c r="I303" s="4">
        <v>56000</v>
      </c>
      <c r="J303" s="4">
        <f t="shared" si="10"/>
        <v>56000</v>
      </c>
      <c r="K303" s="4">
        <v>0</v>
      </c>
      <c r="L303" s="4">
        <v>406000</v>
      </c>
      <c r="M303" t="s">
        <v>158</v>
      </c>
      <c r="N303" t="s">
        <v>35</v>
      </c>
      <c r="O303" t="s">
        <v>17</v>
      </c>
    </row>
    <row r="304" spans="1:15" x14ac:dyDescent="0.25">
      <c r="A304" t="s">
        <v>168</v>
      </c>
      <c r="B304" t="s">
        <v>169</v>
      </c>
      <c r="C304" t="s">
        <v>149</v>
      </c>
      <c r="D304" t="s">
        <v>175</v>
      </c>
      <c r="E304" t="s">
        <v>176</v>
      </c>
      <c r="F304" s="4">
        <v>0</v>
      </c>
      <c r="G304" s="4">
        <v>966924.32</v>
      </c>
      <c r="H304" s="4">
        <f t="shared" si="9"/>
        <v>966924.32</v>
      </c>
      <c r="I304" s="4">
        <v>154707.89000000001</v>
      </c>
      <c r="J304" s="4">
        <f t="shared" si="10"/>
        <v>154707.89119999998</v>
      </c>
      <c r="K304" s="4">
        <v>1.1999999696854502E-3</v>
      </c>
      <c r="L304" s="4">
        <v>1121632.21</v>
      </c>
      <c r="M304" t="s">
        <v>29</v>
      </c>
      <c r="N304" t="s">
        <v>173</v>
      </c>
      <c r="O304" t="s">
        <v>174</v>
      </c>
    </row>
    <row r="305" spans="1:15" x14ac:dyDescent="0.25">
      <c r="A305" t="s">
        <v>883</v>
      </c>
      <c r="B305" t="s">
        <v>884</v>
      </c>
      <c r="C305" t="s">
        <v>26</v>
      </c>
      <c r="D305" t="s">
        <v>1402</v>
      </c>
      <c r="E305" t="s">
        <v>1403</v>
      </c>
      <c r="F305" s="4">
        <v>0</v>
      </c>
      <c r="G305" s="4">
        <v>1400000</v>
      </c>
      <c r="H305" s="4">
        <f t="shared" si="9"/>
        <v>1400000</v>
      </c>
      <c r="I305" s="4">
        <v>224000</v>
      </c>
      <c r="J305" s="4">
        <f t="shared" si="10"/>
        <v>224000</v>
      </c>
      <c r="K305" s="4">
        <v>0</v>
      </c>
      <c r="L305" s="4">
        <v>1624000</v>
      </c>
      <c r="M305" t="s">
        <v>29</v>
      </c>
      <c r="N305" t="s">
        <v>35</v>
      </c>
      <c r="O305" t="s">
        <v>17</v>
      </c>
    </row>
    <row r="306" spans="1:15" x14ac:dyDescent="0.25">
      <c r="A306" t="s">
        <v>957</v>
      </c>
      <c r="B306" t="s">
        <v>958</v>
      </c>
      <c r="C306" t="s">
        <v>32</v>
      </c>
      <c r="D306" t="s">
        <v>1372</v>
      </c>
      <c r="E306" t="s">
        <v>1373</v>
      </c>
      <c r="F306" s="4">
        <v>0</v>
      </c>
      <c r="G306" s="4">
        <v>2880000</v>
      </c>
      <c r="H306" s="4">
        <f t="shared" si="9"/>
        <v>2880000</v>
      </c>
      <c r="I306" s="4">
        <v>460800</v>
      </c>
      <c r="J306" s="4">
        <f t="shared" si="10"/>
        <v>460800</v>
      </c>
      <c r="K306" s="4">
        <v>0</v>
      </c>
      <c r="L306" s="4">
        <v>3340800</v>
      </c>
      <c r="M306" t="s">
        <v>29</v>
      </c>
      <c r="N306" t="s">
        <v>35</v>
      </c>
      <c r="O306" t="s">
        <v>17</v>
      </c>
    </row>
    <row r="307" spans="1:15" x14ac:dyDescent="0.25">
      <c r="A307" t="s">
        <v>12</v>
      </c>
      <c r="B307" t="s">
        <v>13</v>
      </c>
      <c r="C307" t="s">
        <v>26</v>
      </c>
      <c r="D307" t="s">
        <v>434</v>
      </c>
      <c r="E307" t="s">
        <v>435</v>
      </c>
      <c r="F307" s="4">
        <v>0</v>
      </c>
      <c r="G307" s="4">
        <v>1312000</v>
      </c>
      <c r="H307" s="4">
        <f t="shared" si="9"/>
        <v>1312000</v>
      </c>
      <c r="I307" s="4">
        <v>209920</v>
      </c>
      <c r="J307" s="4">
        <f t="shared" si="10"/>
        <v>209920</v>
      </c>
      <c r="K307" s="4">
        <v>0</v>
      </c>
      <c r="L307" s="4">
        <v>1521920</v>
      </c>
      <c r="M307" t="s">
        <v>29</v>
      </c>
      <c r="N307" t="s">
        <v>431</v>
      </c>
      <c r="O307" t="s">
        <v>372</v>
      </c>
    </row>
    <row r="308" spans="1:15" x14ac:dyDescent="0.25">
      <c r="A308" t="s">
        <v>518</v>
      </c>
      <c r="B308" t="s">
        <v>519</v>
      </c>
      <c r="C308" t="s">
        <v>149</v>
      </c>
      <c r="D308" t="s">
        <v>539</v>
      </c>
      <c r="E308" t="s">
        <v>540</v>
      </c>
      <c r="F308" s="4">
        <v>0</v>
      </c>
      <c r="G308" s="4">
        <v>100000</v>
      </c>
      <c r="H308" s="4">
        <f t="shared" si="9"/>
        <v>100000</v>
      </c>
      <c r="I308" s="4">
        <v>16000</v>
      </c>
      <c r="J308" s="4">
        <f t="shared" si="10"/>
        <v>16000</v>
      </c>
      <c r="K308" s="4">
        <v>0</v>
      </c>
      <c r="L308" s="4">
        <v>116000</v>
      </c>
      <c r="M308" t="s">
        <v>29</v>
      </c>
      <c r="N308" t="s">
        <v>522</v>
      </c>
      <c r="O308" t="s">
        <v>17</v>
      </c>
    </row>
    <row r="309" spans="1:15" x14ac:dyDescent="0.25">
      <c r="A309" t="s">
        <v>12</v>
      </c>
      <c r="B309" t="s">
        <v>13</v>
      </c>
      <c r="C309" t="s">
        <v>32</v>
      </c>
      <c r="D309" t="s">
        <v>116</v>
      </c>
      <c r="E309" t="s">
        <v>117</v>
      </c>
      <c r="F309" s="4">
        <v>0</v>
      </c>
      <c r="G309" s="4">
        <v>107187.71</v>
      </c>
      <c r="H309" s="4">
        <f t="shared" si="9"/>
        <v>107187.71</v>
      </c>
      <c r="I309" s="4">
        <v>17150.03</v>
      </c>
      <c r="J309" s="4">
        <f t="shared" si="10"/>
        <v>17150.033600000002</v>
      </c>
      <c r="K309" s="4">
        <v>3.6000000036437996E-3</v>
      </c>
      <c r="L309" s="4">
        <v>124337.74</v>
      </c>
      <c r="M309" t="s">
        <v>52</v>
      </c>
      <c r="N309" t="s">
        <v>118</v>
      </c>
      <c r="O309" t="s">
        <v>54</v>
      </c>
    </row>
    <row r="310" spans="1:15" x14ac:dyDescent="0.25">
      <c r="A310" t="s">
        <v>12</v>
      </c>
      <c r="B310" t="s">
        <v>13</v>
      </c>
      <c r="C310" t="s">
        <v>77</v>
      </c>
      <c r="D310" t="s">
        <v>78</v>
      </c>
      <c r="E310" t="s">
        <v>79</v>
      </c>
      <c r="F310" s="4">
        <v>0</v>
      </c>
      <c r="G310" s="4">
        <v>53593.82</v>
      </c>
      <c r="H310" s="4">
        <f t="shared" si="9"/>
        <v>53593.82</v>
      </c>
      <c r="I310" s="4">
        <v>8575.01</v>
      </c>
      <c r="J310" s="4">
        <f t="shared" si="10"/>
        <v>8575.0112000000008</v>
      </c>
      <c r="K310" s="4">
        <v>1.2000000006082701E-3</v>
      </c>
      <c r="L310" s="4">
        <v>62168.83</v>
      </c>
      <c r="M310" t="s">
        <v>52</v>
      </c>
      <c r="N310" t="s">
        <v>80</v>
      </c>
      <c r="O310" t="s">
        <v>54</v>
      </c>
    </row>
    <row r="311" spans="1:15" x14ac:dyDescent="0.25">
      <c r="A311" t="s">
        <v>967</v>
      </c>
      <c r="B311" t="s">
        <v>968</v>
      </c>
      <c r="C311" t="s">
        <v>26</v>
      </c>
      <c r="D311" t="s">
        <v>1032</v>
      </c>
      <c r="E311" t="s">
        <v>1033</v>
      </c>
      <c r="F311" s="4">
        <v>0</v>
      </c>
      <c r="G311" s="4">
        <v>315000</v>
      </c>
      <c r="H311" s="4">
        <f t="shared" si="9"/>
        <v>315000</v>
      </c>
      <c r="I311" s="4">
        <v>50400</v>
      </c>
      <c r="J311" s="4">
        <f t="shared" si="10"/>
        <v>50400</v>
      </c>
      <c r="K311" s="4">
        <v>0</v>
      </c>
      <c r="L311" s="4">
        <v>365400</v>
      </c>
      <c r="M311" t="s">
        <v>52</v>
      </c>
      <c r="N311" t="s">
        <v>1034</v>
      </c>
      <c r="O311" t="s">
        <v>17</v>
      </c>
    </row>
    <row r="312" spans="1:15" x14ac:dyDescent="0.25">
      <c r="A312" t="s">
        <v>949</v>
      </c>
      <c r="B312" t="s">
        <v>950</v>
      </c>
      <c r="C312" t="s">
        <v>32</v>
      </c>
      <c r="D312" t="s">
        <v>951</v>
      </c>
      <c r="E312" t="s">
        <v>952</v>
      </c>
      <c r="F312" s="4">
        <v>0</v>
      </c>
      <c r="G312" s="4">
        <v>1750000</v>
      </c>
      <c r="H312" s="4">
        <f t="shared" si="9"/>
        <v>1750000</v>
      </c>
      <c r="I312" s="4">
        <v>280000</v>
      </c>
      <c r="J312" s="4">
        <f t="shared" si="10"/>
        <v>280000</v>
      </c>
      <c r="K312" s="4">
        <v>0</v>
      </c>
      <c r="L312" s="4">
        <v>2030000</v>
      </c>
      <c r="M312" t="s">
        <v>60</v>
      </c>
      <c r="N312" t="s">
        <v>277</v>
      </c>
      <c r="O312" t="s">
        <v>17</v>
      </c>
    </row>
    <row r="313" spans="1:15" x14ac:dyDescent="0.25">
      <c r="A313" t="s">
        <v>12</v>
      </c>
      <c r="B313" t="s">
        <v>13</v>
      </c>
      <c r="C313" t="s">
        <v>32</v>
      </c>
      <c r="D313" t="s">
        <v>58</v>
      </c>
      <c r="E313" t="s">
        <v>59</v>
      </c>
      <c r="F313" s="4">
        <v>0</v>
      </c>
      <c r="G313" s="4">
        <v>64312.57</v>
      </c>
      <c r="H313" s="4">
        <f t="shared" si="9"/>
        <v>64312.57</v>
      </c>
      <c r="I313" s="4">
        <v>10290.01</v>
      </c>
      <c r="J313" s="4">
        <f t="shared" si="10"/>
        <v>10290.011200000001</v>
      </c>
      <c r="K313" s="4">
        <v>1.2000000006082701E-3</v>
      </c>
      <c r="L313" s="4">
        <v>74602.58</v>
      </c>
      <c r="M313" t="s">
        <v>60</v>
      </c>
      <c r="N313" t="s">
        <v>57</v>
      </c>
      <c r="O313" t="s">
        <v>54</v>
      </c>
    </row>
    <row r="314" spans="1:15" x14ac:dyDescent="0.25">
      <c r="A314" t="s">
        <v>12</v>
      </c>
      <c r="B314" t="s">
        <v>13</v>
      </c>
      <c r="C314" t="s">
        <v>26</v>
      </c>
      <c r="D314" t="s">
        <v>248</v>
      </c>
      <c r="E314" t="s">
        <v>249</v>
      </c>
      <c r="F314" s="4">
        <v>0</v>
      </c>
      <c r="G314" s="4">
        <v>984000</v>
      </c>
      <c r="H314" s="4">
        <f t="shared" si="9"/>
        <v>984000</v>
      </c>
      <c r="I314" s="4">
        <v>157440</v>
      </c>
      <c r="J314" s="4">
        <f t="shared" si="10"/>
        <v>157440</v>
      </c>
      <c r="K314" s="4">
        <v>0</v>
      </c>
      <c r="L314" s="4">
        <v>1141440</v>
      </c>
      <c r="M314" t="s">
        <v>60</v>
      </c>
      <c r="N314" t="s">
        <v>23</v>
      </c>
      <c r="O314" t="s">
        <v>192</v>
      </c>
    </row>
    <row r="315" spans="1:15" x14ac:dyDescent="0.25">
      <c r="A315" t="s">
        <v>865</v>
      </c>
      <c r="B315" t="s">
        <v>866</v>
      </c>
      <c r="C315" t="s">
        <v>71</v>
      </c>
      <c r="D315" t="s">
        <v>1412</v>
      </c>
      <c r="E315" t="s">
        <v>1413</v>
      </c>
      <c r="F315" s="4">
        <v>0</v>
      </c>
      <c r="G315" s="4">
        <v>600000</v>
      </c>
      <c r="H315" s="4">
        <f t="shared" si="9"/>
        <v>600000</v>
      </c>
      <c r="I315" s="4">
        <v>96000</v>
      </c>
      <c r="J315" s="4">
        <f t="shared" si="10"/>
        <v>96000</v>
      </c>
      <c r="K315" s="4">
        <v>0</v>
      </c>
      <c r="L315" s="4">
        <v>696000</v>
      </c>
      <c r="M315" t="s">
        <v>408</v>
      </c>
      <c r="N315" t="s">
        <v>35</v>
      </c>
      <c r="O315" t="s">
        <v>17</v>
      </c>
    </row>
    <row r="316" spans="1:15" x14ac:dyDescent="0.25">
      <c r="A316" t="s">
        <v>12</v>
      </c>
      <c r="B316" t="s">
        <v>13</v>
      </c>
      <c r="C316" t="s">
        <v>32</v>
      </c>
      <c r="D316" t="s">
        <v>416</v>
      </c>
      <c r="E316" t="s">
        <v>417</v>
      </c>
      <c r="F316" s="4">
        <v>0</v>
      </c>
      <c r="G316" s="4">
        <v>984000</v>
      </c>
      <c r="H316" s="4">
        <f t="shared" si="9"/>
        <v>984000</v>
      </c>
      <c r="I316" s="4">
        <v>157440</v>
      </c>
      <c r="J316" s="4">
        <f t="shared" si="10"/>
        <v>157440</v>
      </c>
      <c r="K316" s="4">
        <v>0</v>
      </c>
      <c r="L316" s="4">
        <v>1141440</v>
      </c>
      <c r="M316" t="s">
        <v>182</v>
      </c>
      <c r="N316" t="s">
        <v>413</v>
      </c>
      <c r="O316" t="s">
        <v>192</v>
      </c>
    </row>
    <row r="317" spans="1:15" x14ac:dyDescent="0.25">
      <c r="A317" t="s">
        <v>688</v>
      </c>
      <c r="B317" t="s">
        <v>689</v>
      </c>
      <c r="C317" t="s">
        <v>32</v>
      </c>
      <c r="D317" t="s">
        <v>695</v>
      </c>
      <c r="E317" t="s">
        <v>696</v>
      </c>
      <c r="F317" s="4">
        <v>0</v>
      </c>
      <c r="G317" s="4">
        <v>436100</v>
      </c>
      <c r="H317" s="4">
        <f t="shared" si="9"/>
        <v>436100</v>
      </c>
      <c r="I317" s="4">
        <v>69776</v>
      </c>
      <c r="J317" s="4">
        <f t="shared" si="10"/>
        <v>69776</v>
      </c>
      <c r="K317" s="4">
        <v>0</v>
      </c>
      <c r="L317" s="4">
        <v>505876</v>
      </c>
      <c r="M317" t="s">
        <v>182</v>
      </c>
      <c r="N317" t="s">
        <v>692</v>
      </c>
      <c r="O317" t="s">
        <v>17</v>
      </c>
    </row>
    <row r="318" spans="1:15" x14ac:dyDescent="0.25">
      <c r="A318" t="s">
        <v>957</v>
      </c>
      <c r="B318" t="s">
        <v>958</v>
      </c>
      <c r="C318" t="s">
        <v>32</v>
      </c>
      <c r="D318" t="s">
        <v>1370</v>
      </c>
      <c r="E318" t="s">
        <v>1371</v>
      </c>
      <c r="F318" s="4">
        <v>0</v>
      </c>
      <c r="G318" s="4">
        <v>1100000</v>
      </c>
      <c r="H318" s="4">
        <f t="shared" si="9"/>
        <v>1100000</v>
      </c>
      <c r="I318" s="4">
        <v>176000</v>
      </c>
      <c r="J318" s="4">
        <f t="shared" si="10"/>
        <v>176000</v>
      </c>
      <c r="K318" s="4">
        <v>0</v>
      </c>
      <c r="L318" s="4">
        <v>1276000</v>
      </c>
      <c r="M318" t="s">
        <v>182</v>
      </c>
      <c r="N318" t="s">
        <v>35</v>
      </c>
      <c r="O318" t="s">
        <v>17</v>
      </c>
    </row>
    <row r="319" spans="1:15" x14ac:dyDescent="0.25">
      <c r="A319" t="s">
        <v>227</v>
      </c>
      <c r="B319" t="s">
        <v>228</v>
      </c>
      <c r="C319" t="s">
        <v>405</v>
      </c>
      <c r="D319" t="s">
        <v>406</v>
      </c>
      <c r="E319" t="s">
        <v>407</v>
      </c>
      <c r="F319" s="4">
        <v>0</v>
      </c>
      <c r="G319" s="4">
        <v>246000</v>
      </c>
      <c r="H319" s="4">
        <f t="shared" si="9"/>
        <v>246000</v>
      </c>
      <c r="I319" s="4">
        <v>39360</v>
      </c>
      <c r="J319" s="4">
        <f t="shared" si="10"/>
        <v>39360</v>
      </c>
      <c r="K319" s="4">
        <v>0</v>
      </c>
      <c r="L319" s="4">
        <v>285360</v>
      </c>
      <c r="M319" t="s">
        <v>408</v>
      </c>
      <c r="N319" t="s">
        <v>35</v>
      </c>
      <c r="O319" t="s">
        <v>232</v>
      </c>
    </row>
    <row r="320" spans="1:15" x14ac:dyDescent="0.25">
      <c r="A320" t="s">
        <v>473</v>
      </c>
      <c r="B320" t="s">
        <v>474</v>
      </c>
      <c r="C320" t="s">
        <v>88</v>
      </c>
      <c r="D320" t="s">
        <v>478</v>
      </c>
      <c r="E320" t="s">
        <v>479</v>
      </c>
      <c r="F320" s="4">
        <v>0</v>
      </c>
      <c r="G320" s="4">
        <v>120000</v>
      </c>
      <c r="H320" s="4">
        <f t="shared" si="9"/>
        <v>120000</v>
      </c>
      <c r="I320" s="4">
        <v>19200</v>
      </c>
      <c r="J320" s="4">
        <f t="shared" si="10"/>
        <v>19200</v>
      </c>
      <c r="K320" s="4">
        <v>0</v>
      </c>
      <c r="L320" s="4">
        <v>139200</v>
      </c>
      <c r="M320" t="s">
        <v>187</v>
      </c>
      <c r="N320" t="s">
        <v>477</v>
      </c>
      <c r="O320" t="s">
        <v>17</v>
      </c>
    </row>
    <row r="321" spans="1:15" x14ac:dyDescent="0.25">
      <c r="A321" t="s">
        <v>141</v>
      </c>
      <c r="B321" t="s">
        <v>142</v>
      </c>
      <c r="C321" t="s">
        <v>32</v>
      </c>
      <c r="D321" t="s">
        <v>442</v>
      </c>
      <c r="E321" t="s">
        <v>443</v>
      </c>
      <c r="F321" s="4">
        <v>0</v>
      </c>
      <c r="G321" s="4">
        <v>820000</v>
      </c>
      <c r="H321" s="4">
        <f t="shared" si="9"/>
        <v>820000</v>
      </c>
      <c r="I321" s="4">
        <v>131200</v>
      </c>
      <c r="J321" s="4">
        <f t="shared" si="10"/>
        <v>131200</v>
      </c>
      <c r="K321" s="4">
        <v>0</v>
      </c>
      <c r="L321" s="4">
        <v>951200</v>
      </c>
      <c r="M321" t="s">
        <v>146</v>
      </c>
      <c r="N321" t="s">
        <v>444</v>
      </c>
      <c r="O321" t="s">
        <v>148</v>
      </c>
    </row>
    <row r="322" spans="1:15" x14ac:dyDescent="0.25">
      <c r="A322" t="s">
        <v>141</v>
      </c>
      <c r="B322" t="s">
        <v>142</v>
      </c>
      <c r="C322" t="s">
        <v>143</v>
      </c>
      <c r="D322" t="s">
        <v>144</v>
      </c>
      <c r="E322" t="s">
        <v>145</v>
      </c>
      <c r="F322" s="4">
        <v>0</v>
      </c>
      <c r="G322" s="4">
        <v>700000</v>
      </c>
      <c r="H322" s="4">
        <f t="shared" si="9"/>
        <v>700000</v>
      </c>
      <c r="I322" s="4">
        <v>112000</v>
      </c>
      <c r="J322" s="4">
        <f t="shared" si="10"/>
        <v>112000</v>
      </c>
      <c r="K322" s="4">
        <v>0</v>
      </c>
      <c r="L322" s="4">
        <v>812000</v>
      </c>
      <c r="M322" t="s">
        <v>146</v>
      </c>
      <c r="N322" t="s">
        <v>147</v>
      </c>
      <c r="O322" t="s">
        <v>148</v>
      </c>
    </row>
    <row r="323" spans="1:15" x14ac:dyDescent="0.25">
      <c r="A323" t="s">
        <v>12</v>
      </c>
      <c r="B323" t="s">
        <v>13</v>
      </c>
      <c r="C323" t="s">
        <v>204</v>
      </c>
      <c r="D323" t="s">
        <v>212</v>
      </c>
      <c r="E323" t="s">
        <v>213</v>
      </c>
      <c r="F323" s="4">
        <v>0</v>
      </c>
      <c r="G323" s="4">
        <v>699999.99</v>
      </c>
      <c r="H323" s="4">
        <f t="shared" si="9"/>
        <v>699999.99</v>
      </c>
      <c r="I323" s="4">
        <v>112000</v>
      </c>
      <c r="J323" s="4">
        <f t="shared" si="10"/>
        <v>111999.9984</v>
      </c>
      <c r="K323" s="4">
        <v>-1.6000000032363459E-3</v>
      </c>
      <c r="L323" s="4">
        <v>811999.99</v>
      </c>
      <c r="M323" t="s">
        <v>146</v>
      </c>
      <c r="N323" t="s">
        <v>214</v>
      </c>
      <c r="O323" t="s">
        <v>192</v>
      </c>
    </row>
    <row r="324" spans="1:15" x14ac:dyDescent="0.25">
      <c r="A324" t="s">
        <v>1494</v>
      </c>
      <c r="B324" t="s">
        <v>1495</v>
      </c>
      <c r="C324" t="s">
        <v>32</v>
      </c>
      <c r="D324" t="s">
        <v>1496</v>
      </c>
      <c r="E324" t="s">
        <v>1497</v>
      </c>
      <c r="F324" s="4">
        <v>0</v>
      </c>
      <c r="G324" s="4">
        <v>450000</v>
      </c>
      <c r="H324" s="4">
        <f t="shared" ref="H324:H387" si="11">F324+G324</f>
        <v>450000</v>
      </c>
      <c r="I324" s="4">
        <v>72000</v>
      </c>
      <c r="J324" s="4">
        <f t="shared" ref="J324:J387" si="12">H324*0.16</f>
        <v>72000</v>
      </c>
      <c r="K324" s="4">
        <v>0</v>
      </c>
      <c r="L324" s="4">
        <v>522000</v>
      </c>
      <c r="M324" t="s">
        <v>146</v>
      </c>
      <c r="N324" t="s">
        <v>441</v>
      </c>
      <c r="O324" t="s">
        <v>17</v>
      </c>
    </row>
    <row r="325" spans="1:15" x14ac:dyDescent="0.25">
      <c r="A325" t="s">
        <v>141</v>
      </c>
      <c r="B325" t="s">
        <v>142</v>
      </c>
      <c r="C325" t="s">
        <v>149</v>
      </c>
      <c r="D325" t="s">
        <v>336</v>
      </c>
      <c r="E325" t="s">
        <v>337</v>
      </c>
      <c r="F325" s="4">
        <v>0</v>
      </c>
      <c r="G325" s="4">
        <v>1549800</v>
      </c>
      <c r="H325" s="4">
        <f t="shared" si="11"/>
        <v>1549800</v>
      </c>
      <c r="I325" s="4">
        <v>247968</v>
      </c>
      <c r="J325" s="4">
        <f t="shared" si="12"/>
        <v>247968</v>
      </c>
      <c r="K325" s="4">
        <v>0</v>
      </c>
      <c r="L325" s="4">
        <v>1797768</v>
      </c>
      <c r="M325" t="s">
        <v>18</v>
      </c>
      <c r="N325" t="s">
        <v>338</v>
      </c>
      <c r="O325" t="s">
        <v>339</v>
      </c>
    </row>
    <row r="326" spans="1:15" x14ac:dyDescent="0.25">
      <c r="A326" t="s">
        <v>578</v>
      </c>
      <c r="B326" t="s">
        <v>579</v>
      </c>
      <c r="C326" t="s">
        <v>405</v>
      </c>
      <c r="D326" t="s">
        <v>580</v>
      </c>
      <c r="E326" t="s">
        <v>581</v>
      </c>
      <c r="F326" s="4">
        <v>0</v>
      </c>
      <c r="G326" s="4">
        <v>220000</v>
      </c>
      <c r="H326" s="4">
        <f t="shared" si="11"/>
        <v>220000</v>
      </c>
      <c r="I326" s="4">
        <v>35200</v>
      </c>
      <c r="J326" s="4">
        <f t="shared" si="12"/>
        <v>35200</v>
      </c>
      <c r="K326" s="4">
        <v>0</v>
      </c>
      <c r="L326" s="4">
        <v>255200</v>
      </c>
      <c r="M326" t="s">
        <v>146</v>
      </c>
      <c r="N326" t="s">
        <v>582</v>
      </c>
      <c r="O326" t="s">
        <v>583</v>
      </c>
    </row>
    <row r="327" spans="1:15" x14ac:dyDescent="0.25">
      <c r="A327" t="s">
        <v>1051</v>
      </c>
      <c r="B327" t="s">
        <v>1052</v>
      </c>
      <c r="C327" t="s">
        <v>32</v>
      </c>
      <c r="D327" t="s">
        <v>1502</v>
      </c>
      <c r="E327" t="s">
        <v>1503</v>
      </c>
      <c r="F327" s="4">
        <v>0</v>
      </c>
      <c r="G327" s="4">
        <v>380000</v>
      </c>
      <c r="H327" s="4">
        <f t="shared" si="11"/>
        <v>380000</v>
      </c>
      <c r="I327" s="4">
        <v>60800</v>
      </c>
      <c r="J327" s="4">
        <f t="shared" si="12"/>
        <v>60800</v>
      </c>
      <c r="K327" s="4">
        <v>0</v>
      </c>
      <c r="L327" s="4">
        <v>440800</v>
      </c>
      <c r="M327" t="s">
        <v>146</v>
      </c>
      <c r="N327" t="s">
        <v>444</v>
      </c>
      <c r="O327" t="s">
        <v>17</v>
      </c>
    </row>
    <row r="328" spans="1:15" x14ac:dyDescent="0.25">
      <c r="A328" t="s">
        <v>141</v>
      </c>
      <c r="B328" t="s">
        <v>142</v>
      </c>
      <c r="C328" t="s">
        <v>32</v>
      </c>
      <c r="D328" t="s">
        <v>218</v>
      </c>
      <c r="E328" t="s">
        <v>219</v>
      </c>
      <c r="F328" s="4">
        <v>0</v>
      </c>
      <c r="G328" s="4">
        <v>2582877</v>
      </c>
      <c r="H328" s="4">
        <f t="shared" si="11"/>
        <v>2582877</v>
      </c>
      <c r="I328" s="4">
        <v>413260.32</v>
      </c>
      <c r="J328" s="4">
        <f t="shared" si="12"/>
        <v>413260.32</v>
      </c>
      <c r="K328" s="4">
        <v>0</v>
      </c>
      <c r="L328" s="4">
        <v>2996137.32</v>
      </c>
      <c r="M328" t="s">
        <v>18</v>
      </c>
      <c r="N328" t="s">
        <v>220</v>
      </c>
      <c r="O328" t="s">
        <v>148</v>
      </c>
    </row>
    <row r="329" spans="1:15" x14ac:dyDescent="0.25">
      <c r="A329" t="s">
        <v>168</v>
      </c>
      <c r="B329" t="s">
        <v>169</v>
      </c>
      <c r="C329" t="s">
        <v>32</v>
      </c>
      <c r="D329" t="s">
        <v>170</v>
      </c>
      <c r="E329" t="s">
        <v>171</v>
      </c>
      <c r="F329" s="4">
        <v>0</v>
      </c>
      <c r="G329" s="4">
        <v>241900</v>
      </c>
      <c r="H329" s="4">
        <f t="shared" si="11"/>
        <v>241900</v>
      </c>
      <c r="I329" s="4">
        <v>38704</v>
      </c>
      <c r="J329" s="4">
        <f t="shared" si="12"/>
        <v>38704</v>
      </c>
      <c r="K329" s="4">
        <v>0</v>
      </c>
      <c r="L329" s="4">
        <v>280604</v>
      </c>
      <c r="M329" t="s">
        <v>172</v>
      </c>
      <c r="N329" t="s">
        <v>173</v>
      </c>
      <c r="O329" t="s">
        <v>174</v>
      </c>
    </row>
    <row r="330" spans="1:15" x14ac:dyDescent="0.25">
      <c r="A330" t="s">
        <v>975</v>
      </c>
      <c r="B330" t="s">
        <v>976</v>
      </c>
      <c r="C330" t="s">
        <v>26</v>
      </c>
      <c r="D330" t="s">
        <v>977</v>
      </c>
      <c r="E330" t="s">
        <v>978</v>
      </c>
      <c r="F330" s="4">
        <v>0</v>
      </c>
      <c r="G330" s="4">
        <v>3600000</v>
      </c>
      <c r="H330" s="4">
        <f t="shared" si="11"/>
        <v>3600000</v>
      </c>
      <c r="I330" s="4">
        <v>576000</v>
      </c>
      <c r="J330" s="4">
        <f t="shared" si="12"/>
        <v>576000</v>
      </c>
      <c r="K330" s="4">
        <v>0</v>
      </c>
      <c r="L330" s="4">
        <v>4176000</v>
      </c>
      <c r="M330" t="s">
        <v>18</v>
      </c>
      <c r="N330" t="s">
        <v>277</v>
      </c>
      <c r="O330" t="s">
        <v>17</v>
      </c>
    </row>
    <row r="331" spans="1:15" x14ac:dyDescent="0.25">
      <c r="A331" t="s">
        <v>873</v>
      </c>
      <c r="B331" t="s">
        <v>874</v>
      </c>
      <c r="C331" t="s">
        <v>32</v>
      </c>
      <c r="D331" t="s">
        <v>875</v>
      </c>
      <c r="E331" t="s">
        <v>876</v>
      </c>
      <c r="F331" s="4">
        <v>0</v>
      </c>
      <c r="G331" s="4">
        <v>650000</v>
      </c>
      <c r="H331" s="4">
        <f t="shared" si="11"/>
        <v>650000</v>
      </c>
      <c r="I331" s="4">
        <v>104000</v>
      </c>
      <c r="J331" s="4">
        <f t="shared" si="12"/>
        <v>104000</v>
      </c>
      <c r="K331" s="4">
        <v>0</v>
      </c>
      <c r="L331" s="4">
        <v>754000</v>
      </c>
      <c r="M331" t="s">
        <v>60</v>
      </c>
      <c r="N331" t="s">
        <v>23</v>
      </c>
      <c r="O331" t="s">
        <v>17</v>
      </c>
    </row>
    <row r="332" spans="1:15" x14ac:dyDescent="0.25">
      <c r="A332" t="s">
        <v>119</v>
      </c>
      <c r="B332" t="s">
        <v>120</v>
      </c>
      <c r="C332" t="s">
        <v>32</v>
      </c>
      <c r="D332" t="s">
        <v>326</v>
      </c>
      <c r="E332" t="s">
        <v>327</v>
      </c>
      <c r="F332" s="4">
        <v>0</v>
      </c>
      <c r="G332" s="4">
        <v>574000</v>
      </c>
      <c r="H332" s="4">
        <f t="shared" si="11"/>
        <v>574000</v>
      </c>
      <c r="I332" s="4">
        <v>91840</v>
      </c>
      <c r="J332" s="4">
        <f t="shared" si="12"/>
        <v>91840</v>
      </c>
      <c r="K332" s="4">
        <v>0</v>
      </c>
      <c r="L332" s="4">
        <v>665840</v>
      </c>
      <c r="M332" t="s">
        <v>18</v>
      </c>
      <c r="N332" t="s">
        <v>328</v>
      </c>
      <c r="O332" t="s">
        <v>306</v>
      </c>
    </row>
    <row r="333" spans="1:15" x14ac:dyDescent="0.25">
      <c r="A333" t="s">
        <v>24</v>
      </c>
      <c r="B333" t="s">
        <v>25</v>
      </c>
      <c r="C333" t="s">
        <v>88</v>
      </c>
      <c r="D333" t="s">
        <v>250</v>
      </c>
      <c r="E333" t="s">
        <v>251</v>
      </c>
      <c r="F333" s="4">
        <v>0</v>
      </c>
      <c r="G333" s="4">
        <v>738000</v>
      </c>
      <c r="H333" s="4">
        <f t="shared" si="11"/>
        <v>738000</v>
      </c>
      <c r="I333" s="4">
        <v>118080</v>
      </c>
      <c r="J333" s="4">
        <f t="shared" si="12"/>
        <v>118080</v>
      </c>
      <c r="K333" s="4">
        <v>0</v>
      </c>
      <c r="L333" s="4">
        <v>856080</v>
      </c>
      <c r="M333" t="s">
        <v>18</v>
      </c>
      <c r="N333" t="s">
        <v>23</v>
      </c>
      <c r="O333" t="s">
        <v>140</v>
      </c>
    </row>
    <row r="334" spans="1:15" x14ac:dyDescent="0.25">
      <c r="A334" t="s">
        <v>100</v>
      </c>
      <c r="B334" t="s">
        <v>101</v>
      </c>
      <c r="C334" t="s">
        <v>26</v>
      </c>
      <c r="D334" t="s">
        <v>102</v>
      </c>
      <c r="E334" t="s">
        <v>103</v>
      </c>
      <c r="F334" s="4">
        <v>0</v>
      </c>
      <c r="G334" s="4">
        <v>13665792</v>
      </c>
      <c r="H334" s="4">
        <f t="shared" si="11"/>
        <v>13665792</v>
      </c>
      <c r="I334" s="4">
        <v>2186526.7200000002</v>
      </c>
      <c r="J334" s="4">
        <f t="shared" si="12"/>
        <v>2186526.7200000002</v>
      </c>
      <c r="K334" s="4">
        <v>0</v>
      </c>
      <c r="L334" s="4">
        <v>15852318.720000001</v>
      </c>
      <c r="M334" t="s">
        <v>18</v>
      </c>
      <c r="N334" t="s">
        <v>104</v>
      </c>
      <c r="O334" t="s">
        <v>105</v>
      </c>
    </row>
    <row r="335" spans="1:15" x14ac:dyDescent="0.25">
      <c r="A335" t="s">
        <v>1020</v>
      </c>
      <c r="B335" t="s">
        <v>1021</v>
      </c>
      <c r="C335" t="s">
        <v>32</v>
      </c>
      <c r="D335" t="s">
        <v>1022</v>
      </c>
      <c r="E335" t="s">
        <v>1023</v>
      </c>
      <c r="F335" s="4">
        <v>0</v>
      </c>
      <c r="G335" s="4">
        <v>1755000</v>
      </c>
      <c r="H335" s="4">
        <f t="shared" si="11"/>
        <v>1755000</v>
      </c>
      <c r="I335" s="4">
        <v>280800</v>
      </c>
      <c r="J335" s="4">
        <f t="shared" si="12"/>
        <v>280800</v>
      </c>
      <c r="K335" s="4">
        <v>0</v>
      </c>
      <c r="L335" s="4">
        <v>2035800</v>
      </c>
      <c r="M335" t="s">
        <v>18</v>
      </c>
      <c r="N335" t="s">
        <v>1024</v>
      </c>
      <c r="O335" t="s">
        <v>17</v>
      </c>
    </row>
    <row r="336" spans="1:15" x14ac:dyDescent="0.25">
      <c r="A336" t="s">
        <v>61</v>
      </c>
      <c r="B336" t="s">
        <v>62</v>
      </c>
      <c r="C336" t="s">
        <v>71</v>
      </c>
      <c r="D336" t="s">
        <v>72</v>
      </c>
      <c r="E336" t="s">
        <v>73</v>
      </c>
      <c r="F336" s="4">
        <v>0</v>
      </c>
      <c r="G336" s="4">
        <v>103320</v>
      </c>
      <c r="H336" s="4">
        <f t="shared" si="11"/>
        <v>103320</v>
      </c>
      <c r="I336" s="4">
        <v>16531.2</v>
      </c>
      <c r="J336" s="4">
        <f t="shared" si="12"/>
        <v>16531.2</v>
      </c>
      <c r="K336" s="4">
        <v>0</v>
      </c>
      <c r="L336" s="4">
        <v>119851.2</v>
      </c>
      <c r="M336" t="s">
        <v>18</v>
      </c>
      <c r="N336" t="s">
        <v>74</v>
      </c>
      <c r="O336" t="s">
        <v>66</v>
      </c>
    </row>
    <row r="337" spans="1:15" x14ac:dyDescent="0.25">
      <c r="A337" t="s">
        <v>12</v>
      </c>
      <c r="B337" t="s">
        <v>13</v>
      </c>
      <c r="C337" t="s">
        <v>126</v>
      </c>
      <c r="D337" t="s">
        <v>127</v>
      </c>
      <c r="E337" t="s">
        <v>128</v>
      </c>
      <c r="F337" s="4">
        <v>0</v>
      </c>
      <c r="G337" s="4">
        <v>4264000</v>
      </c>
      <c r="H337" s="4">
        <f t="shared" si="11"/>
        <v>4264000</v>
      </c>
      <c r="I337" s="4">
        <v>682240</v>
      </c>
      <c r="J337" s="4">
        <f t="shared" si="12"/>
        <v>682240</v>
      </c>
      <c r="K337" s="4">
        <v>0</v>
      </c>
      <c r="L337" s="4">
        <v>4946240</v>
      </c>
      <c r="M337" t="s">
        <v>18</v>
      </c>
      <c r="N337" t="s">
        <v>129</v>
      </c>
      <c r="O337" t="s">
        <v>20</v>
      </c>
    </row>
    <row r="338" spans="1:15" x14ac:dyDescent="0.25">
      <c r="A338" t="s">
        <v>518</v>
      </c>
      <c r="B338" t="s">
        <v>519</v>
      </c>
      <c r="C338" t="s">
        <v>32</v>
      </c>
      <c r="D338" t="s">
        <v>520</v>
      </c>
      <c r="E338" t="s">
        <v>521</v>
      </c>
      <c r="F338" s="4">
        <v>0</v>
      </c>
      <c r="G338" s="4">
        <v>50000</v>
      </c>
      <c r="H338" s="4">
        <f t="shared" si="11"/>
        <v>50000</v>
      </c>
      <c r="I338" s="4">
        <v>8000</v>
      </c>
      <c r="J338" s="4">
        <f t="shared" si="12"/>
        <v>8000</v>
      </c>
      <c r="K338" s="4">
        <v>0</v>
      </c>
      <c r="L338" s="4">
        <v>58000</v>
      </c>
      <c r="M338" t="s">
        <v>502</v>
      </c>
      <c r="N338" t="s">
        <v>522</v>
      </c>
      <c r="O338" t="s">
        <v>17</v>
      </c>
    </row>
    <row r="339" spans="1:15" x14ac:dyDescent="0.25">
      <c r="A339" t="s">
        <v>688</v>
      </c>
      <c r="B339" t="s">
        <v>689</v>
      </c>
      <c r="C339" t="s">
        <v>40</v>
      </c>
      <c r="D339" t="s">
        <v>701</v>
      </c>
      <c r="E339" t="s">
        <v>702</v>
      </c>
      <c r="F339" s="4">
        <v>0</v>
      </c>
      <c r="G339" s="4">
        <v>309400</v>
      </c>
      <c r="H339" s="4">
        <f t="shared" si="11"/>
        <v>309400</v>
      </c>
      <c r="I339" s="4">
        <v>49504</v>
      </c>
      <c r="J339" s="4">
        <f t="shared" si="12"/>
        <v>49504</v>
      </c>
      <c r="K339" s="4">
        <v>0</v>
      </c>
      <c r="L339" s="4">
        <v>358904</v>
      </c>
      <c r="M339" t="s">
        <v>502</v>
      </c>
      <c r="N339" t="s">
        <v>692</v>
      </c>
      <c r="O339" t="s">
        <v>17</v>
      </c>
    </row>
    <row r="340" spans="1:15" x14ac:dyDescent="0.25">
      <c r="A340" t="s">
        <v>12</v>
      </c>
      <c r="B340" t="s">
        <v>13</v>
      </c>
      <c r="C340" t="s">
        <v>32</v>
      </c>
      <c r="D340" t="s">
        <v>113</v>
      </c>
      <c r="E340" t="s">
        <v>114</v>
      </c>
      <c r="F340" s="4">
        <v>0</v>
      </c>
      <c r="G340" s="4">
        <v>1327682.5</v>
      </c>
      <c r="H340" s="4">
        <f t="shared" si="11"/>
        <v>1327682.5</v>
      </c>
      <c r="I340" s="4">
        <v>212429.2</v>
      </c>
      <c r="J340" s="4">
        <f t="shared" si="12"/>
        <v>212429.2</v>
      </c>
      <c r="K340" s="4">
        <v>0</v>
      </c>
      <c r="L340" s="4">
        <v>1540111.7</v>
      </c>
      <c r="M340" t="s">
        <v>18</v>
      </c>
      <c r="N340" t="s">
        <v>115</v>
      </c>
      <c r="O340" t="s">
        <v>54</v>
      </c>
    </row>
    <row r="341" spans="1:15" x14ac:dyDescent="0.25">
      <c r="A341" t="s">
        <v>12</v>
      </c>
      <c r="B341" t="s">
        <v>13</v>
      </c>
      <c r="C341" t="s">
        <v>121</v>
      </c>
      <c r="D341" t="s">
        <v>312</v>
      </c>
      <c r="E341" t="s">
        <v>313</v>
      </c>
      <c r="F341" s="4">
        <v>0</v>
      </c>
      <c r="G341" s="4">
        <v>1312000</v>
      </c>
      <c r="H341" s="4">
        <f t="shared" si="11"/>
        <v>1312000</v>
      </c>
      <c r="I341" s="4">
        <v>209920</v>
      </c>
      <c r="J341" s="4">
        <f t="shared" si="12"/>
        <v>209920</v>
      </c>
      <c r="K341" s="4">
        <v>0</v>
      </c>
      <c r="L341" s="4">
        <v>1521920</v>
      </c>
      <c r="M341" t="s">
        <v>18</v>
      </c>
      <c r="N341" t="s">
        <v>311</v>
      </c>
      <c r="O341" t="s">
        <v>192</v>
      </c>
    </row>
    <row r="342" spans="1:15" x14ac:dyDescent="0.25">
      <c r="A342" t="s">
        <v>12</v>
      </c>
      <c r="B342" t="s">
        <v>13</v>
      </c>
      <c r="C342" t="s">
        <v>32</v>
      </c>
      <c r="D342" t="s">
        <v>215</v>
      </c>
      <c r="E342" t="s">
        <v>216</v>
      </c>
      <c r="F342" s="4">
        <v>0</v>
      </c>
      <c r="G342" s="4">
        <v>2742900</v>
      </c>
      <c r="H342" s="4">
        <f t="shared" si="11"/>
        <v>2742900</v>
      </c>
      <c r="I342" s="4">
        <v>438864</v>
      </c>
      <c r="J342" s="4">
        <f t="shared" si="12"/>
        <v>438864</v>
      </c>
      <c r="K342" s="4">
        <v>0</v>
      </c>
      <c r="L342" s="4">
        <v>3181764</v>
      </c>
      <c r="M342" t="s">
        <v>18</v>
      </c>
      <c r="N342" t="s">
        <v>217</v>
      </c>
      <c r="O342" t="s">
        <v>192</v>
      </c>
    </row>
    <row r="343" spans="1:15" x14ac:dyDescent="0.25">
      <c r="A343" t="s">
        <v>531</v>
      </c>
      <c r="B343" t="s">
        <v>532</v>
      </c>
      <c r="C343" t="s">
        <v>77</v>
      </c>
      <c r="D343" t="s">
        <v>533</v>
      </c>
      <c r="E343" t="s">
        <v>534</v>
      </c>
      <c r="F343" s="4">
        <v>0</v>
      </c>
      <c r="G343" s="4">
        <v>140000</v>
      </c>
      <c r="H343" s="4">
        <f t="shared" si="11"/>
        <v>140000</v>
      </c>
      <c r="I343" s="4">
        <v>22400</v>
      </c>
      <c r="J343" s="4">
        <f t="shared" si="12"/>
        <v>22400</v>
      </c>
      <c r="K343" s="4">
        <v>0</v>
      </c>
      <c r="L343" s="4">
        <v>162400</v>
      </c>
      <c r="M343" t="s">
        <v>179</v>
      </c>
      <c r="N343" t="s">
        <v>522</v>
      </c>
      <c r="O343" t="s">
        <v>17</v>
      </c>
    </row>
    <row r="344" spans="1:15" x14ac:dyDescent="0.25">
      <c r="A344" t="s">
        <v>93</v>
      </c>
      <c r="B344" t="s">
        <v>94</v>
      </c>
      <c r="C344" t="s">
        <v>32</v>
      </c>
      <c r="D344" t="s">
        <v>380</v>
      </c>
      <c r="E344" t="s">
        <v>381</v>
      </c>
      <c r="F344" s="4">
        <v>0</v>
      </c>
      <c r="G344" s="4">
        <v>328000</v>
      </c>
      <c r="H344" s="4">
        <f t="shared" si="11"/>
        <v>328000</v>
      </c>
      <c r="I344" s="4">
        <v>52480</v>
      </c>
      <c r="J344" s="4">
        <f t="shared" si="12"/>
        <v>52480</v>
      </c>
      <c r="K344" s="4">
        <v>0</v>
      </c>
      <c r="L344" s="4">
        <v>380480</v>
      </c>
      <c r="M344" t="s">
        <v>172</v>
      </c>
      <c r="N344" t="s">
        <v>35</v>
      </c>
      <c r="O344" t="s">
        <v>133</v>
      </c>
    </row>
    <row r="345" spans="1:15" x14ac:dyDescent="0.25">
      <c r="A345" t="s">
        <v>957</v>
      </c>
      <c r="B345" t="s">
        <v>958</v>
      </c>
      <c r="C345" t="s">
        <v>32</v>
      </c>
      <c r="D345" t="s">
        <v>1368</v>
      </c>
      <c r="E345" t="s">
        <v>1369</v>
      </c>
      <c r="F345" s="4">
        <v>0</v>
      </c>
      <c r="G345" s="4">
        <v>1100000</v>
      </c>
      <c r="H345" s="4">
        <f t="shared" si="11"/>
        <v>1100000</v>
      </c>
      <c r="I345" s="4">
        <v>176000</v>
      </c>
      <c r="J345" s="4">
        <f t="shared" si="12"/>
        <v>176000</v>
      </c>
      <c r="K345" s="4">
        <v>0</v>
      </c>
      <c r="L345" s="4">
        <v>1276000</v>
      </c>
      <c r="M345" t="s">
        <v>172</v>
      </c>
      <c r="N345" t="s">
        <v>35</v>
      </c>
      <c r="O345" t="s">
        <v>17</v>
      </c>
    </row>
    <row r="346" spans="1:15" x14ac:dyDescent="0.25">
      <c r="A346" t="s">
        <v>473</v>
      </c>
      <c r="B346" t="s">
        <v>474</v>
      </c>
      <c r="C346" t="s">
        <v>88</v>
      </c>
      <c r="D346" t="s">
        <v>475</v>
      </c>
      <c r="E346" t="s">
        <v>476</v>
      </c>
      <c r="F346" s="4">
        <v>0</v>
      </c>
      <c r="G346" s="4">
        <v>120000</v>
      </c>
      <c r="H346" s="4">
        <f t="shared" si="11"/>
        <v>120000</v>
      </c>
      <c r="I346" s="4">
        <v>19200</v>
      </c>
      <c r="J346" s="4">
        <f t="shared" si="12"/>
        <v>19200</v>
      </c>
      <c r="K346" s="4">
        <v>0</v>
      </c>
      <c r="L346" s="4">
        <v>139200</v>
      </c>
      <c r="M346" t="s">
        <v>172</v>
      </c>
      <c r="N346" t="s">
        <v>477</v>
      </c>
      <c r="O346" t="s">
        <v>17</v>
      </c>
    </row>
    <row r="347" spans="1:15" x14ac:dyDescent="0.25">
      <c r="A347" t="s">
        <v>869</v>
      </c>
      <c r="B347" t="s">
        <v>870</v>
      </c>
      <c r="C347" t="s">
        <v>32</v>
      </c>
      <c r="D347" t="s">
        <v>871</v>
      </c>
      <c r="E347" t="s">
        <v>872</v>
      </c>
      <c r="F347" s="4">
        <v>0</v>
      </c>
      <c r="G347" s="4">
        <v>4000000</v>
      </c>
      <c r="H347" s="4">
        <f t="shared" si="11"/>
        <v>4000000</v>
      </c>
      <c r="I347" s="4">
        <v>640000</v>
      </c>
      <c r="J347" s="4">
        <f t="shared" si="12"/>
        <v>640000</v>
      </c>
      <c r="K347" s="4">
        <v>0</v>
      </c>
      <c r="L347" s="4">
        <v>4640000</v>
      </c>
      <c r="M347" t="s">
        <v>18</v>
      </c>
      <c r="N347" t="s">
        <v>23</v>
      </c>
      <c r="O347" t="s">
        <v>17</v>
      </c>
    </row>
    <row r="348" spans="1:15" x14ac:dyDescent="0.25">
      <c r="A348" t="s">
        <v>643</v>
      </c>
      <c r="B348" t="s">
        <v>644</v>
      </c>
      <c r="C348" t="s">
        <v>121</v>
      </c>
      <c r="D348" t="s">
        <v>645</v>
      </c>
      <c r="E348" t="s">
        <v>646</v>
      </c>
      <c r="F348" s="4">
        <v>0</v>
      </c>
      <c r="G348" s="4">
        <v>1500000</v>
      </c>
      <c r="H348" s="4">
        <f t="shared" si="11"/>
        <v>1500000</v>
      </c>
      <c r="I348" s="4">
        <v>240000</v>
      </c>
      <c r="J348" s="4">
        <f t="shared" si="12"/>
        <v>240000</v>
      </c>
      <c r="K348" s="4">
        <v>0</v>
      </c>
      <c r="L348" s="4">
        <v>1740000</v>
      </c>
      <c r="M348" t="s">
        <v>18</v>
      </c>
      <c r="N348" t="s">
        <v>638</v>
      </c>
      <c r="O348" t="s">
        <v>17</v>
      </c>
    </row>
    <row r="349" spans="1:15" x14ac:dyDescent="0.25">
      <c r="A349" t="s">
        <v>1127</v>
      </c>
      <c r="B349" t="s">
        <v>1128</v>
      </c>
      <c r="C349" t="s">
        <v>88</v>
      </c>
      <c r="D349" t="s">
        <v>1129</v>
      </c>
      <c r="E349" t="s">
        <v>1130</v>
      </c>
      <c r="F349" s="4">
        <v>0</v>
      </c>
      <c r="G349" s="4">
        <v>800000</v>
      </c>
      <c r="H349" s="4">
        <f t="shared" si="11"/>
        <v>800000</v>
      </c>
      <c r="I349" s="4">
        <v>128000</v>
      </c>
      <c r="J349" s="4">
        <f t="shared" si="12"/>
        <v>128000</v>
      </c>
      <c r="K349" s="4">
        <v>0</v>
      </c>
      <c r="L349" s="4">
        <v>928000</v>
      </c>
      <c r="M349" t="s">
        <v>18</v>
      </c>
      <c r="N349" t="s">
        <v>1131</v>
      </c>
      <c r="O349" t="s">
        <v>17</v>
      </c>
    </row>
    <row r="350" spans="1:15" x14ac:dyDescent="0.25">
      <c r="A350" t="s">
        <v>494</v>
      </c>
      <c r="B350" t="s">
        <v>495</v>
      </c>
      <c r="C350" t="s">
        <v>77</v>
      </c>
      <c r="D350" t="s">
        <v>1069</v>
      </c>
      <c r="E350" t="s">
        <v>1070</v>
      </c>
      <c r="F350" s="4">
        <v>0</v>
      </c>
      <c r="G350" s="4">
        <v>700000</v>
      </c>
      <c r="H350" s="4">
        <f t="shared" si="11"/>
        <v>700000</v>
      </c>
      <c r="I350" s="4">
        <v>112000</v>
      </c>
      <c r="J350" s="4">
        <f t="shared" si="12"/>
        <v>112000</v>
      </c>
      <c r="K350" s="4">
        <v>0</v>
      </c>
      <c r="L350" s="4">
        <v>812000</v>
      </c>
      <c r="M350" t="s">
        <v>18</v>
      </c>
      <c r="N350" t="s">
        <v>311</v>
      </c>
      <c r="O350" t="s">
        <v>17</v>
      </c>
    </row>
    <row r="351" spans="1:15" x14ac:dyDescent="0.25">
      <c r="A351" t="s">
        <v>464</v>
      </c>
      <c r="B351" t="s">
        <v>465</v>
      </c>
      <c r="C351" t="s">
        <v>32</v>
      </c>
      <c r="D351" t="s">
        <v>466</v>
      </c>
      <c r="E351" t="s">
        <v>467</v>
      </c>
      <c r="F351" s="4">
        <v>0</v>
      </c>
      <c r="G351" s="4">
        <v>383500</v>
      </c>
      <c r="H351" s="4">
        <f t="shared" si="11"/>
        <v>383500</v>
      </c>
      <c r="I351" s="4">
        <v>61360</v>
      </c>
      <c r="J351" s="4">
        <f t="shared" si="12"/>
        <v>61360</v>
      </c>
      <c r="K351" s="4">
        <v>0</v>
      </c>
      <c r="L351" s="4">
        <v>444860</v>
      </c>
      <c r="M351" t="s">
        <v>18</v>
      </c>
      <c r="N351" t="s">
        <v>104</v>
      </c>
      <c r="O351" t="s">
        <v>17</v>
      </c>
    </row>
    <row r="352" spans="1:15" x14ac:dyDescent="0.25">
      <c r="A352" t="s">
        <v>227</v>
      </c>
      <c r="B352" t="s">
        <v>228</v>
      </c>
      <c r="C352" t="s">
        <v>121</v>
      </c>
      <c r="D352" t="s">
        <v>316</v>
      </c>
      <c r="E352" t="s">
        <v>317</v>
      </c>
      <c r="F352" s="4">
        <v>0</v>
      </c>
      <c r="G352" s="4">
        <v>1010240</v>
      </c>
      <c r="H352" s="4">
        <f t="shared" si="11"/>
        <v>1010240</v>
      </c>
      <c r="I352" s="4">
        <v>161638.39999999999</v>
      </c>
      <c r="J352" s="4">
        <f t="shared" si="12"/>
        <v>161638.39999999999</v>
      </c>
      <c r="K352" s="4">
        <v>0</v>
      </c>
      <c r="L352" s="4">
        <v>1171878.3999999999</v>
      </c>
      <c r="M352" t="s">
        <v>18</v>
      </c>
      <c r="N352" t="s">
        <v>318</v>
      </c>
      <c r="O352" t="s">
        <v>319</v>
      </c>
    </row>
    <row r="353" spans="1:15" x14ac:dyDescent="0.25">
      <c r="A353" t="s">
        <v>971</v>
      </c>
      <c r="B353" t="s">
        <v>972</v>
      </c>
      <c r="C353" t="s">
        <v>26</v>
      </c>
      <c r="D353" t="s">
        <v>973</v>
      </c>
      <c r="E353" t="s">
        <v>974</v>
      </c>
      <c r="F353" s="4">
        <v>0</v>
      </c>
      <c r="G353" s="4">
        <v>3000000</v>
      </c>
      <c r="H353" s="4">
        <f t="shared" si="11"/>
        <v>3000000</v>
      </c>
      <c r="I353" s="4">
        <v>480000</v>
      </c>
      <c r="J353" s="4">
        <f t="shared" si="12"/>
        <v>480000</v>
      </c>
      <c r="K353" s="4">
        <v>0</v>
      </c>
      <c r="L353" s="4">
        <v>3480000</v>
      </c>
      <c r="M353" t="s">
        <v>18</v>
      </c>
      <c r="N353" t="s">
        <v>277</v>
      </c>
      <c r="O353" t="s">
        <v>17</v>
      </c>
    </row>
    <row r="354" spans="1:15" x14ac:dyDescent="0.25">
      <c r="A354" t="s">
        <v>1241</v>
      </c>
      <c r="B354" t="s">
        <v>1242</v>
      </c>
      <c r="C354" t="s">
        <v>204</v>
      </c>
      <c r="D354" t="s">
        <v>1243</v>
      </c>
      <c r="E354" t="s">
        <v>1244</v>
      </c>
      <c r="F354" s="4">
        <v>0</v>
      </c>
      <c r="G354" s="4">
        <v>380000</v>
      </c>
      <c r="H354" s="4">
        <f t="shared" si="11"/>
        <v>380000</v>
      </c>
      <c r="I354" s="4">
        <v>60800</v>
      </c>
      <c r="J354" s="4">
        <f t="shared" si="12"/>
        <v>60800</v>
      </c>
      <c r="K354" s="4">
        <v>0</v>
      </c>
      <c r="L354" s="4">
        <v>440800</v>
      </c>
      <c r="M354" t="s">
        <v>18</v>
      </c>
      <c r="N354" t="s">
        <v>1245</v>
      </c>
      <c r="O354" t="s">
        <v>17</v>
      </c>
    </row>
    <row r="355" spans="1:15" x14ac:dyDescent="0.25">
      <c r="A355" t="s">
        <v>227</v>
      </c>
      <c r="B355" t="s">
        <v>228</v>
      </c>
      <c r="C355" t="s">
        <v>149</v>
      </c>
      <c r="D355" t="s">
        <v>229</v>
      </c>
      <c r="E355" t="s">
        <v>230</v>
      </c>
      <c r="F355" s="4">
        <v>0</v>
      </c>
      <c r="G355" s="4">
        <v>2214000</v>
      </c>
      <c r="H355" s="4">
        <f t="shared" si="11"/>
        <v>2214000</v>
      </c>
      <c r="I355" s="4">
        <v>354240</v>
      </c>
      <c r="J355" s="4">
        <f t="shared" si="12"/>
        <v>354240</v>
      </c>
      <c r="K355" s="4">
        <v>0</v>
      </c>
      <c r="L355" s="4">
        <v>2568240</v>
      </c>
      <c r="M355" t="s">
        <v>18</v>
      </c>
      <c r="N355" t="s">
        <v>231</v>
      </c>
      <c r="O355" t="s">
        <v>232</v>
      </c>
    </row>
    <row r="356" spans="1:15" x14ac:dyDescent="0.25">
      <c r="A356" t="s">
        <v>1170</v>
      </c>
      <c r="B356" t="s">
        <v>1171</v>
      </c>
      <c r="C356" t="s">
        <v>26</v>
      </c>
      <c r="D356" t="s">
        <v>1172</v>
      </c>
      <c r="E356" t="s">
        <v>1173</v>
      </c>
      <c r="F356" s="4">
        <v>0</v>
      </c>
      <c r="G356" s="4">
        <v>1960000</v>
      </c>
      <c r="H356" s="4">
        <f t="shared" si="11"/>
        <v>1960000</v>
      </c>
      <c r="I356" s="4">
        <v>313600</v>
      </c>
      <c r="J356" s="4">
        <f t="shared" si="12"/>
        <v>313600</v>
      </c>
      <c r="K356" s="4">
        <v>0</v>
      </c>
      <c r="L356" s="4">
        <v>2273600</v>
      </c>
      <c r="M356" t="s">
        <v>18</v>
      </c>
      <c r="N356" t="s">
        <v>331</v>
      </c>
      <c r="O356" t="s">
        <v>17</v>
      </c>
    </row>
    <row r="357" spans="1:15" x14ac:dyDescent="0.25">
      <c r="A357" t="s">
        <v>983</v>
      </c>
      <c r="B357" t="s">
        <v>984</v>
      </c>
      <c r="C357" t="s">
        <v>71</v>
      </c>
      <c r="D357" t="s">
        <v>985</v>
      </c>
      <c r="E357" t="s">
        <v>986</v>
      </c>
      <c r="F357" s="4">
        <v>0</v>
      </c>
      <c r="G357" s="4">
        <v>1900000</v>
      </c>
      <c r="H357" s="4">
        <f t="shared" si="11"/>
        <v>1900000</v>
      </c>
      <c r="I357" s="4">
        <v>304000</v>
      </c>
      <c r="J357" s="4">
        <f t="shared" si="12"/>
        <v>304000</v>
      </c>
      <c r="K357" s="4">
        <v>0</v>
      </c>
      <c r="L357" s="4">
        <v>2204000</v>
      </c>
      <c r="M357" t="s">
        <v>18</v>
      </c>
      <c r="N357" t="s">
        <v>277</v>
      </c>
      <c r="O357" t="s">
        <v>17</v>
      </c>
    </row>
    <row r="358" spans="1:15" x14ac:dyDescent="0.25">
      <c r="A358" t="s">
        <v>1041</v>
      </c>
      <c r="B358" t="s">
        <v>1042</v>
      </c>
      <c r="C358" t="s">
        <v>149</v>
      </c>
      <c r="D358" t="s">
        <v>1212</v>
      </c>
      <c r="E358" t="s">
        <v>1213</v>
      </c>
      <c r="F358" s="4">
        <v>0</v>
      </c>
      <c r="G358" s="4">
        <v>490000</v>
      </c>
      <c r="H358" s="4">
        <f t="shared" si="11"/>
        <v>490000</v>
      </c>
      <c r="I358" s="4">
        <v>78400</v>
      </c>
      <c r="J358" s="4">
        <f t="shared" si="12"/>
        <v>78400</v>
      </c>
      <c r="K358" s="4">
        <v>0</v>
      </c>
      <c r="L358" s="4">
        <v>568400</v>
      </c>
      <c r="M358" t="s">
        <v>18</v>
      </c>
      <c r="N358" t="s">
        <v>1214</v>
      </c>
      <c r="O358" t="s">
        <v>17</v>
      </c>
    </row>
    <row r="359" spans="1:15" x14ac:dyDescent="0.25">
      <c r="A359" t="s">
        <v>949</v>
      </c>
      <c r="B359" t="s">
        <v>950</v>
      </c>
      <c r="C359" t="s">
        <v>32</v>
      </c>
      <c r="D359" t="s">
        <v>1366</v>
      </c>
      <c r="E359" t="s">
        <v>1367</v>
      </c>
      <c r="F359" s="4">
        <v>0</v>
      </c>
      <c r="G359" s="4">
        <v>1500000</v>
      </c>
      <c r="H359" s="4">
        <f t="shared" si="11"/>
        <v>1500000</v>
      </c>
      <c r="I359" s="4">
        <v>240000</v>
      </c>
      <c r="J359" s="4">
        <f t="shared" si="12"/>
        <v>240000</v>
      </c>
      <c r="K359" s="4">
        <v>0</v>
      </c>
      <c r="L359" s="4">
        <v>1740000</v>
      </c>
      <c r="M359" t="s">
        <v>187</v>
      </c>
      <c r="N359" t="s">
        <v>35</v>
      </c>
      <c r="O359" t="s">
        <v>17</v>
      </c>
    </row>
    <row r="360" spans="1:15" x14ac:dyDescent="0.25">
      <c r="A360" t="s">
        <v>93</v>
      </c>
      <c r="B360" t="s">
        <v>94</v>
      </c>
      <c r="C360" t="s">
        <v>149</v>
      </c>
      <c r="D360" t="s">
        <v>393</v>
      </c>
      <c r="E360" t="s">
        <v>394</v>
      </c>
      <c r="F360" s="4">
        <v>0</v>
      </c>
      <c r="G360" s="4">
        <v>738000</v>
      </c>
      <c r="H360" s="4">
        <f t="shared" si="11"/>
        <v>738000</v>
      </c>
      <c r="I360" s="4">
        <v>118080</v>
      </c>
      <c r="J360" s="4">
        <f t="shared" si="12"/>
        <v>118080</v>
      </c>
      <c r="K360" s="4">
        <v>0</v>
      </c>
      <c r="L360" s="4">
        <v>856080</v>
      </c>
      <c r="M360" t="s">
        <v>182</v>
      </c>
      <c r="N360" t="s">
        <v>35</v>
      </c>
      <c r="O360" t="s">
        <v>133</v>
      </c>
    </row>
    <row r="361" spans="1:15" x14ac:dyDescent="0.25">
      <c r="A361" t="s">
        <v>869</v>
      </c>
      <c r="B361" t="s">
        <v>870</v>
      </c>
      <c r="C361" t="s">
        <v>149</v>
      </c>
      <c r="D361" t="s">
        <v>1422</v>
      </c>
      <c r="E361" t="s">
        <v>1423</v>
      </c>
      <c r="F361" s="4">
        <v>0</v>
      </c>
      <c r="G361" s="4">
        <v>1050000</v>
      </c>
      <c r="H361" s="4">
        <f t="shared" si="11"/>
        <v>1050000</v>
      </c>
      <c r="I361" s="4">
        <v>168000</v>
      </c>
      <c r="J361" s="4">
        <f t="shared" si="12"/>
        <v>168000</v>
      </c>
      <c r="K361" s="4">
        <v>0</v>
      </c>
      <c r="L361" s="4">
        <v>1218000</v>
      </c>
      <c r="M361" t="s">
        <v>187</v>
      </c>
      <c r="N361" t="s">
        <v>35</v>
      </c>
      <c r="O361" t="s">
        <v>17</v>
      </c>
    </row>
    <row r="362" spans="1:15" x14ac:dyDescent="0.25">
      <c r="A362" t="s">
        <v>835</v>
      </c>
      <c r="B362" t="s">
        <v>836</v>
      </c>
      <c r="C362" t="s">
        <v>71</v>
      </c>
      <c r="D362" t="s">
        <v>1410</v>
      </c>
      <c r="E362" t="s">
        <v>1411</v>
      </c>
      <c r="F362" s="4">
        <v>0</v>
      </c>
      <c r="G362" s="4">
        <v>1005000</v>
      </c>
      <c r="H362" s="4">
        <f t="shared" si="11"/>
        <v>1005000</v>
      </c>
      <c r="I362" s="4">
        <v>160800</v>
      </c>
      <c r="J362" s="4">
        <f t="shared" si="12"/>
        <v>160800</v>
      </c>
      <c r="K362" s="4">
        <v>0</v>
      </c>
      <c r="L362" s="4">
        <v>1165800</v>
      </c>
      <c r="M362" t="s">
        <v>187</v>
      </c>
      <c r="N362" t="s">
        <v>35</v>
      </c>
      <c r="O362" t="s">
        <v>17</v>
      </c>
    </row>
    <row r="363" spans="1:15" x14ac:dyDescent="0.25">
      <c r="A363" t="s">
        <v>12</v>
      </c>
      <c r="B363" t="s">
        <v>13</v>
      </c>
      <c r="C363" t="s">
        <v>32</v>
      </c>
      <c r="D363" t="s">
        <v>377</v>
      </c>
      <c r="E363" t="s">
        <v>378</v>
      </c>
      <c r="F363" s="4">
        <v>0</v>
      </c>
      <c r="G363" s="4">
        <v>1180800</v>
      </c>
      <c r="H363" s="4">
        <f t="shared" si="11"/>
        <v>1180800</v>
      </c>
      <c r="I363" s="4">
        <v>188928</v>
      </c>
      <c r="J363" s="4">
        <f t="shared" si="12"/>
        <v>188928</v>
      </c>
      <c r="K363" s="4">
        <v>0</v>
      </c>
      <c r="L363" s="4">
        <v>1369728</v>
      </c>
      <c r="M363" t="s">
        <v>379</v>
      </c>
      <c r="N363" t="s">
        <v>35</v>
      </c>
      <c r="O363" t="s">
        <v>192</v>
      </c>
    </row>
    <row r="364" spans="1:15" x14ac:dyDescent="0.25">
      <c r="A364" t="s">
        <v>388</v>
      </c>
      <c r="B364" t="s">
        <v>389</v>
      </c>
      <c r="C364" t="s">
        <v>149</v>
      </c>
      <c r="D364" t="s">
        <v>390</v>
      </c>
      <c r="E364" t="s">
        <v>391</v>
      </c>
      <c r="F364" s="4">
        <v>0</v>
      </c>
      <c r="G364" s="4">
        <v>1045500</v>
      </c>
      <c r="H364" s="4">
        <f t="shared" si="11"/>
        <v>1045500</v>
      </c>
      <c r="I364" s="4">
        <v>167280</v>
      </c>
      <c r="J364" s="4">
        <f t="shared" si="12"/>
        <v>167280</v>
      </c>
      <c r="K364" s="4">
        <v>0</v>
      </c>
      <c r="L364" s="4">
        <v>1212780</v>
      </c>
      <c r="M364" t="s">
        <v>187</v>
      </c>
      <c r="N364" t="s">
        <v>35</v>
      </c>
      <c r="O364" t="s">
        <v>392</v>
      </c>
    </row>
    <row r="365" spans="1:15" x14ac:dyDescent="0.25">
      <c r="A365" t="s">
        <v>12</v>
      </c>
      <c r="B365" t="s">
        <v>13</v>
      </c>
      <c r="C365" t="s">
        <v>32</v>
      </c>
      <c r="D365" t="s">
        <v>375</v>
      </c>
      <c r="E365" t="s">
        <v>376</v>
      </c>
      <c r="F365" s="4">
        <v>0</v>
      </c>
      <c r="G365" s="4">
        <v>1107000</v>
      </c>
      <c r="H365" s="4">
        <f t="shared" si="11"/>
        <v>1107000</v>
      </c>
      <c r="I365" s="4">
        <v>177120</v>
      </c>
      <c r="J365" s="4">
        <f t="shared" si="12"/>
        <v>177120</v>
      </c>
      <c r="K365" s="4">
        <v>0</v>
      </c>
      <c r="L365" s="4">
        <v>1284120</v>
      </c>
      <c r="M365" t="s">
        <v>187</v>
      </c>
      <c r="N365" t="s">
        <v>35</v>
      </c>
      <c r="O365" t="s">
        <v>192</v>
      </c>
    </row>
    <row r="366" spans="1:15" x14ac:dyDescent="0.25">
      <c r="A366" t="s">
        <v>12</v>
      </c>
      <c r="B366" t="s">
        <v>13</v>
      </c>
      <c r="C366" t="s">
        <v>32</v>
      </c>
      <c r="D366" t="s">
        <v>373</v>
      </c>
      <c r="E366" t="s">
        <v>374</v>
      </c>
      <c r="F366" s="4">
        <v>0</v>
      </c>
      <c r="G366" s="4">
        <v>492000</v>
      </c>
      <c r="H366" s="4">
        <f t="shared" si="11"/>
        <v>492000</v>
      </c>
      <c r="I366" s="4">
        <v>78720</v>
      </c>
      <c r="J366" s="4">
        <f t="shared" si="12"/>
        <v>78720</v>
      </c>
      <c r="K366" s="4">
        <v>0</v>
      </c>
      <c r="L366" s="4">
        <v>570720</v>
      </c>
      <c r="M366" t="s">
        <v>201</v>
      </c>
      <c r="N366" t="s">
        <v>35</v>
      </c>
      <c r="O366" t="s">
        <v>192</v>
      </c>
    </row>
    <row r="367" spans="1:15" x14ac:dyDescent="0.25">
      <c r="A367" t="s">
        <v>12</v>
      </c>
      <c r="B367" t="s">
        <v>13</v>
      </c>
      <c r="C367" t="s">
        <v>81</v>
      </c>
      <c r="D367" t="s">
        <v>382</v>
      </c>
      <c r="E367" t="s">
        <v>383</v>
      </c>
      <c r="F367" s="4">
        <v>0</v>
      </c>
      <c r="G367" s="4">
        <v>984000</v>
      </c>
      <c r="H367" s="4">
        <f t="shared" si="11"/>
        <v>984000</v>
      </c>
      <c r="I367" s="4">
        <v>157440</v>
      </c>
      <c r="J367" s="4">
        <f t="shared" si="12"/>
        <v>157440</v>
      </c>
      <c r="K367" s="4">
        <v>0</v>
      </c>
      <c r="L367" s="4">
        <v>1141440</v>
      </c>
      <c r="M367" t="s">
        <v>201</v>
      </c>
      <c r="N367" t="s">
        <v>35</v>
      </c>
      <c r="O367" t="s">
        <v>192</v>
      </c>
    </row>
    <row r="368" spans="1:15" x14ac:dyDescent="0.25">
      <c r="A368" t="s">
        <v>12</v>
      </c>
      <c r="B368" t="s">
        <v>13</v>
      </c>
      <c r="C368" t="s">
        <v>77</v>
      </c>
      <c r="D368" t="s">
        <v>422</v>
      </c>
      <c r="E368" t="s">
        <v>423</v>
      </c>
      <c r="F368" s="4">
        <v>0</v>
      </c>
      <c r="G368" s="4">
        <v>1463700</v>
      </c>
      <c r="H368" s="4">
        <f t="shared" si="11"/>
        <v>1463700</v>
      </c>
      <c r="I368" s="4">
        <v>234192</v>
      </c>
      <c r="J368" s="4">
        <f t="shared" si="12"/>
        <v>234192</v>
      </c>
      <c r="K368" s="4">
        <v>0</v>
      </c>
      <c r="L368" s="4">
        <v>1697892</v>
      </c>
      <c r="M368" t="s">
        <v>136</v>
      </c>
      <c r="N368" t="s">
        <v>424</v>
      </c>
      <c r="O368" t="s">
        <v>192</v>
      </c>
    </row>
    <row r="369" spans="1:15" x14ac:dyDescent="0.25">
      <c r="A369" t="s">
        <v>12</v>
      </c>
      <c r="B369" t="s">
        <v>13</v>
      </c>
      <c r="C369" t="s">
        <v>32</v>
      </c>
      <c r="D369" t="s">
        <v>370</v>
      </c>
      <c r="E369" t="s">
        <v>371</v>
      </c>
      <c r="F369" s="4">
        <v>0</v>
      </c>
      <c r="G369" s="4">
        <v>1312000</v>
      </c>
      <c r="H369" s="4">
        <f t="shared" si="11"/>
        <v>1312000</v>
      </c>
      <c r="I369" s="4">
        <v>209920</v>
      </c>
      <c r="J369" s="4">
        <f t="shared" si="12"/>
        <v>209920</v>
      </c>
      <c r="K369" s="4">
        <v>0</v>
      </c>
      <c r="L369" s="4">
        <v>1521920</v>
      </c>
      <c r="M369" t="s">
        <v>136</v>
      </c>
      <c r="N369" t="s">
        <v>35</v>
      </c>
      <c r="O369" t="s">
        <v>372</v>
      </c>
    </row>
    <row r="370" spans="1:15" x14ac:dyDescent="0.25">
      <c r="A370" t="s">
        <v>24</v>
      </c>
      <c r="B370" t="s">
        <v>25</v>
      </c>
      <c r="C370" t="s">
        <v>81</v>
      </c>
      <c r="D370" t="s">
        <v>409</v>
      </c>
      <c r="E370" t="s">
        <v>410</v>
      </c>
      <c r="F370" s="4">
        <v>0</v>
      </c>
      <c r="G370" s="4">
        <v>1599000</v>
      </c>
      <c r="H370" s="4">
        <f t="shared" si="11"/>
        <v>1599000</v>
      </c>
      <c r="I370" s="4">
        <v>255840</v>
      </c>
      <c r="J370" s="4">
        <f t="shared" si="12"/>
        <v>255840</v>
      </c>
      <c r="K370" s="4">
        <v>0</v>
      </c>
      <c r="L370" s="4">
        <v>1854840</v>
      </c>
      <c r="M370" t="s">
        <v>136</v>
      </c>
      <c r="N370" t="s">
        <v>30</v>
      </c>
      <c r="O370" t="s">
        <v>211</v>
      </c>
    </row>
    <row r="371" spans="1:15" x14ac:dyDescent="0.25">
      <c r="A371" t="s">
        <v>595</v>
      </c>
      <c r="B371" t="s">
        <v>596</v>
      </c>
      <c r="C371" t="s">
        <v>32</v>
      </c>
      <c r="D371" t="s">
        <v>597</v>
      </c>
      <c r="E371" t="s">
        <v>598</v>
      </c>
      <c r="F371" s="4">
        <v>0</v>
      </c>
      <c r="G371" s="4">
        <v>1000000</v>
      </c>
      <c r="H371" s="4">
        <f t="shared" si="11"/>
        <v>1000000</v>
      </c>
      <c r="I371" s="4">
        <v>160000</v>
      </c>
      <c r="J371" s="4">
        <f t="shared" si="12"/>
        <v>160000</v>
      </c>
      <c r="K371" s="4">
        <v>0</v>
      </c>
      <c r="L371" s="4">
        <v>1160000</v>
      </c>
      <c r="M371" t="s">
        <v>18</v>
      </c>
      <c r="N371" t="s">
        <v>599</v>
      </c>
      <c r="O371" t="s">
        <v>17</v>
      </c>
    </row>
    <row r="372" spans="1:15" x14ac:dyDescent="0.25">
      <c r="A372" t="s">
        <v>688</v>
      </c>
      <c r="B372" t="s">
        <v>689</v>
      </c>
      <c r="C372" t="s">
        <v>26</v>
      </c>
      <c r="D372" t="s">
        <v>822</v>
      </c>
      <c r="E372" t="s">
        <v>823</v>
      </c>
      <c r="F372" s="4">
        <v>0</v>
      </c>
      <c r="G372" s="4">
        <v>470000</v>
      </c>
      <c r="H372" s="4">
        <f t="shared" si="11"/>
        <v>470000</v>
      </c>
      <c r="I372" s="4">
        <v>75200</v>
      </c>
      <c r="J372" s="4">
        <f t="shared" si="12"/>
        <v>75200</v>
      </c>
      <c r="K372" s="4">
        <v>0</v>
      </c>
      <c r="L372" s="4">
        <v>545200</v>
      </c>
      <c r="M372" t="s">
        <v>18</v>
      </c>
      <c r="N372" t="s">
        <v>49</v>
      </c>
      <c r="O372" t="s">
        <v>17</v>
      </c>
    </row>
    <row r="373" spans="1:15" x14ac:dyDescent="0.25">
      <c r="A373" t="s">
        <v>523</v>
      </c>
      <c r="B373" t="s">
        <v>524</v>
      </c>
      <c r="C373" t="s">
        <v>32</v>
      </c>
      <c r="D373" t="s">
        <v>1224</v>
      </c>
      <c r="E373" t="s">
        <v>1225</v>
      </c>
      <c r="F373" s="4">
        <v>0</v>
      </c>
      <c r="G373" s="4">
        <v>700000</v>
      </c>
      <c r="H373" s="4">
        <f t="shared" si="11"/>
        <v>700000</v>
      </c>
      <c r="I373" s="4">
        <v>112000</v>
      </c>
      <c r="J373" s="4">
        <f t="shared" si="12"/>
        <v>112000</v>
      </c>
      <c r="K373" s="4">
        <v>0</v>
      </c>
      <c r="L373" s="4">
        <v>812000</v>
      </c>
      <c r="M373" t="s">
        <v>18</v>
      </c>
      <c r="N373" t="s">
        <v>1226</v>
      </c>
      <c r="O373" t="s">
        <v>17</v>
      </c>
    </row>
    <row r="374" spans="1:15" x14ac:dyDescent="0.25">
      <c r="A374" t="s">
        <v>1051</v>
      </c>
      <c r="B374" t="s">
        <v>1052</v>
      </c>
      <c r="C374" t="s">
        <v>32</v>
      </c>
      <c r="D374" t="s">
        <v>1160</v>
      </c>
      <c r="E374" t="s">
        <v>1161</v>
      </c>
      <c r="F374" s="4">
        <v>0</v>
      </c>
      <c r="G374" s="4">
        <v>1190000</v>
      </c>
      <c r="H374" s="4">
        <f t="shared" si="11"/>
        <v>1190000</v>
      </c>
      <c r="I374" s="4">
        <v>190400</v>
      </c>
      <c r="J374" s="4">
        <f t="shared" si="12"/>
        <v>190400</v>
      </c>
      <c r="K374" s="4">
        <v>0</v>
      </c>
      <c r="L374" s="4">
        <v>1380400</v>
      </c>
      <c r="M374" t="s">
        <v>18</v>
      </c>
      <c r="N374" t="s">
        <v>331</v>
      </c>
      <c r="O374" t="s">
        <v>17</v>
      </c>
    </row>
    <row r="375" spans="1:15" x14ac:dyDescent="0.25">
      <c r="A375" t="s">
        <v>1186</v>
      </c>
      <c r="B375" t="s">
        <v>1187</v>
      </c>
      <c r="C375" t="s">
        <v>149</v>
      </c>
      <c r="D375" t="s">
        <v>1188</v>
      </c>
      <c r="E375" t="s">
        <v>1189</v>
      </c>
      <c r="F375" s="4">
        <v>0</v>
      </c>
      <c r="G375" s="4">
        <v>490000</v>
      </c>
      <c r="H375" s="4">
        <f t="shared" si="11"/>
        <v>490000</v>
      </c>
      <c r="I375" s="4">
        <v>78400</v>
      </c>
      <c r="J375" s="4">
        <f t="shared" si="12"/>
        <v>78400</v>
      </c>
      <c r="K375" s="4">
        <v>0</v>
      </c>
      <c r="L375" s="4">
        <v>568400</v>
      </c>
      <c r="M375" t="s">
        <v>18</v>
      </c>
      <c r="N375" t="s">
        <v>331</v>
      </c>
      <c r="O375" t="s">
        <v>17</v>
      </c>
    </row>
    <row r="376" spans="1:15" x14ac:dyDescent="0.25">
      <c r="A376" t="s">
        <v>1142</v>
      </c>
      <c r="B376" t="s">
        <v>1143</v>
      </c>
      <c r="C376" t="s">
        <v>204</v>
      </c>
      <c r="D376" t="s">
        <v>1144</v>
      </c>
      <c r="E376" t="s">
        <v>1145</v>
      </c>
      <c r="F376" s="4">
        <v>0</v>
      </c>
      <c r="G376" s="4">
        <v>490000</v>
      </c>
      <c r="H376" s="4">
        <f t="shared" si="11"/>
        <v>490000</v>
      </c>
      <c r="I376" s="4">
        <v>78400</v>
      </c>
      <c r="J376" s="4">
        <f t="shared" si="12"/>
        <v>78400</v>
      </c>
      <c r="K376" s="4">
        <v>0</v>
      </c>
      <c r="L376" s="4">
        <v>568400</v>
      </c>
      <c r="M376" t="s">
        <v>18</v>
      </c>
      <c r="N376" t="s">
        <v>322</v>
      </c>
      <c r="O376" t="s">
        <v>17</v>
      </c>
    </row>
    <row r="377" spans="1:15" x14ac:dyDescent="0.25">
      <c r="A377" t="s">
        <v>1257</v>
      </c>
      <c r="B377" t="s">
        <v>1258</v>
      </c>
      <c r="C377" t="s">
        <v>121</v>
      </c>
      <c r="D377" t="s">
        <v>1259</v>
      </c>
      <c r="E377" t="s">
        <v>1260</v>
      </c>
      <c r="F377" s="4">
        <v>0</v>
      </c>
      <c r="G377" s="4">
        <v>431034.48</v>
      </c>
      <c r="H377" s="4">
        <f t="shared" si="11"/>
        <v>431034.48</v>
      </c>
      <c r="I377" s="4">
        <v>68965.52</v>
      </c>
      <c r="J377" s="4">
        <f t="shared" si="12"/>
        <v>68965.516799999998</v>
      </c>
      <c r="K377" s="4">
        <v>-3.2000000064726919E-3</v>
      </c>
      <c r="L377" s="4">
        <v>500000</v>
      </c>
      <c r="M377" t="s">
        <v>18</v>
      </c>
      <c r="N377" t="s">
        <v>1261</v>
      </c>
      <c r="O377" t="s">
        <v>17</v>
      </c>
    </row>
    <row r="378" spans="1:15" x14ac:dyDescent="0.25">
      <c r="A378" t="s">
        <v>61</v>
      </c>
      <c r="B378" t="s">
        <v>62</v>
      </c>
      <c r="C378" t="s">
        <v>14</v>
      </c>
      <c r="D378" t="s">
        <v>106</v>
      </c>
      <c r="E378" t="s">
        <v>107</v>
      </c>
      <c r="F378" s="4">
        <v>0</v>
      </c>
      <c r="G378" s="4">
        <v>964320</v>
      </c>
      <c r="H378" s="4">
        <f t="shared" si="11"/>
        <v>964320</v>
      </c>
      <c r="I378" s="4">
        <v>154291.20000000001</v>
      </c>
      <c r="J378" s="4">
        <f t="shared" si="12"/>
        <v>154291.20000000001</v>
      </c>
      <c r="K378" s="4">
        <v>0</v>
      </c>
      <c r="L378" s="4">
        <v>1118611.2</v>
      </c>
      <c r="M378" t="s">
        <v>18</v>
      </c>
      <c r="N378" t="s">
        <v>104</v>
      </c>
      <c r="O378" t="s">
        <v>66</v>
      </c>
    </row>
    <row r="379" spans="1:15" x14ac:dyDescent="0.25">
      <c r="A379" t="s">
        <v>688</v>
      </c>
      <c r="B379" t="s">
        <v>689</v>
      </c>
      <c r="C379" t="s">
        <v>32</v>
      </c>
      <c r="D379" t="s">
        <v>693</v>
      </c>
      <c r="E379" t="s">
        <v>694</v>
      </c>
      <c r="F379" s="4">
        <v>0</v>
      </c>
      <c r="G379" s="4">
        <v>436100</v>
      </c>
      <c r="H379" s="4">
        <f t="shared" si="11"/>
        <v>436100</v>
      </c>
      <c r="I379" s="4">
        <v>69776</v>
      </c>
      <c r="J379" s="4">
        <f t="shared" si="12"/>
        <v>69776</v>
      </c>
      <c r="K379" s="4">
        <v>0</v>
      </c>
      <c r="L379" s="4">
        <v>505876</v>
      </c>
      <c r="M379" t="s">
        <v>187</v>
      </c>
      <c r="N379" t="s">
        <v>692</v>
      </c>
      <c r="O379" t="s">
        <v>17</v>
      </c>
    </row>
    <row r="380" spans="1:15" x14ac:dyDescent="0.25">
      <c r="A380" t="s">
        <v>141</v>
      </c>
      <c r="B380" t="s">
        <v>142</v>
      </c>
      <c r="C380" t="s">
        <v>26</v>
      </c>
      <c r="D380" t="s">
        <v>278</v>
      </c>
      <c r="E380" t="s">
        <v>279</v>
      </c>
      <c r="F380" s="4">
        <v>0</v>
      </c>
      <c r="G380" s="4">
        <v>3485000</v>
      </c>
      <c r="H380" s="4">
        <f t="shared" si="11"/>
        <v>3485000</v>
      </c>
      <c r="I380" s="4">
        <v>557600</v>
      </c>
      <c r="J380" s="4">
        <f t="shared" si="12"/>
        <v>557600</v>
      </c>
      <c r="K380" s="4">
        <v>0</v>
      </c>
      <c r="L380" s="4">
        <v>4042600</v>
      </c>
      <c r="M380" t="s">
        <v>18</v>
      </c>
      <c r="N380" t="s">
        <v>277</v>
      </c>
      <c r="O380" t="s">
        <v>280</v>
      </c>
    </row>
    <row r="381" spans="1:15" x14ac:dyDescent="0.25">
      <c r="A381" t="s">
        <v>1178</v>
      </c>
      <c r="B381" t="s">
        <v>1179</v>
      </c>
      <c r="C381" t="s">
        <v>88</v>
      </c>
      <c r="D381" t="s">
        <v>1180</v>
      </c>
      <c r="E381" t="s">
        <v>1181</v>
      </c>
      <c r="F381" s="4">
        <v>0</v>
      </c>
      <c r="G381" s="4">
        <v>490000</v>
      </c>
      <c r="H381" s="4">
        <f t="shared" si="11"/>
        <v>490000</v>
      </c>
      <c r="I381" s="4">
        <v>78400</v>
      </c>
      <c r="J381" s="4">
        <f t="shared" si="12"/>
        <v>78400</v>
      </c>
      <c r="K381" s="4">
        <v>0</v>
      </c>
      <c r="L381" s="4">
        <v>568400</v>
      </c>
      <c r="M381" t="s">
        <v>18</v>
      </c>
      <c r="N381" t="s">
        <v>331</v>
      </c>
      <c r="O381" t="s">
        <v>17</v>
      </c>
    </row>
    <row r="382" spans="1:15" x14ac:dyDescent="0.25">
      <c r="A382" t="s">
        <v>141</v>
      </c>
      <c r="B382" t="s">
        <v>142</v>
      </c>
      <c r="C382" t="s">
        <v>32</v>
      </c>
      <c r="D382" t="s">
        <v>156</v>
      </c>
      <c r="E382" t="s">
        <v>157</v>
      </c>
      <c r="F382" s="4">
        <v>0</v>
      </c>
      <c r="G382" s="4">
        <v>590400</v>
      </c>
      <c r="H382" s="4">
        <f t="shared" si="11"/>
        <v>590400</v>
      </c>
      <c r="I382" s="4">
        <v>94464</v>
      </c>
      <c r="J382" s="4">
        <f t="shared" si="12"/>
        <v>94464</v>
      </c>
      <c r="K382" s="4">
        <v>0</v>
      </c>
      <c r="L382" s="4">
        <v>684864</v>
      </c>
      <c r="M382" t="s">
        <v>158</v>
      </c>
      <c r="N382" t="s">
        <v>155</v>
      </c>
      <c r="O382" t="s">
        <v>159</v>
      </c>
    </row>
    <row r="383" spans="1:15" x14ac:dyDescent="0.25">
      <c r="A383" t="s">
        <v>227</v>
      </c>
      <c r="B383" t="s">
        <v>228</v>
      </c>
      <c r="C383" t="s">
        <v>32</v>
      </c>
      <c r="D383" t="s">
        <v>346</v>
      </c>
      <c r="E383" t="s">
        <v>347</v>
      </c>
      <c r="F383" s="4">
        <v>0</v>
      </c>
      <c r="G383" s="4">
        <v>1414500</v>
      </c>
      <c r="H383" s="4">
        <f t="shared" si="11"/>
        <v>1414500</v>
      </c>
      <c r="I383" s="4">
        <v>226320</v>
      </c>
      <c r="J383" s="4">
        <f t="shared" si="12"/>
        <v>226320</v>
      </c>
      <c r="K383" s="4">
        <v>0</v>
      </c>
      <c r="L383" s="4">
        <v>1640820</v>
      </c>
      <c r="M383" t="s">
        <v>18</v>
      </c>
      <c r="N383" t="s">
        <v>348</v>
      </c>
      <c r="O383" t="s">
        <v>325</v>
      </c>
    </row>
    <row r="384" spans="1:15" x14ac:dyDescent="0.25">
      <c r="A384" t="s">
        <v>24</v>
      </c>
      <c r="B384" t="s">
        <v>25</v>
      </c>
      <c r="C384" t="s">
        <v>149</v>
      </c>
      <c r="D384" t="s">
        <v>255</v>
      </c>
      <c r="E384" t="s">
        <v>256</v>
      </c>
      <c r="F384" s="4">
        <v>0</v>
      </c>
      <c r="G384" s="4">
        <v>1394000</v>
      </c>
      <c r="H384" s="4">
        <f t="shared" si="11"/>
        <v>1394000</v>
      </c>
      <c r="I384" s="4">
        <v>223040</v>
      </c>
      <c r="J384" s="4">
        <f t="shared" si="12"/>
        <v>223040</v>
      </c>
      <c r="K384" s="4">
        <v>0</v>
      </c>
      <c r="L384" s="4">
        <v>1617040</v>
      </c>
      <c r="M384" t="s">
        <v>18</v>
      </c>
      <c r="N384" t="s">
        <v>23</v>
      </c>
      <c r="O384" t="s">
        <v>257</v>
      </c>
    </row>
    <row r="385" spans="1:15" x14ac:dyDescent="0.25">
      <c r="A385" t="s">
        <v>715</v>
      </c>
      <c r="B385" t="s">
        <v>716</v>
      </c>
      <c r="C385" t="s">
        <v>81</v>
      </c>
      <c r="D385" t="s">
        <v>717</v>
      </c>
      <c r="E385" t="s">
        <v>718</v>
      </c>
      <c r="F385" s="4">
        <v>0</v>
      </c>
      <c r="G385" s="4">
        <v>630000</v>
      </c>
      <c r="H385" s="4">
        <f t="shared" si="11"/>
        <v>630000</v>
      </c>
      <c r="I385" s="4">
        <v>100800</v>
      </c>
      <c r="J385" s="4">
        <f t="shared" si="12"/>
        <v>100800</v>
      </c>
      <c r="K385" s="4">
        <v>0</v>
      </c>
      <c r="L385" s="4">
        <v>730800</v>
      </c>
      <c r="M385" t="s">
        <v>158</v>
      </c>
      <c r="N385" t="s">
        <v>173</v>
      </c>
      <c r="O385" t="s">
        <v>17</v>
      </c>
    </row>
    <row r="386" spans="1:15" x14ac:dyDescent="0.25">
      <c r="A386" t="s">
        <v>24</v>
      </c>
      <c r="B386" t="s">
        <v>25</v>
      </c>
      <c r="C386" t="s">
        <v>258</v>
      </c>
      <c r="D386" t="s">
        <v>259</v>
      </c>
      <c r="E386" t="s">
        <v>260</v>
      </c>
      <c r="F386" s="4">
        <v>0</v>
      </c>
      <c r="G386" s="4">
        <v>1804000</v>
      </c>
      <c r="H386" s="4">
        <f t="shared" si="11"/>
        <v>1804000</v>
      </c>
      <c r="I386" s="4">
        <v>288640</v>
      </c>
      <c r="J386" s="4">
        <f t="shared" si="12"/>
        <v>288640</v>
      </c>
      <c r="K386" s="4">
        <v>0</v>
      </c>
      <c r="L386" s="4">
        <v>2092640</v>
      </c>
      <c r="M386" t="s">
        <v>18</v>
      </c>
      <c r="N386" t="s">
        <v>23</v>
      </c>
      <c r="O386" t="s">
        <v>211</v>
      </c>
    </row>
    <row r="387" spans="1:15" x14ac:dyDescent="0.25">
      <c r="A387" t="s">
        <v>93</v>
      </c>
      <c r="B387" t="s">
        <v>94</v>
      </c>
      <c r="C387" t="s">
        <v>32</v>
      </c>
      <c r="D387" t="s">
        <v>368</v>
      </c>
      <c r="E387" t="s">
        <v>369</v>
      </c>
      <c r="F387" s="4">
        <v>0</v>
      </c>
      <c r="G387" s="4">
        <v>328000</v>
      </c>
      <c r="H387" s="4">
        <f t="shared" si="11"/>
        <v>328000</v>
      </c>
      <c r="I387" s="4">
        <v>52480</v>
      </c>
      <c r="J387" s="4">
        <f t="shared" si="12"/>
        <v>52480</v>
      </c>
      <c r="K387" s="4">
        <v>0</v>
      </c>
      <c r="L387" s="4">
        <v>380480</v>
      </c>
      <c r="M387" t="s">
        <v>158</v>
      </c>
      <c r="N387" t="s">
        <v>35</v>
      </c>
      <c r="O387" t="s">
        <v>133</v>
      </c>
    </row>
    <row r="388" spans="1:15" x14ac:dyDescent="0.25">
      <c r="A388" t="s">
        <v>865</v>
      </c>
      <c r="B388" t="s">
        <v>866</v>
      </c>
      <c r="C388" t="s">
        <v>32</v>
      </c>
      <c r="D388" t="s">
        <v>867</v>
      </c>
      <c r="E388" t="s">
        <v>868</v>
      </c>
      <c r="F388" s="4">
        <v>0</v>
      </c>
      <c r="G388" s="4">
        <v>1560000</v>
      </c>
      <c r="H388" s="4">
        <f t="shared" ref="H388:H451" si="13">F388+G388</f>
        <v>1560000</v>
      </c>
      <c r="I388" s="4">
        <v>249600</v>
      </c>
      <c r="J388" s="4">
        <f t="shared" ref="J388:J451" si="14">H388*0.16</f>
        <v>249600</v>
      </c>
      <c r="K388" s="4">
        <v>0</v>
      </c>
      <c r="L388" s="4">
        <v>1809600</v>
      </c>
      <c r="M388" t="s">
        <v>18</v>
      </c>
      <c r="N388" t="s">
        <v>23</v>
      </c>
      <c r="O388" t="s">
        <v>17</v>
      </c>
    </row>
    <row r="389" spans="1:15" x14ac:dyDescent="0.25">
      <c r="A389" t="s">
        <v>957</v>
      </c>
      <c r="B389" t="s">
        <v>958</v>
      </c>
      <c r="C389" t="s">
        <v>32</v>
      </c>
      <c r="D389" t="s">
        <v>1364</v>
      </c>
      <c r="E389" t="s">
        <v>1365</v>
      </c>
      <c r="F389" s="4">
        <v>0</v>
      </c>
      <c r="G389" s="4">
        <v>1100000</v>
      </c>
      <c r="H389" s="4">
        <f t="shared" si="13"/>
        <v>1100000</v>
      </c>
      <c r="I389" s="4">
        <v>176000</v>
      </c>
      <c r="J389" s="4">
        <f t="shared" si="14"/>
        <v>176000</v>
      </c>
      <c r="K389" s="4">
        <v>0</v>
      </c>
      <c r="L389" s="4">
        <v>1276000</v>
      </c>
      <c r="M389" t="s">
        <v>158</v>
      </c>
      <c r="N389" t="s">
        <v>35</v>
      </c>
      <c r="O389" t="s">
        <v>17</v>
      </c>
    </row>
    <row r="390" spans="1:15" x14ac:dyDescent="0.25">
      <c r="A390" t="s">
        <v>776</v>
      </c>
      <c r="B390" t="s">
        <v>777</v>
      </c>
      <c r="C390" t="s">
        <v>149</v>
      </c>
      <c r="D390" t="s">
        <v>786</v>
      </c>
      <c r="E390" t="s">
        <v>787</v>
      </c>
      <c r="F390" s="4">
        <v>0</v>
      </c>
      <c r="G390" s="4">
        <v>200000</v>
      </c>
      <c r="H390" s="4">
        <f t="shared" si="13"/>
        <v>200000</v>
      </c>
      <c r="I390" s="4">
        <v>32000</v>
      </c>
      <c r="J390" s="4">
        <f t="shared" si="14"/>
        <v>32000</v>
      </c>
      <c r="K390" s="4">
        <v>0</v>
      </c>
      <c r="L390" s="4">
        <v>232000</v>
      </c>
      <c r="M390" t="s">
        <v>18</v>
      </c>
      <c r="N390" t="s">
        <v>780</v>
      </c>
      <c r="O390" t="s">
        <v>17</v>
      </c>
    </row>
    <row r="391" spans="1:15" x14ac:dyDescent="0.25">
      <c r="A391" t="s">
        <v>688</v>
      </c>
      <c r="B391" t="s">
        <v>689</v>
      </c>
      <c r="C391" t="s">
        <v>32</v>
      </c>
      <c r="D391" t="s">
        <v>690</v>
      </c>
      <c r="E391" t="s">
        <v>691</v>
      </c>
      <c r="F391" s="4">
        <v>0</v>
      </c>
      <c r="G391" s="4">
        <v>436100</v>
      </c>
      <c r="H391" s="4">
        <f t="shared" si="13"/>
        <v>436100</v>
      </c>
      <c r="I391" s="4">
        <v>69776</v>
      </c>
      <c r="J391" s="4">
        <f t="shared" si="14"/>
        <v>69776</v>
      </c>
      <c r="K391" s="4">
        <v>0</v>
      </c>
      <c r="L391" s="4">
        <v>505876</v>
      </c>
      <c r="M391" t="s">
        <v>158</v>
      </c>
      <c r="N391" t="s">
        <v>692</v>
      </c>
      <c r="O391" t="s">
        <v>17</v>
      </c>
    </row>
    <row r="392" spans="1:15" x14ac:dyDescent="0.25">
      <c r="A392" t="s">
        <v>869</v>
      </c>
      <c r="B392" t="s">
        <v>870</v>
      </c>
      <c r="C392" t="s">
        <v>149</v>
      </c>
      <c r="D392" t="s">
        <v>1420</v>
      </c>
      <c r="E392" t="s">
        <v>1421</v>
      </c>
      <c r="F392" s="4">
        <v>0</v>
      </c>
      <c r="G392" s="4">
        <v>1050000</v>
      </c>
      <c r="H392" s="4">
        <f t="shared" si="13"/>
        <v>1050000</v>
      </c>
      <c r="I392" s="4">
        <v>168000</v>
      </c>
      <c r="J392" s="4">
        <f t="shared" si="14"/>
        <v>168000</v>
      </c>
      <c r="K392" s="4">
        <v>0</v>
      </c>
      <c r="L392" s="4">
        <v>1218000</v>
      </c>
      <c r="M392" t="s">
        <v>158</v>
      </c>
      <c r="N392" t="s">
        <v>35</v>
      </c>
      <c r="O392" t="s">
        <v>17</v>
      </c>
    </row>
    <row r="393" spans="1:15" x14ac:dyDescent="0.25">
      <c r="A393" t="s">
        <v>590</v>
      </c>
      <c r="B393" t="s">
        <v>591</v>
      </c>
      <c r="C393" t="s">
        <v>26</v>
      </c>
      <c r="D393" t="s">
        <v>592</v>
      </c>
      <c r="E393" t="s">
        <v>593</v>
      </c>
      <c r="F393" s="4">
        <v>0</v>
      </c>
      <c r="G393" s="4">
        <v>2300000</v>
      </c>
      <c r="H393" s="4">
        <f t="shared" si="13"/>
        <v>2300000</v>
      </c>
      <c r="I393" s="4">
        <v>368000</v>
      </c>
      <c r="J393" s="4">
        <f t="shared" si="14"/>
        <v>368000</v>
      </c>
      <c r="K393" s="4">
        <v>0</v>
      </c>
      <c r="L393" s="4">
        <v>2668000</v>
      </c>
      <c r="M393" t="s">
        <v>18</v>
      </c>
      <c r="N393" t="s">
        <v>594</v>
      </c>
      <c r="O393" t="s">
        <v>17</v>
      </c>
    </row>
    <row r="394" spans="1:15" x14ac:dyDescent="0.25">
      <c r="A394" t="s">
        <v>12</v>
      </c>
      <c r="B394" t="s">
        <v>13</v>
      </c>
      <c r="C394" t="s">
        <v>32</v>
      </c>
      <c r="D394" t="s">
        <v>50</v>
      </c>
      <c r="E394" t="s">
        <v>51</v>
      </c>
      <c r="F394" s="4">
        <v>0</v>
      </c>
      <c r="G394" s="4">
        <v>37515.660000000003</v>
      </c>
      <c r="H394" s="4">
        <f t="shared" si="13"/>
        <v>37515.660000000003</v>
      </c>
      <c r="I394" s="4">
        <v>6002.51</v>
      </c>
      <c r="J394" s="4">
        <f t="shared" si="14"/>
        <v>6002.5056000000004</v>
      </c>
      <c r="K394" s="4">
        <v>-4.3999999998050043E-3</v>
      </c>
      <c r="L394" s="4">
        <v>43518.17</v>
      </c>
      <c r="M394" t="s">
        <v>52</v>
      </c>
      <c r="N394" t="s">
        <v>53</v>
      </c>
      <c r="O394" t="s">
        <v>54</v>
      </c>
    </row>
    <row r="395" spans="1:15" x14ac:dyDescent="0.25">
      <c r="A395" t="s">
        <v>12</v>
      </c>
      <c r="B395" t="s">
        <v>13</v>
      </c>
      <c r="C395" t="s">
        <v>85</v>
      </c>
      <c r="D395" t="s">
        <v>108</v>
      </c>
      <c r="E395" t="s">
        <v>109</v>
      </c>
      <c r="F395" s="4">
        <v>0</v>
      </c>
      <c r="G395" s="4">
        <v>133984.64000000001</v>
      </c>
      <c r="H395" s="4">
        <f t="shared" si="13"/>
        <v>133984.64000000001</v>
      </c>
      <c r="I395" s="4">
        <v>21437.54</v>
      </c>
      <c r="J395" s="4">
        <f t="shared" si="14"/>
        <v>21437.542400000002</v>
      </c>
      <c r="K395" s="4">
        <v>2.4000000012165401E-3</v>
      </c>
      <c r="L395" s="4">
        <v>155422.18</v>
      </c>
      <c r="M395" t="s">
        <v>60</v>
      </c>
      <c r="N395" t="s">
        <v>110</v>
      </c>
      <c r="O395" t="s">
        <v>54</v>
      </c>
    </row>
    <row r="396" spans="1:15" x14ac:dyDescent="0.25">
      <c r="A396" t="s">
        <v>12</v>
      </c>
      <c r="B396" t="s">
        <v>13</v>
      </c>
      <c r="C396" t="s">
        <v>81</v>
      </c>
      <c r="D396" t="s">
        <v>82</v>
      </c>
      <c r="E396" t="s">
        <v>83</v>
      </c>
      <c r="F396" s="4">
        <v>0</v>
      </c>
      <c r="G396" s="4">
        <v>73691.509999999995</v>
      </c>
      <c r="H396" s="4">
        <f t="shared" si="13"/>
        <v>73691.509999999995</v>
      </c>
      <c r="I396" s="4">
        <v>11790.64</v>
      </c>
      <c r="J396" s="4">
        <f t="shared" si="14"/>
        <v>11790.641599999999</v>
      </c>
      <c r="K396" s="4">
        <v>1.5999999995983671E-3</v>
      </c>
      <c r="L396" s="4">
        <v>85482.15</v>
      </c>
      <c r="M396" t="s">
        <v>60</v>
      </c>
      <c r="N396" t="s">
        <v>84</v>
      </c>
      <c r="O396" t="s">
        <v>54</v>
      </c>
    </row>
    <row r="397" spans="1:15" x14ac:dyDescent="0.25">
      <c r="A397" t="s">
        <v>861</v>
      </c>
      <c r="B397" t="s">
        <v>862</v>
      </c>
      <c r="C397" t="s">
        <v>26</v>
      </c>
      <c r="D397" t="s">
        <v>887</v>
      </c>
      <c r="E397" t="s">
        <v>888</v>
      </c>
      <c r="F397" s="4">
        <v>0</v>
      </c>
      <c r="G397" s="4">
        <v>700000</v>
      </c>
      <c r="H397" s="4">
        <f t="shared" si="13"/>
        <v>700000</v>
      </c>
      <c r="I397" s="4">
        <v>112000</v>
      </c>
      <c r="J397" s="4">
        <f t="shared" si="14"/>
        <v>112000</v>
      </c>
      <c r="K397" s="4">
        <v>0</v>
      </c>
      <c r="L397" s="4">
        <v>812000</v>
      </c>
      <c r="M397" t="s">
        <v>18</v>
      </c>
      <c r="N397" t="s">
        <v>23</v>
      </c>
      <c r="O397" t="s">
        <v>17</v>
      </c>
    </row>
    <row r="398" spans="1:15" x14ac:dyDescent="0.25">
      <c r="A398" t="s">
        <v>945</v>
      </c>
      <c r="B398" t="s">
        <v>946</v>
      </c>
      <c r="C398" t="s">
        <v>32</v>
      </c>
      <c r="D398" t="s">
        <v>947</v>
      </c>
      <c r="E398" t="s">
        <v>948</v>
      </c>
      <c r="F398" s="4">
        <v>0</v>
      </c>
      <c r="G398" s="4">
        <v>700000</v>
      </c>
      <c r="H398" s="4">
        <f t="shared" si="13"/>
        <v>700000</v>
      </c>
      <c r="I398" s="4">
        <v>112000</v>
      </c>
      <c r="J398" s="4">
        <f t="shared" si="14"/>
        <v>112000</v>
      </c>
      <c r="K398" s="4">
        <v>0</v>
      </c>
      <c r="L398" s="4">
        <v>812000</v>
      </c>
      <c r="M398" t="s">
        <v>60</v>
      </c>
      <c r="N398" t="s">
        <v>277</v>
      </c>
      <c r="O398" t="s">
        <v>17</v>
      </c>
    </row>
    <row r="399" spans="1:15" x14ac:dyDescent="0.25">
      <c r="A399" t="s">
        <v>883</v>
      </c>
      <c r="B399" t="s">
        <v>884</v>
      </c>
      <c r="C399" t="s">
        <v>26</v>
      </c>
      <c r="D399" t="s">
        <v>885</v>
      </c>
      <c r="E399" t="s">
        <v>886</v>
      </c>
      <c r="F399" s="4">
        <v>0</v>
      </c>
      <c r="G399" s="4">
        <v>1560000</v>
      </c>
      <c r="H399" s="4">
        <f t="shared" si="13"/>
        <v>1560000</v>
      </c>
      <c r="I399" s="4">
        <v>249600</v>
      </c>
      <c r="J399" s="4">
        <f t="shared" si="14"/>
        <v>249600</v>
      </c>
      <c r="K399" s="4">
        <v>0</v>
      </c>
      <c r="L399" s="4">
        <v>1809600</v>
      </c>
      <c r="M399" t="s">
        <v>18</v>
      </c>
      <c r="N399" t="s">
        <v>23</v>
      </c>
      <c r="O399" t="s">
        <v>17</v>
      </c>
    </row>
    <row r="400" spans="1:15" x14ac:dyDescent="0.25">
      <c r="A400" t="s">
        <v>667</v>
      </c>
      <c r="B400" t="s">
        <v>668</v>
      </c>
      <c r="C400" t="s">
        <v>46</v>
      </c>
      <c r="D400" t="s">
        <v>1205</v>
      </c>
      <c r="E400" t="s">
        <v>1206</v>
      </c>
      <c r="F400" s="4">
        <v>0</v>
      </c>
      <c r="G400" s="4">
        <v>1720000</v>
      </c>
      <c r="H400" s="4">
        <f t="shared" si="13"/>
        <v>1720000</v>
      </c>
      <c r="I400" s="4">
        <v>275200</v>
      </c>
      <c r="J400" s="4">
        <f t="shared" si="14"/>
        <v>275200</v>
      </c>
      <c r="K400" s="4">
        <v>0</v>
      </c>
      <c r="L400" s="4">
        <v>1995200</v>
      </c>
      <c r="M400" t="s">
        <v>18</v>
      </c>
      <c r="N400" t="s">
        <v>331</v>
      </c>
      <c r="O400" t="s">
        <v>17</v>
      </c>
    </row>
    <row r="401" spans="1:15" x14ac:dyDescent="0.25">
      <c r="A401" t="s">
        <v>905</v>
      </c>
      <c r="B401" t="s">
        <v>906</v>
      </c>
      <c r="C401" t="s">
        <v>32</v>
      </c>
      <c r="D401" t="s">
        <v>1158</v>
      </c>
      <c r="E401" t="s">
        <v>1159</v>
      </c>
      <c r="F401" s="4">
        <v>0</v>
      </c>
      <c r="G401" s="4">
        <v>2380000</v>
      </c>
      <c r="H401" s="4">
        <f t="shared" si="13"/>
        <v>2380000</v>
      </c>
      <c r="I401" s="4">
        <v>380800</v>
      </c>
      <c r="J401" s="4">
        <f t="shared" si="14"/>
        <v>380800</v>
      </c>
      <c r="K401" s="4">
        <v>0</v>
      </c>
      <c r="L401" s="4">
        <v>2760800</v>
      </c>
      <c r="M401" t="s">
        <v>18</v>
      </c>
      <c r="N401" t="s">
        <v>331</v>
      </c>
      <c r="O401" t="s">
        <v>906</v>
      </c>
    </row>
    <row r="402" spans="1:15" x14ac:dyDescent="0.25">
      <c r="A402" t="s">
        <v>895</v>
      </c>
      <c r="B402" t="s">
        <v>896</v>
      </c>
      <c r="C402" t="s">
        <v>149</v>
      </c>
      <c r="D402" t="s">
        <v>897</v>
      </c>
      <c r="E402" t="s">
        <v>898</v>
      </c>
      <c r="F402" s="4">
        <v>0</v>
      </c>
      <c r="G402" s="4">
        <v>600000</v>
      </c>
      <c r="H402" s="4">
        <f t="shared" si="13"/>
        <v>600000</v>
      </c>
      <c r="I402" s="4">
        <v>96000</v>
      </c>
      <c r="J402" s="4">
        <f t="shared" si="14"/>
        <v>96000</v>
      </c>
      <c r="K402" s="4">
        <v>0</v>
      </c>
      <c r="L402" s="4">
        <v>696000</v>
      </c>
      <c r="M402" t="s">
        <v>18</v>
      </c>
      <c r="N402" t="s">
        <v>23</v>
      </c>
      <c r="O402" t="s">
        <v>17</v>
      </c>
    </row>
    <row r="403" spans="1:15" x14ac:dyDescent="0.25">
      <c r="A403" t="s">
        <v>891</v>
      </c>
      <c r="B403" t="s">
        <v>892</v>
      </c>
      <c r="C403" t="s">
        <v>783</v>
      </c>
      <c r="D403" t="s">
        <v>893</v>
      </c>
      <c r="E403" t="s">
        <v>894</v>
      </c>
      <c r="F403" s="4">
        <v>0</v>
      </c>
      <c r="G403" s="4">
        <v>1400000</v>
      </c>
      <c r="H403" s="4">
        <f t="shared" si="13"/>
        <v>1400000</v>
      </c>
      <c r="I403" s="4">
        <v>224000</v>
      </c>
      <c r="J403" s="4">
        <f t="shared" si="14"/>
        <v>224000</v>
      </c>
      <c r="K403" s="4">
        <v>0</v>
      </c>
      <c r="L403" s="4">
        <v>1624000</v>
      </c>
      <c r="M403" t="s">
        <v>18</v>
      </c>
      <c r="N403" t="s">
        <v>23</v>
      </c>
      <c r="O403" t="s">
        <v>17</v>
      </c>
    </row>
    <row r="404" spans="1:15" x14ac:dyDescent="0.25">
      <c r="A404" t="s">
        <v>1154</v>
      </c>
      <c r="B404" t="s">
        <v>1155</v>
      </c>
      <c r="C404" t="s">
        <v>32</v>
      </c>
      <c r="D404" t="s">
        <v>1156</v>
      </c>
      <c r="E404" t="s">
        <v>1157</v>
      </c>
      <c r="F404" s="4">
        <v>0</v>
      </c>
      <c r="G404" s="4">
        <v>500000</v>
      </c>
      <c r="H404" s="4">
        <f t="shared" si="13"/>
        <v>500000</v>
      </c>
      <c r="I404" s="4">
        <v>80000</v>
      </c>
      <c r="J404" s="4">
        <f t="shared" si="14"/>
        <v>80000</v>
      </c>
      <c r="K404" s="4">
        <v>0</v>
      </c>
      <c r="L404" s="4">
        <v>580000</v>
      </c>
      <c r="M404" t="s">
        <v>18</v>
      </c>
      <c r="N404" t="s">
        <v>331</v>
      </c>
      <c r="O404" t="s">
        <v>17</v>
      </c>
    </row>
    <row r="405" spans="1:15" x14ac:dyDescent="0.25">
      <c r="A405" t="s">
        <v>490</v>
      </c>
      <c r="B405" t="s">
        <v>491</v>
      </c>
      <c r="C405" t="s">
        <v>32</v>
      </c>
      <c r="D405" t="s">
        <v>943</v>
      </c>
      <c r="E405" t="s">
        <v>944</v>
      </c>
      <c r="F405" s="4">
        <v>0</v>
      </c>
      <c r="G405" s="4">
        <v>4375000</v>
      </c>
      <c r="H405" s="4">
        <f t="shared" si="13"/>
        <v>4375000</v>
      </c>
      <c r="I405" s="4">
        <v>700000</v>
      </c>
      <c r="J405" s="4">
        <f t="shared" si="14"/>
        <v>700000</v>
      </c>
      <c r="K405" s="4">
        <v>0</v>
      </c>
      <c r="L405" s="4">
        <v>5075000</v>
      </c>
      <c r="M405" t="s">
        <v>18</v>
      </c>
      <c r="N405" t="s">
        <v>277</v>
      </c>
      <c r="O405" t="s">
        <v>17</v>
      </c>
    </row>
    <row r="406" spans="1:15" x14ac:dyDescent="0.25">
      <c r="A406" t="s">
        <v>776</v>
      </c>
      <c r="B406" t="s">
        <v>777</v>
      </c>
      <c r="C406" t="s">
        <v>26</v>
      </c>
      <c r="D406" t="s">
        <v>778</v>
      </c>
      <c r="E406" t="s">
        <v>779</v>
      </c>
      <c r="F406" s="4">
        <v>0</v>
      </c>
      <c r="G406" s="4">
        <v>200000</v>
      </c>
      <c r="H406" s="4">
        <f t="shared" si="13"/>
        <v>200000</v>
      </c>
      <c r="I406" s="4">
        <v>32000</v>
      </c>
      <c r="J406" s="4">
        <f t="shared" si="14"/>
        <v>32000</v>
      </c>
      <c r="K406" s="4">
        <v>0</v>
      </c>
      <c r="L406" s="4">
        <v>232000</v>
      </c>
      <c r="M406" t="s">
        <v>18</v>
      </c>
      <c r="N406" t="s">
        <v>780</v>
      </c>
      <c r="O406" t="s">
        <v>17</v>
      </c>
    </row>
    <row r="407" spans="1:15" x14ac:dyDescent="0.25">
      <c r="A407" t="s">
        <v>633</v>
      </c>
      <c r="B407" t="s">
        <v>634</v>
      </c>
      <c r="C407" t="s">
        <v>26</v>
      </c>
      <c r="D407" t="s">
        <v>635</v>
      </c>
      <c r="E407" t="s">
        <v>636</v>
      </c>
      <c r="F407" s="4">
        <v>0</v>
      </c>
      <c r="G407" s="4">
        <v>300000</v>
      </c>
      <c r="H407" s="4">
        <f t="shared" si="13"/>
        <v>300000</v>
      </c>
      <c r="I407" s="4">
        <v>48000</v>
      </c>
      <c r="J407" s="4">
        <f t="shared" si="14"/>
        <v>48000</v>
      </c>
      <c r="K407" s="4">
        <v>0</v>
      </c>
      <c r="L407" s="4">
        <v>348000</v>
      </c>
      <c r="M407" t="s">
        <v>18</v>
      </c>
      <c r="N407" t="s">
        <v>637</v>
      </c>
      <c r="O407" t="s">
        <v>17</v>
      </c>
    </row>
    <row r="408" spans="1:15" x14ac:dyDescent="0.25">
      <c r="A408" t="s">
        <v>12</v>
      </c>
      <c r="B408" t="s">
        <v>13</v>
      </c>
      <c r="C408" t="s">
        <v>32</v>
      </c>
      <c r="D408" t="s">
        <v>55</v>
      </c>
      <c r="E408" t="s">
        <v>56</v>
      </c>
      <c r="F408" s="4">
        <v>0</v>
      </c>
      <c r="G408" s="4">
        <v>403615.48</v>
      </c>
      <c r="H408" s="4">
        <f t="shared" si="13"/>
        <v>403615.48</v>
      </c>
      <c r="I408" s="4">
        <v>64578.48</v>
      </c>
      <c r="J408" s="4">
        <f t="shared" si="14"/>
        <v>64578.476799999997</v>
      </c>
      <c r="K408" s="4">
        <v>-3.2000000064726919E-3</v>
      </c>
      <c r="L408" s="4">
        <v>468193.96</v>
      </c>
      <c r="M408" t="s">
        <v>18</v>
      </c>
      <c r="N408" t="s">
        <v>57</v>
      </c>
      <c r="O408" t="s">
        <v>54</v>
      </c>
    </row>
    <row r="409" spans="1:15" x14ac:dyDescent="0.25">
      <c r="A409" t="s">
        <v>12</v>
      </c>
      <c r="B409" t="s">
        <v>13</v>
      </c>
      <c r="C409" t="s">
        <v>85</v>
      </c>
      <c r="D409" t="s">
        <v>86</v>
      </c>
      <c r="E409" t="s">
        <v>87</v>
      </c>
      <c r="F409" s="4">
        <v>0</v>
      </c>
      <c r="G409" s="4">
        <v>637287.6</v>
      </c>
      <c r="H409" s="4">
        <f t="shared" si="13"/>
        <v>637287.6</v>
      </c>
      <c r="I409" s="4">
        <v>101966.02</v>
      </c>
      <c r="J409" s="4">
        <f t="shared" si="14"/>
        <v>101966.016</v>
      </c>
      <c r="K409" s="4">
        <v>-4.0000000008149073E-3</v>
      </c>
      <c r="L409" s="4">
        <v>739253.62</v>
      </c>
      <c r="M409" t="s">
        <v>18</v>
      </c>
      <c r="N409" t="s">
        <v>84</v>
      </c>
      <c r="O409" t="s">
        <v>54</v>
      </c>
    </row>
    <row r="410" spans="1:15" x14ac:dyDescent="0.25">
      <c r="A410" t="s">
        <v>24</v>
      </c>
      <c r="B410" t="s">
        <v>25</v>
      </c>
      <c r="C410" t="s">
        <v>40</v>
      </c>
      <c r="D410" t="s">
        <v>41</v>
      </c>
      <c r="E410" t="s">
        <v>42</v>
      </c>
      <c r="F410" s="4">
        <v>98400</v>
      </c>
      <c r="G410" s="4">
        <v>656000</v>
      </c>
      <c r="H410" s="4">
        <f t="shared" si="13"/>
        <v>754400</v>
      </c>
      <c r="I410" s="4">
        <v>120704</v>
      </c>
      <c r="J410" s="4">
        <f t="shared" si="14"/>
        <v>120704</v>
      </c>
      <c r="K410" s="4">
        <v>0</v>
      </c>
      <c r="L410" s="4">
        <v>875104</v>
      </c>
      <c r="M410" t="s">
        <v>18</v>
      </c>
      <c r="N410" t="s">
        <v>38</v>
      </c>
      <c r="O410" t="s">
        <v>39</v>
      </c>
    </row>
    <row r="411" spans="1:15" x14ac:dyDescent="0.25">
      <c r="A411" t="s">
        <v>24</v>
      </c>
      <c r="B411" t="s">
        <v>25</v>
      </c>
      <c r="C411" t="s">
        <v>32</v>
      </c>
      <c r="D411" t="s">
        <v>36</v>
      </c>
      <c r="E411" t="s">
        <v>37</v>
      </c>
      <c r="F411" s="4">
        <v>98400</v>
      </c>
      <c r="G411" s="4">
        <v>656000</v>
      </c>
      <c r="H411" s="4">
        <f t="shared" si="13"/>
        <v>754400</v>
      </c>
      <c r="I411" s="4">
        <v>120704</v>
      </c>
      <c r="J411" s="4">
        <f t="shared" si="14"/>
        <v>120704</v>
      </c>
      <c r="K411" s="4">
        <v>0</v>
      </c>
      <c r="L411" s="4">
        <v>875104</v>
      </c>
      <c r="M411" t="s">
        <v>18</v>
      </c>
      <c r="N411" t="s">
        <v>38</v>
      </c>
      <c r="O411" t="s">
        <v>39</v>
      </c>
    </row>
    <row r="412" spans="1:15" x14ac:dyDescent="0.25">
      <c r="A412" t="s">
        <v>861</v>
      </c>
      <c r="B412" t="s">
        <v>862</v>
      </c>
      <c r="C412" t="s">
        <v>32</v>
      </c>
      <c r="D412" t="s">
        <v>863</v>
      </c>
      <c r="E412" t="s">
        <v>864</v>
      </c>
      <c r="F412" s="4">
        <v>0</v>
      </c>
      <c r="G412" s="4">
        <v>700000</v>
      </c>
      <c r="H412" s="4">
        <f t="shared" si="13"/>
        <v>700000</v>
      </c>
      <c r="I412" s="4">
        <v>112000</v>
      </c>
      <c r="J412" s="4">
        <f t="shared" si="14"/>
        <v>112000</v>
      </c>
      <c r="K412" s="4">
        <v>0</v>
      </c>
      <c r="L412" s="4">
        <v>812000</v>
      </c>
      <c r="M412" t="s">
        <v>18</v>
      </c>
      <c r="N412" t="s">
        <v>23</v>
      </c>
      <c r="O412" t="s">
        <v>17</v>
      </c>
    </row>
    <row r="413" spans="1:15" x14ac:dyDescent="0.25">
      <c r="A413" t="s">
        <v>607</v>
      </c>
      <c r="B413" t="s">
        <v>608</v>
      </c>
      <c r="C413" t="s">
        <v>26</v>
      </c>
      <c r="D413" t="s">
        <v>852</v>
      </c>
      <c r="E413" t="s">
        <v>853</v>
      </c>
      <c r="F413" s="4">
        <v>0</v>
      </c>
      <c r="G413" s="4">
        <v>3080000</v>
      </c>
      <c r="H413" s="4">
        <f t="shared" si="13"/>
        <v>3080000</v>
      </c>
      <c r="I413" s="4">
        <v>492800</v>
      </c>
      <c r="J413" s="4">
        <f t="shared" si="14"/>
        <v>492800</v>
      </c>
      <c r="K413" s="4">
        <v>0</v>
      </c>
      <c r="L413" s="4">
        <v>3572800</v>
      </c>
      <c r="M413" t="s">
        <v>18</v>
      </c>
      <c r="N413" t="s">
        <v>854</v>
      </c>
      <c r="O413" t="s">
        <v>17</v>
      </c>
    </row>
    <row r="414" spans="1:15" x14ac:dyDescent="0.25">
      <c r="A414" t="s">
        <v>967</v>
      </c>
      <c r="B414" t="s">
        <v>968</v>
      </c>
      <c r="C414" t="s">
        <v>32</v>
      </c>
      <c r="D414" t="s">
        <v>1152</v>
      </c>
      <c r="E414" t="s">
        <v>1153</v>
      </c>
      <c r="F414" s="4">
        <v>0</v>
      </c>
      <c r="G414" s="4">
        <v>700000</v>
      </c>
      <c r="H414" s="4">
        <f t="shared" si="13"/>
        <v>700000</v>
      </c>
      <c r="I414" s="4">
        <v>112000</v>
      </c>
      <c r="J414" s="4">
        <f t="shared" si="14"/>
        <v>112000</v>
      </c>
      <c r="K414" s="4">
        <v>0</v>
      </c>
      <c r="L414" s="4">
        <v>812000</v>
      </c>
      <c r="M414" t="s">
        <v>18</v>
      </c>
      <c r="N414" t="s">
        <v>331</v>
      </c>
      <c r="O414" t="s">
        <v>17</v>
      </c>
    </row>
    <row r="415" spans="1:15" x14ac:dyDescent="0.25">
      <c r="A415" t="s">
        <v>967</v>
      </c>
      <c r="B415" t="s">
        <v>968</v>
      </c>
      <c r="C415" t="s">
        <v>26</v>
      </c>
      <c r="D415" t="s">
        <v>969</v>
      </c>
      <c r="E415" t="s">
        <v>970</v>
      </c>
      <c r="F415" s="4">
        <v>0</v>
      </c>
      <c r="G415" s="4">
        <v>875000</v>
      </c>
      <c r="H415" s="4">
        <f t="shared" si="13"/>
        <v>875000</v>
      </c>
      <c r="I415" s="4">
        <v>140000</v>
      </c>
      <c r="J415" s="4">
        <f t="shared" si="14"/>
        <v>140000</v>
      </c>
      <c r="K415" s="4">
        <v>0</v>
      </c>
      <c r="L415" s="4">
        <v>1015000</v>
      </c>
      <c r="M415" t="s">
        <v>18</v>
      </c>
      <c r="N415" t="s">
        <v>277</v>
      </c>
      <c r="O415" t="s">
        <v>17</v>
      </c>
    </row>
    <row r="416" spans="1:15" x14ac:dyDescent="0.25">
      <c r="A416" t="s">
        <v>792</v>
      </c>
      <c r="B416" t="s">
        <v>793</v>
      </c>
      <c r="C416" t="s">
        <v>81</v>
      </c>
      <c r="D416" t="s">
        <v>1168</v>
      </c>
      <c r="E416" t="s">
        <v>1169</v>
      </c>
      <c r="F416" s="4">
        <v>0</v>
      </c>
      <c r="G416" s="4">
        <v>500000</v>
      </c>
      <c r="H416" s="4">
        <f t="shared" si="13"/>
        <v>500000</v>
      </c>
      <c r="I416" s="4">
        <v>80000</v>
      </c>
      <c r="J416" s="4">
        <f t="shared" si="14"/>
        <v>80000</v>
      </c>
      <c r="K416" s="4">
        <v>0</v>
      </c>
      <c r="L416" s="4">
        <v>580000</v>
      </c>
      <c r="M416" t="s">
        <v>18</v>
      </c>
      <c r="N416" t="s">
        <v>331</v>
      </c>
      <c r="O416" t="s">
        <v>17</v>
      </c>
    </row>
    <row r="417" spans="1:15" x14ac:dyDescent="0.25">
      <c r="A417" t="s">
        <v>1192</v>
      </c>
      <c r="B417" t="s">
        <v>1193</v>
      </c>
      <c r="C417" t="s">
        <v>32</v>
      </c>
      <c r="D417" t="s">
        <v>1250</v>
      </c>
      <c r="E417" t="s">
        <v>1251</v>
      </c>
      <c r="F417" s="4">
        <v>0</v>
      </c>
      <c r="G417" s="4">
        <v>575000</v>
      </c>
      <c r="H417" s="4">
        <f t="shared" si="13"/>
        <v>575000</v>
      </c>
      <c r="I417" s="4">
        <v>92000</v>
      </c>
      <c r="J417" s="4">
        <f t="shared" si="14"/>
        <v>92000</v>
      </c>
      <c r="K417" s="4">
        <v>0</v>
      </c>
      <c r="L417" s="4">
        <v>667000</v>
      </c>
      <c r="M417" t="s">
        <v>18</v>
      </c>
      <c r="N417" t="s">
        <v>1252</v>
      </c>
      <c r="O417" t="s">
        <v>1196</v>
      </c>
    </row>
    <row r="418" spans="1:15" x14ac:dyDescent="0.25">
      <c r="A418" t="s">
        <v>1148</v>
      </c>
      <c r="B418" t="s">
        <v>1149</v>
      </c>
      <c r="C418" t="s">
        <v>32</v>
      </c>
      <c r="D418" t="s">
        <v>1150</v>
      </c>
      <c r="E418" t="s">
        <v>1151</v>
      </c>
      <c r="F418" s="4">
        <v>0</v>
      </c>
      <c r="G418" s="4">
        <v>1470000</v>
      </c>
      <c r="H418" s="4">
        <f t="shared" si="13"/>
        <v>1470000</v>
      </c>
      <c r="I418" s="4">
        <v>235200</v>
      </c>
      <c r="J418" s="4">
        <f t="shared" si="14"/>
        <v>235200</v>
      </c>
      <c r="K418" s="4">
        <v>0</v>
      </c>
      <c r="L418" s="4">
        <v>1705200</v>
      </c>
      <c r="M418" t="s">
        <v>18</v>
      </c>
      <c r="N418" t="s">
        <v>331</v>
      </c>
      <c r="O418" t="s">
        <v>17</v>
      </c>
    </row>
    <row r="419" spans="1:15" x14ac:dyDescent="0.25">
      <c r="A419" t="s">
        <v>995</v>
      </c>
      <c r="B419" t="s">
        <v>996</v>
      </c>
      <c r="C419" t="s">
        <v>26</v>
      </c>
      <c r="D419" t="s">
        <v>1400</v>
      </c>
      <c r="E419" t="s">
        <v>1401</v>
      </c>
      <c r="F419" s="4">
        <v>0</v>
      </c>
      <c r="G419" s="4">
        <v>350000</v>
      </c>
      <c r="H419" s="4">
        <f t="shared" si="13"/>
        <v>350000</v>
      </c>
      <c r="I419" s="4">
        <v>56000</v>
      </c>
      <c r="J419" s="4">
        <f t="shared" si="14"/>
        <v>56000</v>
      </c>
      <c r="K419" s="4">
        <v>0</v>
      </c>
      <c r="L419" s="4">
        <v>406000</v>
      </c>
      <c r="M419" t="s">
        <v>187</v>
      </c>
      <c r="N419" t="s">
        <v>35</v>
      </c>
      <c r="O419" t="s">
        <v>17</v>
      </c>
    </row>
    <row r="420" spans="1:15" x14ac:dyDescent="0.25">
      <c r="A420" t="s">
        <v>281</v>
      </c>
      <c r="B420" t="s">
        <v>282</v>
      </c>
      <c r="C420" t="s">
        <v>143</v>
      </c>
      <c r="D420" t="s">
        <v>283</v>
      </c>
      <c r="E420" t="s">
        <v>284</v>
      </c>
      <c r="F420" s="4">
        <v>0</v>
      </c>
      <c r="G420" s="4">
        <v>922500</v>
      </c>
      <c r="H420" s="4">
        <f t="shared" si="13"/>
        <v>922500</v>
      </c>
      <c r="I420" s="4">
        <v>147600</v>
      </c>
      <c r="J420" s="4">
        <f t="shared" si="14"/>
        <v>147600</v>
      </c>
      <c r="K420" s="4">
        <v>0</v>
      </c>
      <c r="L420" s="4">
        <v>1070100</v>
      </c>
      <c r="M420" t="s">
        <v>18</v>
      </c>
      <c r="N420" t="s">
        <v>277</v>
      </c>
      <c r="O420" t="s">
        <v>285</v>
      </c>
    </row>
    <row r="421" spans="1:15" x14ac:dyDescent="0.25">
      <c r="A421" t="s">
        <v>227</v>
      </c>
      <c r="B421" t="s">
        <v>228</v>
      </c>
      <c r="C421" t="s">
        <v>252</v>
      </c>
      <c r="D421" t="s">
        <v>384</v>
      </c>
      <c r="E421" t="s">
        <v>385</v>
      </c>
      <c r="F421" s="4">
        <v>0</v>
      </c>
      <c r="G421" s="4">
        <v>1623600</v>
      </c>
      <c r="H421" s="4">
        <f t="shared" si="13"/>
        <v>1623600</v>
      </c>
      <c r="I421" s="4">
        <v>259776</v>
      </c>
      <c r="J421" s="4">
        <f t="shared" si="14"/>
        <v>259776</v>
      </c>
      <c r="K421" s="4">
        <v>0</v>
      </c>
      <c r="L421" s="4">
        <v>1883376</v>
      </c>
      <c r="M421" t="s">
        <v>29</v>
      </c>
      <c r="N421" t="s">
        <v>35</v>
      </c>
      <c r="O421" t="s">
        <v>232</v>
      </c>
    </row>
    <row r="422" spans="1:15" x14ac:dyDescent="0.25">
      <c r="A422" t="s">
        <v>12</v>
      </c>
      <c r="B422" t="s">
        <v>13</v>
      </c>
      <c r="C422" t="s">
        <v>32</v>
      </c>
      <c r="D422" t="s">
        <v>432</v>
      </c>
      <c r="E422" t="s">
        <v>433</v>
      </c>
      <c r="F422" s="4">
        <v>0</v>
      </c>
      <c r="G422" s="4">
        <v>697000</v>
      </c>
      <c r="H422" s="4">
        <f t="shared" si="13"/>
        <v>697000</v>
      </c>
      <c r="I422" s="4">
        <v>111520</v>
      </c>
      <c r="J422" s="4">
        <f t="shared" si="14"/>
        <v>111520</v>
      </c>
      <c r="K422" s="4">
        <v>0</v>
      </c>
      <c r="L422" s="4">
        <v>808520</v>
      </c>
      <c r="M422" t="s">
        <v>29</v>
      </c>
      <c r="N422" t="s">
        <v>431</v>
      </c>
      <c r="O422" t="s">
        <v>192</v>
      </c>
    </row>
    <row r="423" spans="1:15" x14ac:dyDescent="0.25">
      <c r="A423" t="s">
        <v>12</v>
      </c>
      <c r="B423" t="s">
        <v>13</v>
      </c>
      <c r="C423" t="s">
        <v>32</v>
      </c>
      <c r="D423" t="s">
        <v>429</v>
      </c>
      <c r="E423" t="s">
        <v>430</v>
      </c>
      <c r="F423" s="4">
        <v>0</v>
      </c>
      <c r="G423" s="4">
        <v>2091000</v>
      </c>
      <c r="H423" s="4">
        <f t="shared" si="13"/>
        <v>2091000</v>
      </c>
      <c r="I423" s="4">
        <v>334560</v>
      </c>
      <c r="J423" s="4">
        <f t="shared" si="14"/>
        <v>334560</v>
      </c>
      <c r="K423" s="4">
        <v>0</v>
      </c>
      <c r="L423" s="4">
        <v>2425560</v>
      </c>
      <c r="M423" t="s">
        <v>29</v>
      </c>
      <c r="N423" t="s">
        <v>431</v>
      </c>
      <c r="O423" t="s">
        <v>192</v>
      </c>
    </row>
    <row r="424" spans="1:15" x14ac:dyDescent="0.25">
      <c r="A424" t="s">
        <v>24</v>
      </c>
      <c r="B424" t="s">
        <v>25</v>
      </c>
      <c r="C424" t="s">
        <v>26</v>
      </c>
      <c r="D424" t="s">
        <v>27</v>
      </c>
      <c r="E424" t="s">
        <v>28</v>
      </c>
      <c r="F424" s="4">
        <v>209100</v>
      </c>
      <c r="G424" s="4">
        <v>1394000</v>
      </c>
      <c r="H424" s="4">
        <f t="shared" si="13"/>
        <v>1603100</v>
      </c>
      <c r="I424" s="4">
        <v>256496</v>
      </c>
      <c r="J424" s="4">
        <f t="shared" si="14"/>
        <v>256496</v>
      </c>
      <c r="K424" s="4">
        <v>0</v>
      </c>
      <c r="L424" s="4">
        <v>1859596</v>
      </c>
      <c r="M424" t="s">
        <v>29</v>
      </c>
      <c r="N424" t="s">
        <v>30</v>
      </c>
      <c r="O424" t="s">
        <v>31</v>
      </c>
    </row>
    <row r="425" spans="1:15" x14ac:dyDescent="0.25">
      <c r="A425" t="s">
        <v>141</v>
      </c>
      <c r="B425" t="s">
        <v>142</v>
      </c>
      <c r="C425" t="s">
        <v>204</v>
      </c>
      <c r="D425" t="s">
        <v>344</v>
      </c>
      <c r="E425" t="s">
        <v>345</v>
      </c>
      <c r="F425" s="4">
        <v>0</v>
      </c>
      <c r="G425" s="4">
        <v>829840</v>
      </c>
      <c r="H425" s="4">
        <f t="shared" si="13"/>
        <v>829840</v>
      </c>
      <c r="I425" s="4">
        <v>132774.39999999999</v>
      </c>
      <c r="J425" s="4">
        <f t="shared" si="14"/>
        <v>132774.39999999999</v>
      </c>
      <c r="K425" s="4">
        <v>0</v>
      </c>
      <c r="L425" s="4">
        <v>962614.4</v>
      </c>
      <c r="M425" t="s">
        <v>18</v>
      </c>
      <c r="N425" t="s">
        <v>342</v>
      </c>
      <c r="O425" t="s">
        <v>343</v>
      </c>
    </row>
    <row r="426" spans="1:15" x14ac:dyDescent="0.25">
      <c r="A426" t="s">
        <v>12</v>
      </c>
      <c r="B426" t="s">
        <v>13</v>
      </c>
      <c r="C426" t="s">
        <v>32</v>
      </c>
      <c r="D426" t="s">
        <v>414</v>
      </c>
      <c r="E426" t="s">
        <v>415</v>
      </c>
      <c r="F426" s="4">
        <v>0</v>
      </c>
      <c r="G426" s="4">
        <v>451000</v>
      </c>
      <c r="H426" s="4">
        <f t="shared" si="13"/>
        <v>451000</v>
      </c>
      <c r="I426" s="4">
        <v>72160</v>
      </c>
      <c r="J426" s="4">
        <f t="shared" si="14"/>
        <v>72160</v>
      </c>
      <c r="K426" s="4">
        <v>0</v>
      </c>
      <c r="L426" s="4">
        <v>523160</v>
      </c>
      <c r="M426" t="s">
        <v>179</v>
      </c>
      <c r="N426" t="s">
        <v>413</v>
      </c>
      <c r="O426" t="s">
        <v>192</v>
      </c>
    </row>
    <row r="427" spans="1:15" x14ac:dyDescent="0.25">
      <c r="A427" t="s">
        <v>12</v>
      </c>
      <c r="B427" t="s">
        <v>13</v>
      </c>
      <c r="C427" t="s">
        <v>85</v>
      </c>
      <c r="D427" t="s">
        <v>418</v>
      </c>
      <c r="E427" t="s">
        <v>419</v>
      </c>
      <c r="F427" s="4">
        <v>0</v>
      </c>
      <c r="G427" s="4">
        <v>902000</v>
      </c>
      <c r="H427" s="4">
        <f t="shared" si="13"/>
        <v>902000</v>
      </c>
      <c r="I427" s="4">
        <v>144320</v>
      </c>
      <c r="J427" s="4">
        <f t="shared" si="14"/>
        <v>144320</v>
      </c>
      <c r="K427" s="4">
        <v>0</v>
      </c>
      <c r="L427" s="4">
        <v>1046320</v>
      </c>
      <c r="M427" t="s">
        <v>179</v>
      </c>
      <c r="N427" t="s">
        <v>413</v>
      </c>
      <c r="O427" t="s">
        <v>192</v>
      </c>
    </row>
    <row r="428" spans="1:15" x14ac:dyDescent="0.25">
      <c r="A428" t="s">
        <v>771</v>
      </c>
      <c r="B428" t="s">
        <v>772</v>
      </c>
      <c r="C428" t="s">
        <v>32</v>
      </c>
      <c r="D428" t="s">
        <v>773</v>
      </c>
      <c r="E428" t="s">
        <v>774</v>
      </c>
      <c r="F428" s="4">
        <v>0</v>
      </c>
      <c r="G428" s="4">
        <v>500000</v>
      </c>
      <c r="H428" s="4">
        <f t="shared" si="13"/>
        <v>500000</v>
      </c>
      <c r="I428" s="4">
        <v>80000</v>
      </c>
      <c r="J428" s="4">
        <f t="shared" si="14"/>
        <v>80000</v>
      </c>
      <c r="K428" s="4">
        <v>0</v>
      </c>
      <c r="L428" s="4">
        <v>580000</v>
      </c>
      <c r="M428" t="s">
        <v>29</v>
      </c>
      <c r="N428" t="s">
        <v>775</v>
      </c>
      <c r="O428" t="s">
        <v>17</v>
      </c>
    </row>
    <row r="429" spans="1:15" x14ac:dyDescent="0.25">
      <c r="A429" t="s">
        <v>1015</v>
      </c>
      <c r="B429" t="s">
        <v>1016</v>
      </c>
      <c r="C429" t="s">
        <v>85</v>
      </c>
      <c r="D429" t="s">
        <v>1027</v>
      </c>
      <c r="E429" t="s">
        <v>1028</v>
      </c>
      <c r="F429" s="4">
        <v>0</v>
      </c>
      <c r="G429" s="4">
        <v>937500</v>
      </c>
      <c r="H429" s="4">
        <f t="shared" si="13"/>
        <v>937500</v>
      </c>
      <c r="I429" s="4">
        <v>150000</v>
      </c>
      <c r="J429" s="4">
        <f t="shared" si="14"/>
        <v>150000</v>
      </c>
      <c r="K429" s="4">
        <v>0</v>
      </c>
      <c r="L429" s="4">
        <v>1087500</v>
      </c>
      <c r="M429" t="s">
        <v>18</v>
      </c>
      <c r="N429" t="s">
        <v>19</v>
      </c>
      <c r="O429" t="s">
        <v>17</v>
      </c>
    </row>
    <row r="430" spans="1:15" x14ac:dyDescent="0.25">
      <c r="A430" t="s">
        <v>573</v>
      </c>
      <c r="B430" t="s">
        <v>574</v>
      </c>
      <c r="C430" t="s">
        <v>40</v>
      </c>
      <c r="D430" t="s">
        <v>575</v>
      </c>
      <c r="E430" t="s">
        <v>576</v>
      </c>
      <c r="F430" s="4">
        <v>0</v>
      </c>
      <c r="G430" s="4">
        <v>150000</v>
      </c>
      <c r="H430" s="4">
        <f t="shared" si="13"/>
        <v>150000</v>
      </c>
      <c r="I430" s="4">
        <v>24000</v>
      </c>
      <c r="J430" s="4">
        <f t="shared" si="14"/>
        <v>24000</v>
      </c>
      <c r="K430" s="4">
        <v>0</v>
      </c>
      <c r="L430" s="4">
        <v>174000</v>
      </c>
      <c r="M430" t="s">
        <v>146</v>
      </c>
      <c r="N430" t="s">
        <v>577</v>
      </c>
      <c r="O430" t="s">
        <v>17</v>
      </c>
    </row>
    <row r="431" spans="1:15" x14ac:dyDescent="0.25">
      <c r="A431" t="s">
        <v>12</v>
      </c>
      <c r="B431" t="s">
        <v>13</v>
      </c>
      <c r="C431" t="s">
        <v>32</v>
      </c>
      <c r="D431" t="s">
        <v>411</v>
      </c>
      <c r="E431" t="s">
        <v>412</v>
      </c>
      <c r="F431" s="4">
        <v>0</v>
      </c>
      <c r="G431" s="4">
        <v>1217700</v>
      </c>
      <c r="H431" s="4">
        <f t="shared" si="13"/>
        <v>1217700</v>
      </c>
      <c r="I431" s="4">
        <v>194832</v>
      </c>
      <c r="J431" s="4">
        <f t="shared" si="14"/>
        <v>194832</v>
      </c>
      <c r="K431" s="4">
        <v>0</v>
      </c>
      <c r="L431" s="4">
        <v>1412532</v>
      </c>
      <c r="M431" t="s">
        <v>172</v>
      </c>
      <c r="N431" t="s">
        <v>413</v>
      </c>
      <c r="O431" t="s">
        <v>192</v>
      </c>
    </row>
    <row r="432" spans="1:15" x14ac:dyDescent="0.25">
      <c r="A432" t="s">
        <v>1035</v>
      </c>
      <c r="B432" t="s">
        <v>1036</v>
      </c>
      <c r="C432" t="s">
        <v>121</v>
      </c>
      <c r="D432" t="s">
        <v>1336</v>
      </c>
      <c r="E432" t="s">
        <v>1337</v>
      </c>
      <c r="F432" s="4">
        <v>0</v>
      </c>
      <c r="G432" s="4">
        <v>50000</v>
      </c>
      <c r="H432" s="4">
        <f t="shared" si="13"/>
        <v>50000</v>
      </c>
      <c r="I432" s="4">
        <v>8000</v>
      </c>
      <c r="J432" s="4">
        <f t="shared" si="14"/>
        <v>8000</v>
      </c>
      <c r="K432" s="4">
        <v>0</v>
      </c>
      <c r="L432" s="4">
        <v>58000</v>
      </c>
      <c r="M432" t="s">
        <v>18</v>
      </c>
      <c r="N432" t="s">
        <v>363</v>
      </c>
      <c r="O432" t="s">
        <v>17</v>
      </c>
    </row>
    <row r="433" spans="1:15" x14ac:dyDescent="0.25">
      <c r="A433" t="s">
        <v>1164</v>
      </c>
      <c r="B433" t="s">
        <v>1165</v>
      </c>
      <c r="C433" t="s">
        <v>81</v>
      </c>
      <c r="D433" t="s">
        <v>1166</v>
      </c>
      <c r="E433" t="s">
        <v>1167</v>
      </c>
      <c r="F433" s="4">
        <v>0</v>
      </c>
      <c r="G433" s="4">
        <v>490000</v>
      </c>
      <c r="H433" s="4">
        <f t="shared" si="13"/>
        <v>490000</v>
      </c>
      <c r="I433" s="4">
        <v>78400</v>
      </c>
      <c r="J433" s="4">
        <f t="shared" si="14"/>
        <v>78400</v>
      </c>
      <c r="K433" s="4">
        <v>0</v>
      </c>
      <c r="L433" s="4">
        <v>568400</v>
      </c>
      <c r="M433" t="s">
        <v>18</v>
      </c>
      <c r="N433" t="s">
        <v>331</v>
      </c>
      <c r="O433" t="s">
        <v>1165</v>
      </c>
    </row>
    <row r="434" spans="1:15" x14ac:dyDescent="0.25">
      <c r="A434" t="s">
        <v>1035</v>
      </c>
      <c r="B434" t="s">
        <v>1036</v>
      </c>
      <c r="C434" t="s">
        <v>32</v>
      </c>
      <c r="D434" t="s">
        <v>1039</v>
      </c>
      <c r="E434" t="s">
        <v>1040</v>
      </c>
      <c r="F434" s="4">
        <v>0</v>
      </c>
      <c r="G434" s="4">
        <v>1000000</v>
      </c>
      <c r="H434" s="4">
        <f t="shared" si="13"/>
        <v>1000000</v>
      </c>
      <c r="I434" s="4">
        <v>160000</v>
      </c>
      <c r="J434" s="4">
        <f t="shared" si="14"/>
        <v>160000</v>
      </c>
      <c r="K434" s="4">
        <v>0</v>
      </c>
      <c r="L434" s="4">
        <v>1160000</v>
      </c>
      <c r="M434" t="s">
        <v>18</v>
      </c>
      <c r="N434" t="s">
        <v>311</v>
      </c>
      <c r="O434" t="s">
        <v>17</v>
      </c>
    </row>
    <row r="435" spans="1:15" x14ac:dyDescent="0.25">
      <c r="A435" t="s">
        <v>1232</v>
      </c>
      <c r="B435" t="s">
        <v>1233</v>
      </c>
      <c r="C435" t="s">
        <v>81</v>
      </c>
      <c r="D435" t="s">
        <v>1234</v>
      </c>
      <c r="E435" t="s">
        <v>1235</v>
      </c>
      <c r="F435" s="4">
        <v>0</v>
      </c>
      <c r="G435" s="4">
        <v>549500</v>
      </c>
      <c r="H435" s="4">
        <f t="shared" si="13"/>
        <v>549500</v>
      </c>
      <c r="I435" s="4">
        <v>87920</v>
      </c>
      <c r="J435" s="4">
        <f t="shared" si="14"/>
        <v>87920</v>
      </c>
      <c r="K435" s="4">
        <v>0</v>
      </c>
      <c r="L435" s="4">
        <v>637420</v>
      </c>
      <c r="M435" t="s">
        <v>18</v>
      </c>
      <c r="N435" t="s">
        <v>1236</v>
      </c>
      <c r="O435" t="s">
        <v>17</v>
      </c>
    </row>
    <row r="436" spans="1:15" x14ac:dyDescent="0.25">
      <c r="A436" t="s">
        <v>24</v>
      </c>
      <c r="B436" t="s">
        <v>25</v>
      </c>
      <c r="C436" t="s">
        <v>126</v>
      </c>
      <c r="D436" t="s">
        <v>286</v>
      </c>
      <c r="E436" t="s">
        <v>287</v>
      </c>
      <c r="F436" s="4">
        <v>0</v>
      </c>
      <c r="G436" s="4">
        <v>1025000</v>
      </c>
      <c r="H436" s="4">
        <f t="shared" si="13"/>
        <v>1025000</v>
      </c>
      <c r="I436" s="4">
        <v>164000</v>
      </c>
      <c r="J436" s="4">
        <f t="shared" si="14"/>
        <v>164000</v>
      </c>
      <c r="K436" s="4">
        <v>0</v>
      </c>
      <c r="L436" s="4">
        <v>1189000</v>
      </c>
      <c r="M436" t="s">
        <v>18</v>
      </c>
      <c r="N436" t="s">
        <v>277</v>
      </c>
      <c r="O436" t="s">
        <v>211</v>
      </c>
    </row>
    <row r="437" spans="1:15" x14ac:dyDescent="0.25">
      <c r="A437" t="s">
        <v>1015</v>
      </c>
      <c r="B437" t="s">
        <v>1016</v>
      </c>
      <c r="C437" t="s">
        <v>85</v>
      </c>
      <c r="D437" t="s">
        <v>1017</v>
      </c>
      <c r="E437" t="s">
        <v>1018</v>
      </c>
      <c r="F437" s="4">
        <v>0</v>
      </c>
      <c r="G437" s="4">
        <v>937500</v>
      </c>
      <c r="H437" s="4">
        <f t="shared" si="13"/>
        <v>937500</v>
      </c>
      <c r="I437" s="4">
        <v>150000</v>
      </c>
      <c r="J437" s="4">
        <f t="shared" si="14"/>
        <v>150000</v>
      </c>
      <c r="K437" s="4">
        <v>0</v>
      </c>
      <c r="L437" s="4">
        <v>1087500</v>
      </c>
      <c r="M437" t="s">
        <v>18</v>
      </c>
      <c r="N437" t="s">
        <v>1019</v>
      </c>
      <c r="O437" t="s">
        <v>17</v>
      </c>
    </row>
    <row r="438" spans="1:15" x14ac:dyDescent="0.25">
      <c r="A438" t="s">
        <v>639</v>
      </c>
      <c r="B438" t="s">
        <v>640</v>
      </c>
      <c r="C438" t="s">
        <v>121</v>
      </c>
      <c r="D438" t="s">
        <v>641</v>
      </c>
      <c r="E438" t="s">
        <v>642</v>
      </c>
      <c r="F438" s="4">
        <v>0</v>
      </c>
      <c r="G438" s="4">
        <v>10000000.02</v>
      </c>
      <c r="H438" s="4">
        <f t="shared" si="13"/>
        <v>10000000.02</v>
      </c>
      <c r="I438" s="4">
        <v>1600000</v>
      </c>
      <c r="J438" s="4">
        <f t="shared" si="14"/>
        <v>1600000.0031999999</v>
      </c>
      <c r="K438" s="4">
        <v>3.1999999191612005E-3</v>
      </c>
      <c r="L438" s="4">
        <v>11600000.02</v>
      </c>
      <c r="M438" t="s">
        <v>18</v>
      </c>
      <c r="N438" t="s">
        <v>638</v>
      </c>
      <c r="O438" t="s">
        <v>17</v>
      </c>
    </row>
    <row r="439" spans="1:15" x14ac:dyDescent="0.25">
      <c r="A439" t="s">
        <v>578</v>
      </c>
      <c r="B439" t="s">
        <v>579</v>
      </c>
      <c r="C439" t="s">
        <v>149</v>
      </c>
      <c r="D439" t="s">
        <v>842</v>
      </c>
      <c r="E439" t="s">
        <v>843</v>
      </c>
      <c r="F439" s="4">
        <v>0</v>
      </c>
      <c r="G439" s="4">
        <v>689655.17</v>
      </c>
      <c r="H439" s="4">
        <f t="shared" si="13"/>
        <v>689655.17</v>
      </c>
      <c r="I439" s="4">
        <v>110344.83</v>
      </c>
      <c r="J439" s="4">
        <f t="shared" si="14"/>
        <v>110344.82720000001</v>
      </c>
      <c r="K439" s="4">
        <v>-2.7999999874737114E-3</v>
      </c>
      <c r="L439" s="4">
        <v>800000</v>
      </c>
      <c r="M439" t="s">
        <v>18</v>
      </c>
      <c r="N439" t="s">
        <v>38</v>
      </c>
      <c r="O439" t="s">
        <v>583</v>
      </c>
    </row>
    <row r="440" spans="1:15" x14ac:dyDescent="0.25">
      <c r="A440" t="s">
        <v>1237</v>
      </c>
      <c r="B440" t="s">
        <v>1238</v>
      </c>
      <c r="C440" t="s">
        <v>204</v>
      </c>
      <c r="D440" t="s">
        <v>1239</v>
      </c>
      <c r="E440" t="s">
        <v>1240</v>
      </c>
      <c r="F440" s="4">
        <v>0</v>
      </c>
      <c r="G440" s="4">
        <v>549500</v>
      </c>
      <c r="H440" s="4">
        <f t="shared" si="13"/>
        <v>549500</v>
      </c>
      <c r="I440" s="4">
        <v>87920</v>
      </c>
      <c r="J440" s="4">
        <f t="shared" si="14"/>
        <v>87920</v>
      </c>
      <c r="K440" s="4">
        <v>0</v>
      </c>
      <c r="L440" s="4">
        <v>637420</v>
      </c>
      <c r="M440" t="s">
        <v>18</v>
      </c>
      <c r="N440" t="s">
        <v>1236</v>
      </c>
      <c r="O440" t="s">
        <v>17</v>
      </c>
    </row>
    <row r="441" spans="1:15" x14ac:dyDescent="0.25">
      <c r="A441" t="s">
        <v>1262</v>
      </c>
      <c r="B441" t="s">
        <v>1263</v>
      </c>
      <c r="C441" t="s">
        <v>32</v>
      </c>
      <c r="D441" t="s">
        <v>1264</v>
      </c>
      <c r="E441" t="s">
        <v>1265</v>
      </c>
      <c r="F441" s="4">
        <v>0</v>
      </c>
      <c r="G441" s="4">
        <v>575000</v>
      </c>
      <c r="H441" s="4">
        <f t="shared" si="13"/>
        <v>575000</v>
      </c>
      <c r="I441" s="4">
        <v>92000</v>
      </c>
      <c r="J441" s="4">
        <f t="shared" si="14"/>
        <v>92000</v>
      </c>
      <c r="K441" s="4">
        <v>0</v>
      </c>
      <c r="L441" s="4">
        <v>667000</v>
      </c>
      <c r="M441" t="s">
        <v>18</v>
      </c>
      <c r="N441" t="s">
        <v>1266</v>
      </c>
      <c r="O441" t="s">
        <v>17</v>
      </c>
    </row>
    <row r="442" spans="1:15" x14ac:dyDescent="0.25">
      <c r="A442" t="s">
        <v>683</v>
      </c>
      <c r="B442" t="s">
        <v>684</v>
      </c>
      <c r="C442" t="s">
        <v>126</v>
      </c>
      <c r="D442" t="s">
        <v>685</v>
      </c>
      <c r="E442" t="s">
        <v>686</v>
      </c>
      <c r="F442" s="4">
        <v>0</v>
      </c>
      <c r="G442" s="4">
        <v>750000</v>
      </c>
      <c r="H442" s="4">
        <f t="shared" si="13"/>
        <v>750000</v>
      </c>
      <c r="I442" s="4">
        <v>120000</v>
      </c>
      <c r="J442" s="4">
        <f t="shared" si="14"/>
        <v>120000</v>
      </c>
      <c r="K442" s="4">
        <v>0</v>
      </c>
      <c r="L442" s="4">
        <v>870000</v>
      </c>
      <c r="M442" t="s">
        <v>18</v>
      </c>
      <c r="N442" t="s">
        <v>687</v>
      </c>
      <c r="O442" t="s">
        <v>17</v>
      </c>
    </row>
    <row r="443" spans="1:15" x14ac:dyDescent="0.25">
      <c r="A443" t="s">
        <v>119</v>
      </c>
      <c r="B443" t="s">
        <v>120</v>
      </c>
      <c r="C443" t="s">
        <v>121</v>
      </c>
      <c r="D443" t="s">
        <v>122</v>
      </c>
      <c r="E443" t="s">
        <v>123</v>
      </c>
      <c r="F443" s="4">
        <v>0</v>
      </c>
      <c r="G443" s="4">
        <v>1869999.97</v>
      </c>
      <c r="H443" s="4">
        <f t="shared" si="13"/>
        <v>1869999.97</v>
      </c>
      <c r="I443" s="4">
        <v>299200</v>
      </c>
      <c r="J443" s="4">
        <f t="shared" si="14"/>
        <v>299199.9952</v>
      </c>
      <c r="K443" s="4">
        <v>-4.7999999951571226E-3</v>
      </c>
      <c r="L443" s="4">
        <v>2169199.9700000002</v>
      </c>
      <c r="M443" t="s">
        <v>18</v>
      </c>
      <c r="N443" t="s">
        <v>124</v>
      </c>
      <c r="O443" t="s">
        <v>125</v>
      </c>
    </row>
    <row r="444" spans="1:15" x14ac:dyDescent="0.25">
      <c r="A444" t="s">
        <v>24</v>
      </c>
      <c r="B444" t="s">
        <v>25</v>
      </c>
      <c r="C444" t="s">
        <v>26</v>
      </c>
      <c r="D444" t="s">
        <v>246</v>
      </c>
      <c r="E444" t="s">
        <v>247</v>
      </c>
      <c r="F444" s="4">
        <v>0</v>
      </c>
      <c r="G444" s="4">
        <v>1476000</v>
      </c>
      <c r="H444" s="4">
        <f t="shared" si="13"/>
        <v>1476000</v>
      </c>
      <c r="I444" s="4">
        <v>236160</v>
      </c>
      <c r="J444" s="4">
        <f t="shared" si="14"/>
        <v>236160</v>
      </c>
      <c r="K444" s="4">
        <v>0</v>
      </c>
      <c r="L444" s="4">
        <v>1712160</v>
      </c>
      <c r="M444" t="s">
        <v>18</v>
      </c>
      <c r="N444" t="s">
        <v>23</v>
      </c>
      <c r="O444" t="s">
        <v>133</v>
      </c>
    </row>
    <row r="445" spans="1:15" x14ac:dyDescent="0.25">
      <c r="A445" t="s">
        <v>24</v>
      </c>
      <c r="B445" t="s">
        <v>25</v>
      </c>
      <c r="C445" t="s">
        <v>32</v>
      </c>
      <c r="D445" t="s">
        <v>244</v>
      </c>
      <c r="E445" t="s">
        <v>245</v>
      </c>
      <c r="F445" s="4">
        <v>0</v>
      </c>
      <c r="G445" s="4">
        <v>738000</v>
      </c>
      <c r="H445" s="4">
        <f t="shared" si="13"/>
        <v>738000</v>
      </c>
      <c r="I445" s="4">
        <v>118080</v>
      </c>
      <c r="J445" s="4">
        <f t="shared" si="14"/>
        <v>118080</v>
      </c>
      <c r="K445" s="4">
        <v>0</v>
      </c>
      <c r="L445" s="4">
        <v>856080</v>
      </c>
      <c r="M445" t="s">
        <v>18</v>
      </c>
      <c r="N445" t="s">
        <v>23</v>
      </c>
      <c r="O445" t="s">
        <v>133</v>
      </c>
    </row>
    <row r="446" spans="1:15" x14ac:dyDescent="0.25">
      <c r="A446" t="s">
        <v>625</v>
      </c>
      <c r="B446" t="s">
        <v>626</v>
      </c>
      <c r="C446" t="s">
        <v>40</v>
      </c>
      <c r="D446" t="s">
        <v>627</v>
      </c>
      <c r="E446" t="s">
        <v>628</v>
      </c>
      <c r="F446" s="4">
        <v>0</v>
      </c>
      <c r="G446" s="4">
        <v>216000</v>
      </c>
      <c r="H446" s="4">
        <f t="shared" si="13"/>
        <v>216000</v>
      </c>
      <c r="I446" s="4">
        <v>34560</v>
      </c>
      <c r="J446" s="4">
        <f t="shared" si="14"/>
        <v>34560</v>
      </c>
      <c r="K446" s="4">
        <v>0</v>
      </c>
      <c r="L446" s="4">
        <v>250560</v>
      </c>
      <c r="M446" t="s">
        <v>60</v>
      </c>
      <c r="N446" t="s">
        <v>624</v>
      </c>
      <c r="O446" t="s">
        <v>17</v>
      </c>
    </row>
    <row r="447" spans="1:15" x14ac:dyDescent="0.25">
      <c r="A447" t="s">
        <v>688</v>
      </c>
      <c r="B447" t="s">
        <v>689</v>
      </c>
      <c r="C447" t="s">
        <v>77</v>
      </c>
      <c r="D447" t="s">
        <v>1288</v>
      </c>
      <c r="E447" t="s">
        <v>1289</v>
      </c>
      <c r="F447" s="4">
        <v>0</v>
      </c>
      <c r="G447" s="4">
        <v>387750</v>
      </c>
      <c r="H447" s="4">
        <f t="shared" si="13"/>
        <v>387750</v>
      </c>
      <c r="I447" s="4">
        <v>62040</v>
      </c>
      <c r="J447" s="4">
        <f t="shared" si="14"/>
        <v>62040</v>
      </c>
      <c r="K447" s="4">
        <v>0</v>
      </c>
      <c r="L447" s="4">
        <v>449790</v>
      </c>
      <c r="M447" t="s">
        <v>52</v>
      </c>
      <c r="N447" t="s">
        <v>1290</v>
      </c>
      <c r="O447" t="s">
        <v>17</v>
      </c>
    </row>
    <row r="448" spans="1:15" x14ac:dyDescent="0.25">
      <c r="A448" t="s">
        <v>456</v>
      </c>
      <c r="B448" t="s">
        <v>457</v>
      </c>
      <c r="C448" t="s">
        <v>121</v>
      </c>
      <c r="D448" t="s">
        <v>458</v>
      </c>
      <c r="E448" t="s">
        <v>459</v>
      </c>
      <c r="F448" s="4">
        <v>0</v>
      </c>
      <c r="G448" s="4">
        <v>220800</v>
      </c>
      <c r="H448" s="4">
        <f t="shared" si="13"/>
        <v>220800</v>
      </c>
      <c r="I448" s="4">
        <v>35328</v>
      </c>
      <c r="J448" s="4">
        <f t="shared" si="14"/>
        <v>35328</v>
      </c>
      <c r="K448" s="4">
        <v>0</v>
      </c>
      <c r="L448" s="4">
        <v>256128</v>
      </c>
      <c r="M448" t="s">
        <v>18</v>
      </c>
      <c r="N448" t="s">
        <v>460</v>
      </c>
      <c r="O448" t="s">
        <v>17</v>
      </c>
    </row>
    <row r="449" spans="1:15" x14ac:dyDescent="0.25">
      <c r="A449" t="s">
        <v>93</v>
      </c>
      <c r="B449" t="s">
        <v>94</v>
      </c>
      <c r="C449" t="s">
        <v>32</v>
      </c>
      <c r="D449" t="s">
        <v>134</v>
      </c>
      <c r="E449" t="s">
        <v>135</v>
      </c>
      <c r="F449" s="4">
        <v>0</v>
      </c>
      <c r="G449" s="4">
        <v>1511424</v>
      </c>
      <c r="H449" s="4">
        <f t="shared" si="13"/>
        <v>1511424</v>
      </c>
      <c r="I449" s="4">
        <v>241827.84</v>
      </c>
      <c r="J449" s="4">
        <f t="shared" si="14"/>
        <v>241827.84</v>
      </c>
      <c r="K449" s="4">
        <v>0</v>
      </c>
      <c r="L449" s="4">
        <v>1753251.8400000001</v>
      </c>
      <c r="M449" t="s">
        <v>136</v>
      </c>
      <c r="N449" t="s">
        <v>137</v>
      </c>
      <c r="O449" t="s">
        <v>133</v>
      </c>
    </row>
    <row r="450" spans="1:15" x14ac:dyDescent="0.25">
      <c r="A450" t="s">
        <v>12</v>
      </c>
      <c r="B450" t="s">
        <v>13</v>
      </c>
      <c r="C450" t="s">
        <v>32</v>
      </c>
      <c r="D450" t="s">
        <v>33</v>
      </c>
      <c r="E450" t="s">
        <v>34</v>
      </c>
      <c r="F450" s="4">
        <v>206640</v>
      </c>
      <c r="G450" s="4">
        <v>1377600</v>
      </c>
      <c r="H450" s="4">
        <f t="shared" si="13"/>
        <v>1584240</v>
      </c>
      <c r="I450" s="4">
        <v>253478.39999999999</v>
      </c>
      <c r="J450" s="4">
        <f t="shared" si="14"/>
        <v>253478.39999999999</v>
      </c>
      <c r="K450" s="4">
        <v>0</v>
      </c>
      <c r="L450" s="4">
        <v>1837718.4</v>
      </c>
      <c r="M450" t="s">
        <v>29</v>
      </c>
      <c r="N450" t="s">
        <v>35</v>
      </c>
      <c r="O450" t="s">
        <v>20</v>
      </c>
    </row>
    <row r="451" spans="1:15" x14ac:dyDescent="0.25">
      <c r="A451" t="s">
        <v>24</v>
      </c>
      <c r="B451" t="s">
        <v>25</v>
      </c>
      <c r="C451" t="s">
        <v>32</v>
      </c>
      <c r="D451" t="s">
        <v>153</v>
      </c>
      <c r="E451" t="s">
        <v>154</v>
      </c>
      <c r="F451" s="4">
        <v>0</v>
      </c>
      <c r="G451" s="4">
        <v>410000</v>
      </c>
      <c r="H451" s="4">
        <f t="shared" si="13"/>
        <v>410000</v>
      </c>
      <c r="I451" s="4">
        <v>65600</v>
      </c>
      <c r="J451" s="4">
        <f t="shared" si="14"/>
        <v>65600</v>
      </c>
      <c r="K451" s="4">
        <v>0</v>
      </c>
      <c r="L451" s="4">
        <v>475600</v>
      </c>
      <c r="M451" t="s">
        <v>136</v>
      </c>
      <c r="N451" t="s">
        <v>155</v>
      </c>
      <c r="O451" t="s">
        <v>133</v>
      </c>
    </row>
    <row r="452" spans="1:15" x14ac:dyDescent="0.25">
      <c r="A452" t="s">
        <v>93</v>
      </c>
      <c r="B452" t="s">
        <v>94</v>
      </c>
      <c r="C452" t="s">
        <v>32</v>
      </c>
      <c r="D452" t="s">
        <v>366</v>
      </c>
      <c r="E452" t="s">
        <v>367</v>
      </c>
      <c r="F452" s="4">
        <v>0</v>
      </c>
      <c r="G452" s="4">
        <v>574000</v>
      </c>
      <c r="H452" s="4">
        <f t="shared" ref="H452:H488" si="15">F452+G452</f>
        <v>574000</v>
      </c>
      <c r="I452" s="4">
        <v>91840</v>
      </c>
      <c r="J452" s="4">
        <f t="shared" ref="J452:J488" si="16">H452*0.16</f>
        <v>91840</v>
      </c>
      <c r="K452" s="4">
        <v>0</v>
      </c>
      <c r="L452" s="4">
        <v>665840</v>
      </c>
      <c r="M452" t="s">
        <v>136</v>
      </c>
      <c r="N452" t="s">
        <v>35</v>
      </c>
      <c r="O452" t="s">
        <v>133</v>
      </c>
    </row>
    <row r="453" spans="1:15" x14ac:dyDescent="0.25">
      <c r="A453" t="s">
        <v>835</v>
      </c>
      <c r="B453" t="s">
        <v>836</v>
      </c>
      <c r="C453" t="s">
        <v>32</v>
      </c>
      <c r="D453" t="s">
        <v>1146</v>
      </c>
      <c r="E453" t="s">
        <v>1147</v>
      </c>
      <c r="F453" s="4">
        <v>0</v>
      </c>
      <c r="G453" s="4">
        <v>1400000</v>
      </c>
      <c r="H453" s="4">
        <f t="shared" si="15"/>
        <v>1400000</v>
      </c>
      <c r="I453" s="4">
        <v>224000</v>
      </c>
      <c r="J453" s="4">
        <f t="shared" si="16"/>
        <v>224000</v>
      </c>
      <c r="K453" s="4">
        <v>0</v>
      </c>
      <c r="L453" s="4">
        <v>1624000</v>
      </c>
      <c r="M453" t="s">
        <v>18</v>
      </c>
      <c r="N453" t="s">
        <v>331</v>
      </c>
      <c r="O453" t="s">
        <v>17</v>
      </c>
    </row>
    <row r="454" spans="1:15" x14ac:dyDescent="0.25">
      <c r="A454" t="s">
        <v>12</v>
      </c>
      <c r="B454" t="s">
        <v>13</v>
      </c>
      <c r="C454" t="s">
        <v>126</v>
      </c>
      <c r="D454" t="s">
        <v>358</v>
      </c>
      <c r="E454" t="s">
        <v>359</v>
      </c>
      <c r="F454" s="4">
        <v>0</v>
      </c>
      <c r="G454" s="4">
        <v>328000</v>
      </c>
      <c r="H454" s="4">
        <f t="shared" si="15"/>
        <v>328000</v>
      </c>
      <c r="I454" s="4">
        <v>52480</v>
      </c>
      <c r="J454" s="4">
        <f t="shared" si="16"/>
        <v>52480</v>
      </c>
      <c r="K454" s="4">
        <v>0</v>
      </c>
      <c r="L454" s="4">
        <v>380480</v>
      </c>
      <c r="M454" t="s">
        <v>18</v>
      </c>
      <c r="N454" t="s">
        <v>360</v>
      </c>
      <c r="O454" t="s">
        <v>20</v>
      </c>
    </row>
    <row r="455" spans="1:15" x14ac:dyDescent="0.25">
      <c r="A455" t="s">
        <v>12</v>
      </c>
      <c r="B455" t="s">
        <v>13</v>
      </c>
      <c r="C455" t="s">
        <v>126</v>
      </c>
      <c r="D455" t="s">
        <v>355</v>
      </c>
      <c r="E455" t="s">
        <v>356</v>
      </c>
      <c r="F455" s="4">
        <v>0</v>
      </c>
      <c r="G455" s="4">
        <v>410000</v>
      </c>
      <c r="H455" s="4">
        <f t="shared" si="15"/>
        <v>410000</v>
      </c>
      <c r="I455" s="4">
        <v>65600</v>
      </c>
      <c r="J455" s="4">
        <f t="shared" si="16"/>
        <v>65600</v>
      </c>
      <c r="K455" s="4">
        <v>0</v>
      </c>
      <c r="L455" s="4">
        <v>475600</v>
      </c>
      <c r="M455" t="s">
        <v>18</v>
      </c>
      <c r="N455" t="s">
        <v>357</v>
      </c>
      <c r="O455" t="s">
        <v>20</v>
      </c>
    </row>
    <row r="456" spans="1:15" x14ac:dyDescent="0.25">
      <c r="A456" t="s">
        <v>12</v>
      </c>
      <c r="B456" t="s">
        <v>13</v>
      </c>
      <c r="C456" t="s">
        <v>188</v>
      </c>
      <c r="D456" t="s">
        <v>189</v>
      </c>
      <c r="E456" t="s">
        <v>190</v>
      </c>
      <c r="F456" s="4">
        <v>0</v>
      </c>
      <c r="G456" s="4">
        <v>1025000</v>
      </c>
      <c r="H456" s="4">
        <f t="shared" si="15"/>
        <v>1025000</v>
      </c>
      <c r="I456" s="4">
        <v>164000</v>
      </c>
      <c r="J456" s="4">
        <f t="shared" si="16"/>
        <v>164000</v>
      </c>
      <c r="K456" s="4">
        <v>0</v>
      </c>
      <c r="L456" s="4">
        <v>1189000</v>
      </c>
      <c r="M456" t="s">
        <v>18</v>
      </c>
      <c r="N456" t="s">
        <v>191</v>
      </c>
      <c r="O456" t="s">
        <v>192</v>
      </c>
    </row>
    <row r="457" spans="1:15" x14ac:dyDescent="0.25">
      <c r="A457" t="s">
        <v>1293</v>
      </c>
      <c r="B457" t="s">
        <v>1294</v>
      </c>
      <c r="C457" t="s">
        <v>32</v>
      </c>
      <c r="D457" t="s">
        <v>1295</v>
      </c>
      <c r="E457" t="s">
        <v>1296</v>
      </c>
      <c r="F457" s="4">
        <v>0</v>
      </c>
      <c r="G457" s="4">
        <v>300000</v>
      </c>
      <c r="H457" s="4">
        <f t="shared" si="15"/>
        <v>300000</v>
      </c>
      <c r="I457" s="4">
        <v>48000</v>
      </c>
      <c r="J457" s="4">
        <f t="shared" si="16"/>
        <v>48000</v>
      </c>
      <c r="K457" s="4">
        <v>0</v>
      </c>
      <c r="L457" s="4">
        <v>348000</v>
      </c>
      <c r="M457" t="s">
        <v>60</v>
      </c>
      <c r="N457" t="s">
        <v>1297</v>
      </c>
      <c r="O457" t="s">
        <v>17</v>
      </c>
    </row>
    <row r="458" spans="1:15" x14ac:dyDescent="0.25">
      <c r="A458" t="s">
        <v>939</v>
      </c>
      <c r="B458" t="s">
        <v>940</v>
      </c>
      <c r="C458" t="s">
        <v>32</v>
      </c>
      <c r="D458" t="s">
        <v>941</v>
      </c>
      <c r="E458" t="s">
        <v>942</v>
      </c>
      <c r="F458" s="4">
        <v>0</v>
      </c>
      <c r="G458" s="4">
        <v>1005000</v>
      </c>
      <c r="H458" s="4">
        <f t="shared" si="15"/>
        <v>1005000</v>
      </c>
      <c r="I458" s="4">
        <v>160800</v>
      </c>
      <c r="J458" s="4">
        <f t="shared" si="16"/>
        <v>160800</v>
      </c>
      <c r="K458" s="4">
        <v>0</v>
      </c>
      <c r="L458" s="4">
        <v>1165800</v>
      </c>
      <c r="M458" t="s">
        <v>60</v>
      </c>
      <c r="N458" t="s">
        <v>277</v>
      </c>
      <c r="O458" t="s">
        <v>17</v>
      </c>
    </row>
    <row r="459" spans="1:15" x14ac:dyDescent="0.25">
      <c r="A459" t="s">
        <v>227</v>
      </c>
      <c r="B459" t="s">
        <v>228</v>
      </c>
      <c r="C459" t="s">
        <v>143</v>
      </c>
      <c r="D459" t="s">
        <v>299</v>
      </c>
      <c r="E459" t="s">
        <v>300</v>
      </c>
      <c r="F459" s="4">
        <v>0</v>
      </c>
      <c r="G459" s="4">
        <v>1344800</v>
      </c>
      <c r="H459" s="4">
        <f t="shared" si="15"/>
        <v>1344800</v>
      </c>
      <c r="I459" s="4">
        <v>215168</v>
      </c>
      <c r="J459" s="4">
        <f t="shared" si="16"/>
        <v>215168</v>
      </c>
      <c r="K459" s="4">
        <v>0</v>
      </c>
      <c r="L459" s="4">
        <v>1559968</v>
      </c>
      <c r="M459" t="s">
        <v>18</v>
      </c>
      <c r="N459" t="s">
        <v>301</v>
      </c>
      <c r="O459" t="s">
        <v>302</v>
      </c>
    </row>
    <row r="460" spans="1:15" x14ac:dyDescent="0.25">
      <c r="A460" t="s">
        <v>227</v>
      </c>
      <c r="B460" t="s">
        <v>228</v>
      </c>
      <c r="C460" t="s">
        <v>26</v>
      </c>
      <c r="D460" t="s">
        <v>323</v>
      </c>
      <c r="E460" t="s">
        <v>324</v>
      </c>
      <c r="F460" s="4">
        <v>0</v>
      </c>
      <c r="G460" s="4">
        <v>2066400</v>
      </c>
      <c r="H460" s="4">
        <f t="shared" si="15"/>
        <v>2066400</v>
      </c>
      <c r="I460" s="4">
        <v>330624</v>
      </c>
      <c r="J460" s="4">
        <f t="shared" si="16"/>
        <v>330624</v>
      </c>
      <c r="K460" s="4">
        <v>0</v>
      </c>
      <c r="L460" s="4">
        <v>2397024</v>
      </c>
      <c r="M460" t="s">
        <v>18</v>
      </c>
      <c r="N460" t="s">
        <v>322</v>
      </c>
      <c r="O460" t="s">
        <v>325</v>
      </c>
    </row>
    <row r="461" spans="1:15" x14ac:dyDescent="0.25">
      <c r="A461" t="s">
        <v>227</v>
      </c>
      <c r="B461" t="s">
        <v>228</v>
      </c>
      <c r="C461" t="s">
        <v>149</v>
      </c>
      <c r="D461" t="s">
        <v>329</v>
      </c>
      <c r="E461" t="s">
        <v>330</v>
      </c>
      <c r="F461" s="4">
        <v>0</v>
      </c>
      <c r="G461" s="4">
        <v>1722000</v>
      </c>
      <c r="H461" s="4">
        <f t="shared" si="15"/>
        <v>1722000</v>
      </c>
      <c r="I461" s="4">
        <v>275520</v>
      </c>
      <c r="J461" s="4">
        <f t="shared" si="16"/>
        <v>275520</v>
      </c>
      <c r="K461" s="4">
        <v>0</v>
      </c>
      <c r="L461" s="4">
        <v>1997520</v>
      </c>
      <c r="M461" t="s">
        <v>18</v>
      </c>
      <c r="N461" t="s">
        <v>331</v>
      </c>
      <c r="O461" t="s">
        <v>332</v>
      </c>
    </row>
    <row r="462" spans="1:15" x14ac:dyDescent="0.25">
      <c r="A462" t="s">
        <v>24</v>
      </c>
      <c r="B462" t="s">
        <v>25</v>
      </c>
      <c r="C462" t="s">
        <v>32</v>
      </c>
      <c r="D462" t="s">
        <v>242</v>
      </c>
      <c r="E462" t="s">
        <v>243</v>
      </c>
      <c r="F462" s="4">
        <v>0</v>
      </c>
      <c r="G462" s="4">
        <v>902000</v>
      </c>
      <c r="H462" s="4">
        <f t="shared" si="15"/>
        <v>902000</v>
      </c>
      <c r="I462" s="4">
        <v>144320</v>
      </c>
      <c r="J462" s="4">
        <f t="shared" si="16"/>
        <v>144320</v>
      </c>
      <c r="K462" s="4">
        <v>0</v>
      </c>
      <c r="L462" s="4">
        <v>1046320</v>
      </c>
      <c r="M462" t="s">
        <v>18</v>
      </c>
      <c r="N462" t="s">
        <v>23</v>
      </c>
      <c r="O462" t="s">
        <v>211</v>
      </c>
    </row>
    <row r="463" spans="1:15" x14ac:dyDescent="0.25">
      <c r="A463" t="s">
        <v>657</v>
      </c>
      <c r="B463" t="s">
        <v>658</v>
      </c>
      <c r="C463" t="s">
        <v>659</v>
      </c>
      <c r="D463" t="s">
        <v>660</v>
      </c>
      <c r="E463" t="s">
        <v>661</v>
      </c>
      <c r="F463" s="4">
        <v>0</v>
      </c>
      <c r="G463" s="4">
        <v>7100000</v>
      </c>
      <c r="H463" s="4">
        <f t="shared" si="15"/>
        <v>7100000</v>
      </c>
      <c r="I463" s="4">
        <v>1136000</v>
      </c>
      <c r="J463" s="4">
        <f t="shared" si="16"/>
        <v>1136000</v>
      </c>
      <c r="K463" s="4">
        <v>0</v>
      </c>
      <c r="L463" s="4">
        <v>8236000</v>
      </c>
      <c r="M463" t="s">
        <v>18</v>
      </c>
      <c r="N463" t="s">
        <v>638</v>
      </c>
      <c r="O463" t="s">
        <v>662</v>
      </c>
    </row>
    <row r="464" spans="1:15" x14ac:dyDescent="0.25">
      <c r="A464" t="s">
        <v>1035</v>
      </c>
      <c r="B464" t="s">
        <v>1036</v>
      </c>
      <c r="C464" t="s">
        <v>32</v>
      </c>
      <c r="D464" t="s">
        <v>1037</v>
      </c>
      <c r="E464" t="s">
        <v>1038</v>
      </c>
      <c r="F464" s="4">
        <v>0</v>
      </c>
      <c r="G464" s="4">
        <v>350000</v>
      </c>
      <c r="H464" s="4">
        <f t="shared" si="15"/>
        <v>350000</v>
      </c>
      <c r="I464" s="4">
        <v>56000</v>
      </c>
      <c r="J464" s="4">
        <f t="shared" si="16"/>
        <v>56000</v>
      </c>
      <c r="K464" s="4">
        <v>0</v>
      </c>
      <c r="L464" s="4">
        <v>406000</v>
      </c>
      <c r="M464" t="s">
        <v>60</v>
      </c>
      <c r="N464" t="s">
        <v>311</v>
      </c>
      <c r="O464" t="s">
        <v>17</v>
      </c>
    </row>
    <row r="465" spans="1:15" x14ac:dyDescent="0.25">
      <c r="A465" t="s">
        <v>93</v>
      </c>
      <c r="B465" t="s">
        <v>94</v>
      </c>
      <c r="C465" t="s">
        <v>149</v>
      </c>
      <c r="D465" t="s">
        <v>386</v>
      </c>
      <c r="E465" t="s">
        <v>387</v>
      </c>
      <c r="F465" s="4">
        <v>0</v>
      </c>
      <c r="G465" s="4">
        <v>1148000</v>
      </c>
      <c r="H465" s="4">
        <f t="shared" si="15"/>
        <v>1148000</v>
      </c>
      <c r="I465" s="4">
        <v>183680</v>
      </c>
      <c r="J465" s="4">
        <f t="shared" si="16"/>
        <v>183680</v>
      </c>
      <c r="K465" s="4">
        <v>0</v>
      </c>
      <c r="L465" s="4">
        <v>1331680</v>
      </c>
      <c r="M465" t="s">
        <v>136</v>
      </c>
      <c r="N465" t="s">
        <v>35</v>
      </c>
      <c r="O465" t="s">
        <v>133</v>
      </c>
    </row>
    <row r="466" spans="1:15" x14ac:dyDescent="0.25">
      <c r="A466" t="s">
        <v>141</v>
      </c>
      <c r="B466" t="s">
        <v>142</v>
      </c>
      <c r="C466" t="s">
        <v>32</v>
      </c>
      <c r="D466" t="s">
        <v>320</v>
      </c>
      <c r="E466" t="s">
        <v>321</v>
      </c>
      <c r="F466" s="4">
        <v>0</v>
      </c>
      <c r="G466" s="4">
        <v>2066400</v>
      </c>
      <c r="H466" s="4">
        <f t="shared" si="15"/>
        <v>2066400</v>
      </c>
      <c r="I466" s="4">
        <v>330624</v>
      </c>
      <c r="J466" s="4">
        <f t="shared" si="16"/>
        <v>330624</v>
      </c>
      <c r="K466" s="4">
        <v>0</v>
      </c>
      <c r="L466" s="4">
        <v>2397024</v>
      </c>
      <c r="M466" t="s">
        <v>18</v>
      </c>
      <c r="N466" t="s">
        <v>322</v>
      </c>
      <c r="O466" t="s">
        <v>148</v>
      </c>
    </row>
    <row r="467" spans="1:15" x14ac:dyDescent="0.25">
      <c r="A467" t="s">
        <v>93</v>
      </c>
      <c r="B467" t="s">
        <v>94</v>
      </c>
      <c r="C467" t="s">
        <v>32</v>
      </c>
      <c r="D467" t="s">
        <v>130</v>
      </c>
      <c r="E467" t="s">
        <v>131</v>
      </c>
      <c r="F467" s="4">
        <v>0</v>
      </c>
      <c r="G467" s="4">
        <v>4182000</v>
      </c>
      <c r="H467" s="4">
        <f t="shared" si="15"/>
        <v>4182000</v>
      </c>
      <c r="I467" s="4">
        <v>669120</v>
      </c>
      <c r="J467" s="4">
        <f t="shared" si="16"/>
        <v>669120</v>
      </c>
      <c r="K467" s="4">
        <v>0</v>
      </c>
      <c r="L467" s="4">
        <v>4851120</v>
      </c>
      <c r="M467" t="s">
        <v>18</v>
      </c>
      <c r="N467" t="s">
        <v>132</v>
      </c>
      <c r="O467" t="s">
        <v>133</v>
      </c>
    </row>
    <row r="468" spans="1:15" x14ac:dyDescent="0.25">
      <c r="A468" t="s">
        <v>93</v>
      </c>
      <c r="B468" t="s">
        <v>94</v>
      </c>
      <c r="C468" t="s">
        <v>32</v>
      </c>
      <c r="D468" t="s">
        <v>240</v>
      </c>
      <c r="E468" t="s">
        <v>241</v>
      </c>
      <c r="F468" s="4">
        <v>0</v>
      </c>
      <c r="G468" s="4">
        <v>697000</v>
      </c>
      <c r="H468" s="4">
        <f t="shared" si="15"/>
        <v>697000</v>
      </c>
      <c r="I468" s="4">
        <v>111520</v>
      </c>
      <c r="J468" s="4">
        <f t="shared" si="16"/>
        <v>111520</v>
      </c>
      <c r="K468" s="4">
        <v>0</v>
      </c>
      <c r="L468" s="4">
        <v>808520</v>
      </c>
      <c r="M468" t="s">
        <v>18</v>
      </c>
      <c r="N468" t="s">
        <v>23</v>
      </c>
      <c r="O468" t="s">
        <v>133</v>
      </c>
    </row>
    <row r="469" spans="1:15" x14ac:dyDescent="0.25">
      <c r="A469" t="s">
        <v>468</v>
      </c>
      <c r="B469" t="s">
        <v>469</v>
      </c>
      <c r="C469" t="s">
        <v>71</v>
      </c>
      <c r="D469" t="s">
        <v>470</v>
      </c>
      <c r="E469" t="s">
        <v>471</v>
      </c>
      <c r="F469" s="4">
        <v>0</v>
      </c>
      <c r="G469" s="4">
        <v>113792</v>
      </c>
      <c r="H469" s="4">
        <f t="shared" si="15"/>
        <v>113792</v>
      </c>
      <c r="I469" s="4">
        <v>18206.72</v>
      </c>
      <c r="J469" s="4">
        <f t="shared" si="16"/>
        <v>18206.72</v>
      </c>
      <c r="K469" s="4">
        <v>0</v>
      </c>
      <c r="L469" s="4">
        <v>131998.72</v>
      </c>
      <c r="M469" t="s">
        <v>29</v>
      </c>
      <c r="N469" t="s">
        <v>472</v>
      </c>
      <c r="O469" t="s">
        <v>17</v>
      </c>
    </row>
    <row r="470" spans="1:15" x14ac:dyDescent="0.25">
      <c r="A470" t="s">
        <v>490</v>
      </c>
      <c r="B470" t="s">
        <v>491</v>
      </c>
      <c r="C470" t="s">
        <v>163</v>
      </c>
      <c r="D470" t="s">
        <v>492</v>
      </c>
      <c r="E470" t="s">
        <v>493</v>
      </c>
      <c r="F470" s="4">
        <v>0</v>
      </c>
      <c r="G470" s="4">
        <v>3525555</v>
      </c>
      <c r="H470" s="4">
        <f t="shared" si="15"/>
        <v>3525555</v>
      </c>
      <c r="I470" s="4">
        <v>564088.80000000005</v>
      </c>
      <c r="J470" s="4">
        <f t="shared" si="16"/>
        <v>564088.80000000005</v>
      </c>
      <c r="K470" s="4">
        <v>0</v>
      </c>
      <c r="L470" s="4">
        <v>4089643.8</v>
      </c>
      <c r="M470" t="s">
        <v>484</v>
      </c>
      <c r="N470" t="s">
        <v>489</v>
      </c>
      <c r="O470" t="s">
        <v>17</v>
      </c>
    </row>
    <row r="471" spans="1:15" x14ac:dyDescent="0.25">
      <c r="A471" t="s">
        <v>1065</v>
      </c>
      <c r="B471" t="s">
        <v>1066</v>
      </c>
      <c r="C471" t="s">
        <v>77</v>
      </c>
      <c r="D471" t="s">
        <v>1067</v>
      </c>
      <c r="E471" t="s">
        <v>1068</v>
      </c>
      <c r="F471" s="4">
        <v>0</v>
      </c>
      <c r="G471" s="4">
        <v>700000</v>
      </c>
      <c r="H471" s="4">
        <f t="shared" si="15"/>
        <v>700000</v>
      </c>
      <c r="I471" s="4">
        <v>112000</v>
      </c>
      <c r="J471" s="4">
        <f t="shared" si="16"/>
        <v>112000</v>
      </c>
      <c r="K471" s="4">
        <v>0</v>
      </c>
      <c r="L471" s="4">
        <v>812000</v>
      </c>
      <c r="M471" t="s">
        <v>18</v>
      </c>
      <c r="N471" t="s">
        <v>311</v>
      </c>
      <c r="O471" t="s">
        <v>17</v>
      </c>
    </row>
    <row r="472" spans="1:15" x14ac:dyDescent="0.25">
      <c r="A472" t="s">
        <v>61</v>
      </c>
      <c r="B472" t="s">
        <v>62</v>
      </c>
      <c r="C472" t="s">
        <v>88</v>
      </c>
      <c r="D472" t="s">
        <v>89</v>
      </c>
      <c r="E472" t="s">
        <v>90</v>
      </c>
      <c r="F472" s="4">
        <v>0</v>
      </c>
      <c r="G472" s="4">
        <v>71750</v>
      </c>
      <c r="H472" s="4">
        <f t="shared" si="15"/>
        <v>71750</v>
      </c>
      <c r="I472" s="4">
        <v>11480</v>
      </c>
      <c r="J472" s="4">
        <f t="shared" si="16"/>
        <v>11480</v>
      </c>
      <c r="K472" s="4">
        <v>0</v>
      </c>
      <c r="L472" s="4">
        <v>83230</v>
      </c>
      <c r="M472" t="s">
        <v>60</v>
      </c>
      <c r="N472" t="s">
        <v>84</v>
      </c>
      <c r="O472" t="s">
        <v>66</v>
      </c>
    </row>
    <row r="473" spans="1:15" x14ac:dyDescent="0.25">
      <c r="A473" t="s">
        <v>995</v>
      </c>
      <c r="B473" t="s">
        <v>996</v>
      </c>
      <c r="C473" t="s">
        <v>14</v>
      </c>
      <c r="D473" t="s">
        <v>1458</v>
      </c>
      <c r="E473" t="s">
        <v>1459</v>
      </c>
      <c r="F473" s="4">
        <v>0</v>
      </c>
      <c r="G473" s="4">
        <v>840000</v>
      </c>
      <c r="H473" s="4">
        <f t="shared" si="15"/>
        <v>840000</v>
      </c>
      <c r="I473" s="4">
        <v>134400</v>
      </c>
      <c r="J473" s="4">
        <f t="shared" si="16"/>
        <v>134400</v>
      </c>
      <c r="K473" s="4">
        <v>0</v>
      </c>
      <c r="L473" s="4">
        <v>974400</v>
      </c>
      <c r="M473" t="s">
        <v>29</v>
      </c>
      <c r="N473" t="s">
        <v>35</v>
      </c>
      <c r="O473" t="s">
        <v>17</v>
      </c>
    </row>
    <row r="474" spans="1:15" x14ac:dyDescent="0.25">
      <c r="A474" t="s">
        <v>995</v>
      </c>
      <c r="B474" t="s">
        <v>996</v>
      </c>
      <c r="C474" t="s">
        <v>14</v>
      </c>
      <c r="D474" t="s">
        <v>997</v>
      </c>
      <c r="E474" t="s">
        <v>998</v>
      </c>
      <c r="F474" s="4">
        <v>0</v>
      </c>
      <c r="G474" s="4">
        <v>875000</v>
      </c>
      <c r="H474" s="4">
        <f t="shared" si="15"/>
        <v>875000</v>
      </c>
      <c r="I474" s="4">
        <v>140000</v>
      </c>
      <c r="J474" s="4">
        <f t="shared" si="16"/>
        <v>140000</v>
      </c>
      <c r="K474" s="4">
        <v>0</v>
      </c>
      <c r="L474" s="4">
        <v>1015000</v>
      </c>
      <c r="M474" t="s">
        <v>18</v>
      </c>
      <c r="N474" t="s">
        <v>277</v>
      </c>
      <c r="O474" t="s">
        <v>17</v>
      </c>
    </row>
    <row r="475" spans="1:15" x14ac:dyDescent="0.25">
      <c r="A475" t="s">
        <v>141</v>
      </c>
      <c r="B475" t="s">
        <v>142</v>
      </c>
      <c r="C475" t="s">
        <v>121</v>
      </c>
      <c r="D475" t="s">
        <v>340</v>
      </c>
      <c r="E475" t="s">
        <v>341</v>
      </c>
      <c r="F475" s="4">
        <v>0</v>
      </c>
      <c r="G475" s="4">
        <v>829840</v>
      </c>
      <c r="H475" s="4">
        <f t="shared" si="15"/>
        <v>829840</v>
      </c>
      <c r="I475" s="4">
        <v>132774.39999999999</v>
      </c>
      <c r="J475" s="4">
        <f t="shared" si="16"/>
        <v>132774.39999999999</v>
      </c>
      <c r="K475" s="4">
        <v>0</v>
      </c>
      <c r="L475" s="4">
        <v>962614.4</v>
      </c>
      <c r="M475" t="s">
        <v>18</v>
      </c>
      <c r="N475" t="s">
        <v>342</v>
      </c>
      <c r="O475" t="s">
        <v>343</v>
      </c>
    </row>
    <row r="476" spans="1:15" x14ac:dyDescent="0.25">
      <c r="A476" t="s">
        <v>24</v>
      </c>
      <c r="B476" t="s">
        <v>25</v>
      </c>
      <c r="C476" t="s">
        <v>32</v>
      </c>
      <c r="D476" t="s">
        <v>275</v>
      </c>
      <c r="E476" t="s">
        <v>276</v>
      </c>
      <c r="F476" s="4">
        <v>0</v>
      </c>
      <c r="G476" s="4">
        <v>2050000</v>
      </c>
      <c r="H476" s="4">
        <f t="shared" si="15"/>
        <v>2050000</v>
      </c>
      <c r="I476" s="4">
        <v>328000</v>
      </c>
      <c r="J476" s="4">
        <f t="shared" si="16"/>
        <v>328000</v>
      </c>
      <c r="K476" s="4">
        <v>0</v>
      </c>
      <c r="L476" s="4">
        <v>2378000</v>
      </c>
      <c r="M476" t="s">
        <v>18</v>
      </c>
      <c r="N476" t="s">
        <v>277</v>
      </c>
      <c r="O476" t="s">
        <v>211</v>
      </c>
    </row>
    <row r="477" spans="1:15" x14ac:dyDescent="0.25">
      <c r="A477" t="s">
        <v>61</v>
      </c>
      <c r="B477" t="s">
        <v>62</v>
      </c>
      <c r="C477" t="s">
        <v>77</v>
      </c>
      <c r="D477" t="s">
        <v>111</v>
      </c>
      <c r="E477" t="s">
        <v>112</v>
      </c>
      <c r="F477" s="4">
        <v>0</v>
      </c>
      <c r="G477" s="4">
        <v>482160</v>
      </c>
      <c r="H477" s="4">
        <f t="shared" si="15"/>
        <v>482160</v>
      </c>
      <c r="I477" s="4">
        <v>77145.600000000006</v>
      </c>
      <c r="J477" s="4">
        <f t="shared" si="16"/>
        <v>77145.600000000006</v>
      </c>
      <c r="K477" s="4">
        <v>0</v>
      </c>
      <c r="L477" s="4">
        <v>559305.6</v>
      </c>
      <c r="M477" t="s">
        <v>18</v>
      </c>
      <c r="N477" t="s">
        <v>110</v>
      </c>
      <c r="O477" t="s">
        <v>66</v>
      </c>
    </row>
    <row r="478" spans="1:15" x14ac:dyDescent="0.25">
      <c r="A478" t="s">
        <v>12</v>
      </c>
      <c r="B478" t="s">
        <v>13</v>
      </c>
      <c r="C478" t="s">
        <v>85</v>
      </c>
      <c r="D478" t="s">
        <v>271</v>
      </c>
      <c r="E478" t="s">
        <v>272</v>
      </c>
      <c r="F478" s="4">
        <v>0</v>
      </c>
      <c r="G478" s="4">
        <v>2684043.02</v>
      </c>
      <c r="H478" s="4">
        <f t="shared" si="15"/>
        <v>2684043.02</v>
      </c>
      <c r="I478" s="4">
        <v>429446.88</v>
      </c>
      <c r="J478" s="4">
        <f t="shared" si="16"/>
        <v>429446.88320000004</v>
      </c>
      <c r="K478" s="4">
        <v>3.2000000355765224E-3</v>
      </c>
      <c r="L478" s="4">
        <v>3113489.9</v>
      </c>
      <c r="M478" t="s">
        <v>18</v>
      </c>
      <c r="N478" t="s">
        <v>273</v>
      </c>
      <c r="O478" t="s">
        <v>274</v>
      </c>
    </row>
    <row r="479" spans="1:15" x14ac:dyDescent="0.25">
      <c r="A479" t="s">
        <v>835</v>
      </c>
      <c r="B479" t="s">
        <v>836</v>
      </c>
      <c r="C479" t="s">
        <v>680</v>
      </c>
      <c r="D479" t="s">
        <v>839</v>
      </c>
      <c r="E479" t="s">
        <v>840</v>
      </c>
      <c r="F479" s="4">
        <v>0</v>
      </c>
      <c r="G479" s="4">
        <v>100000</v>
      </c>
      <c r="H479" s="4">
        <f t="shared" si="15"/>
        <v>100000</v>
      </c>
      <c r="I479" s="4">
        <v>16000</v>
      </c>
      <c r="J479" s="4">
        <f t="shared" si="16"/>
        <v>16000</v>
      </c>
      <c r="K479" s="4">
        <v>0</v>
      </c>
      <c r="L479" s="4">
        <v>116000</v>
      </c>
      <c r="M479" t="s">
        <v>179</v>
      </c>
      <c r="N479" t="s">
        <v>202</v>
      </c>
      <c r="O479" t="s">
        <v>17</v>
      </c>
    </row>
    <row r="480" spans="1:15" x14ac:dyDescent="0.25">
      <c r="A480" t="s">
        <v>508</v>
      </c>
      <c r="B480" t="s">
        <v>509</v>
      </c>
      <c r="C480" t="s">
        <v>32</v>
      </c>
      <c r="D480" t="s">
        <v>510</v>
      </c>
      <c r="E480" t="s">
        <v>511</v>
      </c>
      <c r="F480" s="4">
        <v>0</v>
      </c>
      <c r="G480" s="4">
        <v>200000</v>
      </c>
      <c r="H480" s="4">
        <f t="shared" si="15"/>
        <v>200000</v>
      </c>
      <c r="I480" s="4">
        <v>32000</v>
      </c>
      <c r="J480" s="4">
        <f t="shared" si="16"/>
        <v>32000</v>
      </c>
      <c r="K480" s="4">
        <v>0</v>
      </c>
      <c r="L480" s="4">
        <v>232000</v>
      </c>
      <c r="M480" t="s">
        <v>18</v>
      </c>
      <c r="N480" t="s">
        <v>512</v>
      </c>
      <c r="O480" t="s">
        <v>17</v>
      </c>
    </row>
    <row r="481" spans="1:15" x14ac:dyDescent="0.25">
      <c r="A481" t="s">
        <v>1323</v>
      </c>
      <c r="B481" t="s">
        <v>1324</v>
      </c>
      <c r="C481" t="s">
        <v>761</v>
      </c>
      <c r="D481" t="s">
        <v>1325</v>
      </c>
      <c r="E481" t="s">
        <v>1326</v>
      </c>
      <c r="F481" s="4">
        <v>0</v>
      </c>
      <c r="G481" s="4">
        <v>300000</v>
      </c>
      <c r="H481" s="4">
        <f t="shared" si="15"/>
        <v>300000</v>
      </c>
      <c r="I481" s="4">
        <v>48000</v>
      </c>
      <c r="J481" s="4">
        <f t="shared" si="16"/>
        <v>48000</v>
      </c>
      <c r="K481" s="4">
        <v>0</v>
      </c>
      <c r="L481" s="4">
        <v>348000</v>
      </c>
      <c r="M481" t="s">
        <v>60</v>
      </c>
      <c r="N481" t="s">
        <v>1297</v>
      </c>
      <c r="O481" t="s">
        <v>17</v>
      </c>
    </row>
    <row r="482" spans="1:15" x14ac:dyDescent="0.25">
      <c r="A482" t="s">
        <v>995</v>
      </c>
      <c r="B482" t="s">
        <v>996</v>
      </c>
      <c r="C482" t="s">
        <v>14</v>
      </c>
      <c r="D482" t="s">
        <v>1456</v>
      </c>
      <c r="E482" t="s">
        <v>1457</v>
      </c>
      <c r="F482" s="4">
        <v>0</v>
      </c>
      <c r="G482" s="4">
        <v>455000</v>
      </c>
      <c r="H482" s="4">
        <f t="shared" si="15"/>
        <v>455000</v>
      </c>
      <c r="I482" s="4">
        <v>72800</v>
      </c>
      <c r="J482" s="4">
        <f t="shared" si="16"/>
        <v>72800</v>
      </c>
      <c r="K482" s="4">
        <v>0</v>
      </c>
      <c r="L482" s="4">
        <v>527800</v>
      </c>
      <c r="M482" t="s">
        <v>179</v>
      </c>
      <c r="N482" t="s">
        <v>35</v>
      </c>
      <c r="O482" t="s">
        <v>17</v>
      </c>
    </row>
    <row r="483" spans="1:15" x14ac:dyDescent="0.25">
      <c r="A483" t="s">
        <v>1055</v>
      </c>
      <c r="B483" t="s">
        <v>1056</v>
      </c>
      <c r="C483" t="s">
        <v>26</v>
      </c>
      <c r="D483" t="s">
        <v>1057</v>
      </c>
      <c r="E483" t="s">
        <v>1058</v>
      </c>
      <c r="F483" s="4">
        <v>0</v>
      </c>
      <c r="G483" s="4">
        <v>250000</v>
      </c>
      <c r="H483" s="4">
        <f t="shared" si="15"/>
        <v>250000</v>
      </c>
      <c r="I483" s="4">
        <v>40000</v>
      </c>
      <c r="J483" s="4">
        <f t="shared" si="16"/>
        <v>40000</v>
      </c>
      <c r="K483" s="4">
        <v>0</v>
      </c>
      <c r="L483" s="4">
        <v>290000</v>
      </c>
      <c r="M483" t="s">
        <v>60</v>
      </c>
      <c r="N483" t="s">
        <v>311</v>
      </c>
      <c r="O483" t="s">
        <v>17</v>
      </c>
    </row>
    <row r="484" spans="1:15" x14ac:dyDescent="0.25">
      <c r="A484" t="s">
        <v>12</v>
      </c>
      <c r="B484" t="s">
        <v>13</v>
      </c>
      <c r="C484" t="s">
        <v>32</v>
      </c>
      <c r="D484" t="s">
        <v>237</v>
      </c>
      <c r="E484" t="s">
        <v>238</v>
      </c>
      <c r="F484" s="4">
        <v>0</v>
      </c>
      <c r="G484" s="4">
        <v>697000</v>
      </c>
      <c r="H484" s="4">
        <f t="shared" si="15"/>
        <v>697000</v>
      </c>
      <c r="I484" s="4">
        <v>111520</v>
      </c>
      <c r="J484" s="4">
        <f t="shared" si="16"/>
        <v>111520</v>
      </c>
      <c r="K484" s="4">
        <v>0</v>
      </c>
      <c r="L484" s="4">
        <v>808520</v>
      </c>
      <c r="M484" t="s">
        <v>18</v>
      </c>
      <c r="N484" t="s">
        <v>23</v>
      </c>
      <c r="O484" t="s">
        <v>239</v>
      </c>
    </row>
    <row r="485" spans="1:15" x14ac:dyDescent="0.25">
      <c r="A485" t="s">
        <v>12</v>
      </c>
      <c r="B485" t="s">
        <v>13</v>
      </c>
      <c r="C485" t="s">
        <v>149</v>
      </c>
      <c r="D485" t="s">
        <v>150</v>
      </c>
      <c r="E485" t="s">
        <v>151</v>
      </c>
      <c r="F485" s="4">
        <v>0</v>
      </c>
      <c r="G485" s="4">
        <v>3936000</v>
      </c>
      <c r="H485" s="4">
        <f t="shared" si="15"/>
        <v>3936000</v>
      </c>
      <c r="I485" s="4">
        <v>629760</v>
      </c>
      <c r="J485" s="4">
        <f t="shared" si="16"/>
        <v>629760</v>
      </c>
      <c r="K485" s="4">
        <v>0</v>
      </c>
      <c r="L485" s="4">
        <v>4565760</v>
      </c>
      <c r="M485" t="s">
        <v>18</v>
      </c>
      <c r="N485" t="s">
        <v>152</v>
      </c>
      <c r="O485" t="s">
        <v>20</v>
      </c>
    </row>
    <row r="486" spans="1:15" x14ac:dyDescent="0.25">
      <c r="A486" t="s">
        <v>12</v>
      </c>
      <c r="B486" t="s">
        <v>13</v>
      </c>
      <c r="C486" t="s">
        <v>14</v>
      </c>
      <c r="D486" t="s">
        <v>15</v>
      </c>
      <c r="E486" t="s">
        <v>16</v>
      </c>
      <c r="F486" s="4">
        <v>318750</v>
      </c>
      <c r="G486" s="4">
        <v>1742500</v>
      </c>
      <c r="H486" s="4">
        <f t="shared" si="15"/>
        <v>2061250</v>
      </c>
      <c r="I486" s="4">
        <v>329800</v>
      </c>
      <c r="J486" s="4">
        <f t="shared" si="16"/>
        <v>329800</v>
      </c>
      <c r="K486" s="4">
        <v>0</v>
      </c>
      <c r="L486" s="4">
        <v>2391050</v>
      </c>
      <c r="M486" t="s">
        <v>18</v>
      </c>
      <c r="N486" t="s">
        <v>19</v>
      </c>
      <c r="O486" t="s">
        <v>20</v>
      </c>
    </row>
    <row r="487" spans="1:15" x14ac:dyDescent="0.25">
      <c r="A487" t="s">
        <v>12</v>
      </c>
      <c r="B487" t="s">
        <v>13</v>
      </c>
      <c r="C487" t="s">
        <v>26</v>
      </c>
      <c r="D487" t="s">
        <v>361</v>
      </c>
      <c r="E487" t="s">
        <v>362</v>
      </c>
      <c r="F487" s="4">
        <v>0</v>
      </c>
      <c r="G487" s="4">
        <v>800000</v>
      </c>
      <c r="H487" s="4">
        <f t="shared" si="15"/>
        <v>800000</v>
      </c>
      <c r="I487" s="4">
        <v>128000</v>
      </c>
      <c r="J487" s="4">
        <f t="shared" si="16"/>
        <v>128000</v>
      </c>
      <c r="K487" s="4">
        <v>0</v>
      </c>
      <c r="L487" s="4">
        <v>928000</v>
      </c>
      <c r="M487" t="s">
        <v>18</v>
      </c>
      <c r="N487" t="s">
        <v>363</v>
      </c>
      <c r="O487" t="s">
        <v>20</v>
      </c>
    </row>
    <row r="488" spans="1:15" x14ac:dyDescent="0.25">
      <c r="A488" t="s">
        <v>12</v>
      </c>
      <c r="B488" t="s">
        <v>13</v>
      </c>
      <c r="C488" t="s">
        <v>14</v>
      </c>
      <c r="D488" t="s">
        <v>21</v>
      </c>
      <c r="E488" t="s">
        <v>22</v>
      </c>
      <c r="F488" s="4">
        <v>210000</v>
      </c>
      <c r="G488" s="4">
        <v>1148000</v>
      </c>
      <c r="H488" s="4">
        <f t="shared" si="15"/>
        <v>1358000</v>
      </c>
      <c r="I488" s="4">
        <v>217280</v>
      </c>
      <c r="J488" s="4">
        <f t="shared" si="16"/>
        <v>217280</v>
      </c>
      <c r="K488" s="4">
        <v>0</v>
      </c>
      <c r="L488" s="4">
        <v>1575280</v>
      </c>
      <c r="M488" t="s">
        <v>18</v>
      </c>
      <c r="N488" t="s">
        <v>23</v>
      </c>
      <c r="O488" t="s">
        <v>20</v>
      </c>
    </row>
    <row r="489" spans="1:15" x14ac:dyDescent="0.25">
      <c r="I489" s="9">
        <f t="shared" ref="I489:K489" si="17">SUM(I45:I488)</f>
        <v>66957541.000000015</v>
      </c>
      <c r="J489" s="9">
        <f t="shared" si="17"/>
        <v>66957541.001600012</v>
      </c>
      <c r="K489" s="9">
        <f t="shared" si="17"/>
        <v>1.5999999832274625E-3</v>
      </c>
    </row>
  </sheetData>
  <sortState xmlns:xlrd2="http://schemas.microsoft.com/office/spreadsheetml/2017/richdata2" ref="A3:O43">
    <sortCondition ref="D10:D4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4F54-D33B-495D-96D1-44C6742426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D4AA-3FA1-40F8-B008-975DF3520D0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Wanyoike</dc:creator>
  <cp:lastModifiedBy>Francis Wanyoike</cp:lastModifiedBy>
  <dcterms:created xsi:type="dcterms:W3CDTF">2026-01-16T09:45:59Z</dcterms:created>
  <dcterms:modified xsi:type="dcterms:W3CDTF">2026-01-16T09:56:31Z</dcterms:modified>
</cp:coreProperties>
</file>