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iarie\Downloads\"/>
    </mc:Choice>
  </mc:AlternateContent>
  <xr:revisionPtr revIDLastSave="0" documentId="13_ncr:1_{7108D710-53D8-40DF-9FE6-0D200DF38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Collection Summary 03-0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B9" i="1"/>
  <c r="G6" i="1"/>
  <c r="G7" i="1"/>
  <c r="G5" i="1"/>
  <c r="G9" i="1" l="1"/>
</calcChain>
</file>

<file path=xl/sharedStrings.xml><?xml version="1.0" encoding="utf-8"?>
<sst xmlns="http://schemas.openxmlformats.org/spreadsheetml/2006/main" count="19" uniqueCount="17">
  <si>
    <t>Daily Collection Summary Report</t>
  </si>
  <si>
    <t>Date: 03/09/25</t>
  </si>
  <si>
    <t>Branch Name</t>
  </si>
  <si>
    <t>Cash Sales</t>
  </si>
  <si>
    <t>Cheque</t>
  </si>
  <si>
    <t>Total</t>
  </si>
  <si>
    <t>CEH Appointment Clinic Location</t>
  </si>
  <si>
    <t>CEH Main Hospital Location</t>
  </si>
  <si>
    <t>CEH Nyeri Location</t>
  </si>
  <si>
    <t>TOTAL</t>
  </si>
  <si>
    <t>56.41%</t>
  </si>
  <si>
    <t>0.00%</t>
  </si>
  <si>
    <t>43.59%</t>
  </si>
  <si>
    <t>SHA</t>
  </si>
  <si>
    <t>Insurance &amp; Corporate</t>
  </si>
  <si>
    <t>Non-Corporate</t>
  </si>
  <si>
    <t>%Contributions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</si>
</sst>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" fontId="0" fillId="0" borderId="0" xfId="0" applyNumberFormat="1"/>
    <xf numFmtId="4" fontId="1" fillId="0" borderId="0" xfId="0" applyNumberFormat="1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4.5" x14ac:dyDescent="0.35"/>
  <cols>
    <col min="1" max="1" width="28.7265625" bestFit="1" customWidth="1"/>
    <col min="2" max="2" width="11.453125" bestFit="1" customWidth="1"/>
    <col min="3" max="3" width="7.36328125" bestFit="1" customWidth="1"/>
    <col min="4" max="4" width="5.90625" bestFit="1" customWidth="1"/>
    <col min="5" max="5" width="19.54296875" bestFit="1" customWidth="1"/>
    <col min="6" max="6" width="13.1796875" bestFit="1" customWidth="1"/>
    <col min="7" max="7" width="11.453125" bestFit="1" customWidth="1"/>
  </cols>
  <sheetData>
    <row r="1" spans="1:7" x14ac:dyDescent="0.35">
      <c r="A1" s="1" t="s">
        <v>0</v>
      </c>
    </row>
    <row r="2" spans="1:7" x14ac:dyDescent="0.35">
      <c r="A2" s="2" t="s">
        <v>1</v>
      </c>
    </row>
    <row r="4" spans="1:7" x14ac:dyDescent="0.35">
      <c r="A4" s="1" t="s">
        <v>2</v>
      </c>
      <c r="B4" s="1" t="s">
        <v>3</v>
      </c>
      <c r="C4" s="1" t="s">
        <v>4</v>
      </c>
      <c r="D4" s="1" t="s">
        <v>13</v>
      </c>
      <c r="E4" s="1" t="s">
        <v>14</v>
      </c>
      <c r="F4" s="1" t="s">
        <v>15</v>
      </c>
      <c r="G4" s="1" t="s">
        <v>5</v>
      </c>
    </row>
    <row r="5" spans="1:7" x14ac:dyDescent="0.35">
      <c r="A5" s="2" t="s">
        <v>6</v>
      </c>
      <c r="B5" s="3">
        <v>231390.01</v>
      </c>
      <c r="C5" s="3">
        <v>0</v>
      </c>
      <c r="D5" s="3">
        <v>0</v>
      </c>
      <c r="E5" s="3">
        <v>58300</v>
      </c>
      <c r="F5" s="3">
        <v>0</v>
      </c>
      <c r="G5" s="3">
        <f>SUM(B5:F5)</f>
        <v>289690.01</v>
      </c>
    </row>
    <row r="6" spans="1:7" x14ac:dyDescent="0.35">
      <c r="A6" s="2" t="s">
        <v>7</v>
      </c>
      <c r="B6" s="3">
        <v>1392494.15</v>
      </c>
      <c r="C6" s="3">
        <v>0</v>
      </c>
      <c r="D6" s="3">
        <v>0</v>
      </c>
      <c r="E6" s="3">
        <v>919439.85</v>
      </c>
      <c r="F6" s="3">
        <v>0</v>
      </c>
      <c r="G6" s="3">
        <f t="shared" ref="G6:G7" si="0">SUM(B6:F6)</f>
        <v>2311934</v>
      </c>
    </row>
    <row r="7" spans="1:7" x14ac:dyDescent="0.35">
      <c r="A7" s="2" t="s">
        <v>8</v>
      </c>
      <c r="B7" s="3">
        <v>239030</v>
      </c>
      <c r="C7" s="3">
        <v>0</v>
      </c>
      <c r="D7" s="3">
        <v>0</v>
      </c>
      <c r="E7" s="3">
        <v>461570</v>
      </c>
      <c r="F7" s="3">
        <v>0</v>
      </c>
      <c r="G7" s="3">
        <f t="shared" si="0"/>
        <v>700600</v>
      </c>
    </row>
    <row r="9" spans="1:7" x14ac:dyDescent="0.35">
      <c r="A9" s="1" t="s">
        <v>9</v>
      </c>
      <c r="B9" s="4">
        <f>SUM(B5:B8)</f>
        <v>1862914.16</v>
      </c>
      <c r="C9" s="4">
        <f t="shared" ref="C9:G9" si="1">SUM(C5:C8)</f>
        <v>0</v>
      </c>
      <c r="D9" s="4">
        <f t="shared" si="1"/>
        <v>0</v>
      </c>
      <c r="E9" s="4">
        <f t="shared" si="1"/>
        <v>1439309.85</v>
      </c>
      <c r="F9" s="4">
        <f t="shared" si="1"/>
        <v>0</v>
      </c>
      <c r="G9" s="4">
        <f t="shared" si="1"/>
        <v>3302224.01</v>
      </c>
    </row>
    <row r="10" spans="1:7" x14ac:dyDescent="0.35">
      <c r="A10" s="5" t="s">
        <v>16</v>
      </c>
      <c r="B10" s="2" t="s">
        <v>10</v>
      </c>
      <c r="C10" s="2" t="s">
        <v>11</v>
      </c>
      <c r="D10" s="2" t="s">
        <v>11</v>
      </c>
      <c r="E10" s="2" t="s">
        <v>12</v>
      </c>
      <c r="F10" s="2" t="s">
        <v>11</v>
      </c>
      <c r="G10" s="6">
        <v>1</v>
      </c>
    </row>
  </sheetData>
  <pageMargins left="0.7" right="0.7" top="0.75" bottom="0.75" header="0.3" footer="0.3"/>
  <pageSetup paperSize="9" orientation="landscape"/>
  <headerFooter>
    <oddHeader>&amp;BDaily Collection Summary&amp;B
CITY EYE HOSPITAL</oddHeader>
    <evenHeader>&amp;D
JOHNKIARIE@CITYEYEHOSPITAL.OR.KE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Collection Summary 03-0..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Kiarie</cp:lastModifiedBy>
  <dcterms:modified xsi:type="dcterms:W3CDTF">2025-09-04T08:04:27Z</dcterms:modified>
</cp:coreProperties>
</file>