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positcoke-my.sharepoint.com/personal/joseph_kyengo_dataposit_co_ke/Documents/$3!F/uZ!7O/SILVERSTONE/"/>
    </mc:Choice>
  </mc:AlternateContent>
  <xr:revisionPtr revIDLastSave="0" documentId="8_{E2767D16-4916-4371-8FAD-12C33907F609}" xr6:coauthVersionLast="47" xr6:coauthVersionMax="47" xr10:uidLastSave="{00000000-0000-0000-0000-000000000000}"/>
  <bookViews>
    <workbookView xWindow="-108" yWindow="-108" windowWidth="23256" windowHeight="12456" xr2:uid="{FA4A30EA-A8CB-4D7C-9BD5-7E25B9F75AAE}"/>
  </bookViews>
  <sheets>
    <sheet name="Report Template" sheetId="1" r:id="rId1"/>
    <sheet name="Minimum Revenue per year" sheetId="3" r:id="rId2"/>
    <sheet name="Base Rent Escalation" sheetId="4" r:id="rId3"/>
    <sheet name="Sample Report-Revenue Share Ki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0" i="1" l="1"/>
  <c r="D44" i="1"/>
  <c r="D46" i="1" s="1"/>
</calcChain>
</file>

<file path=xl/sharedStrings.xml><?xml version="1.0" encoding="utf-8"?>
<sst xmlns="http://schemas.openxmlformats.org/spreadsheetml/2006/main" count="78" uniqueCount="73">
  <si>
    <t xml:space="preserve">Branch Name: </t>
  </si>
  <si>
    <t>Salesperson Code:</t>
  </si>
  <si>
    <t xml:space="preserve">Salesperson Name: </t>
  </si>
  <si>
    <t>Month:</t>
  </si>
  <si>
    <t>Year:</t>
  </si>
  <si>
    <t>Date:</t>
  </si>
  <si>
    <t>Daily Sales [KES. Excl VAT]</t>
  </si>
  <si>
    <t>Year No.</t>
  </si>
  <si>
    <t>Base Rent escalation schedule: 10% escalation every 2 years.</t>
  </si>
  <si>
    <t>1st April 2025 to 31st March 2027 Kshs 200,000 per month</t>
  </si>
  <si>
    <t>1st April 2027 to 31st March 2029 Kshs 220,000 per month</t>
  </si>
  <si>
    <t>1st April 2029 to 31st March 2031 Kshs 242,000 per month</t>
  </si>
  <si>
    <t xml:space="preserve">a)       Year 1 – 10% of the monthly revenue over KES. 2,000,000 </t>
  </si>
  <si>
    <t xml:space="preserve">a)       Year 2 – 10% of the monthly revenue over KES. 2,000,000 </t>
  </si>
  <si>
    <t xml:space="preserve">a)       Year 3 – 10% of the monthly revenue over KES. 2,200,000 </t>
  </si>
  <si>
    <t xml:space="preserve">a)       Year 4 – 10% of the monthly revenue over KES. 2,200,000 </t>
  </si>
  <si>
    <t xml:space="preserve">a)       Year 5 – 10% of the monthly revenue over KES. 2,420,000 </t>
  </si>
  <si>
    <t xml:space="preserve">a)       Year 6 – 10% of the monthly revenue over KES. 2,420,000 </t>
  </si>
  <si>
    <t>1st April 2025 to 31st March 2026</t>
  </si>
  <si>
    <t>1st April 2026 to 31st March 2027</t>
  </si>
  <si>
    <t>1st April 2027 to 31st March 2028</t>
  </si>
  <si>
    <t>1st April 2028 to 31st March 2029</t>
  </si>
  <si>
    <t>1st April 2029 to 31st March 2030</t>
  </si>
  <si>
    <t>1st April 2030 to 31st March 2031</t>
  </si>
  <si>
    <t>Period</t>
  </si>
  <si>
    <t>22/01/2025</t>
  </si>
  <si>
    <t>REVENUE SHARE REPORT</t>
  </si>
  <si>
    <t>Branch Name:</t>
  </si>
  <si>
    <t>TCKRD Kiambu Road</t>
  </si>
  <si>
    <t>SalePerson Code :</t>
  </si>
  <si>
    <t>58</t>
  </si>
  <si>
    <t>Sales Person Name</t>
  </si>
  <si>
    <t>Month</t>
  </si>
  <si>
    <t>January</t>
  </si>
  <si>
    <t>Year</t>
  </si>
  <si>
    <t xml:space="preserve">Date   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</si>
  <si>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</si>
  <si>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</si>
  <si>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</si>
  <si>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</si>
  <si>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</si>
  <si>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</si>
  <si>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</si>
  <si>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</si>
  <si>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</si>
  <si>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</si>
  <si>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</si>
  <si>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</si>
  <si>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</si>
  <si>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</si>
  <si>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</si>
  <si>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</si>
  <si>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</si>
  <si>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</si>
  <si>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</si>
  <si>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</si>
  <si>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</si>
  <si>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</si>
  <si>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</si>
  <si>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</si>
  <si>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</si>
  <si>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Total Sales/Revenue (KES. Excl VAT)  -  [ A ]</t>
  </si>
  <si>
    <t>Applicable Minimum Revenue for Revenue share (KES. Excl VAT) - [ B ]</t>
  </si>
  <si>
    <t>Revenue Amount for Revenue Share Calculation for the month - [ C ] { C=IF(A&gt;B,A-B),0) }</t>
  </si>
  <si>
    <t>DEBRA Ltd. Revenue Share Amount (10%) (KES. Excl. VAT):</t>
  </si>
  <si>
    <t>Base Rent  (KES. Excl VAT)  [ E ]</t>
  </si>
  <si>
    <t>Total Rent Payable  (KES. Excl VAT) [ F ] { F = D + E }</t>
  </si>
  <si>
    <t>Repen Investment Ltd. Revenue Share: 10% of the monthly revenue (KES. Excl VAT)  [ D ] {D = 10% of C }</t>
  </si>
  <si>
    <t>TC Syokimau</t>
  </si>
  <si>
    <t>Revenue Amount for Revenue Share Calculation for the month (KES. Excl VAT) - [ C ]  { C = IF(A&gt;B,A-B),0) }</t>
  </si>
  <si>
    <t>ContiPartner Syokimau</t>
  </si>
  <si>
    <t>REVENUE SHARE AND RENT PAYABLE REPORT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</si>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</sst>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0809]#,##0.00"/>
    <numFmt numFmtId="165" formatCode="dd/mm/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rebuchet MS"/>
      <family val="2"/>
    </font>
    <font>
      <sz val="12"/>
      <color rgb="FF000000"/>
      <name val="Consolas"/>
      <family val="3"/>
    </font>
    <font>
      <sz val="12"/>
      <name val="Calibri"/>
      <family val="2"/>
    </font>
    <font>
      <sz val="11"/>
      <name val="Calibri"/>
      <family val="2"/>
    </font>
    <font>
      <b/>
      <sz val="12"/>
      <color rgb="FF000000"/>
      <name val="Consolas"/>
      <family val="3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 val="singleAccounting"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7" fillId="0" borderId="0" xfId="0" applyFont="1"/>
    <xf numFmtId="0" fontId="6" fillId="0" borderId="0" xfId="0" applyFont="1"/>
    <xf numFmtId="0" fontId="5" fillId="0" borderId="0" xfId="0" applyFont="1" applyAlignment="1">
      <alignment vertical="top" wrapText="1" readingOrder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43" fontId="0" fillId="0" borderId="4" xfId="1" applyFont="1" applyBorder="1" applyAlignment="1">
      <alignment horizontal="center" vertical="center"/>
    </xf>
    <xf numFmtId="43" fontId="2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3" fontId="10" fillId="0" borderId="4" xfId="1" applyFont="1" applyBorder="1" applyAlignment="1">
      <alignment horizontal="center" vertical="center" wrapText="1"/>
    </xf>
    <xf numFmtId="43" fontId="11" fillId="0" borderId="6" xfId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65" fontId="0" fillId="0" borderId="15" xfId="0" applyNumberFormat="1" applyBorder="1" applyAlignment="1">
      <alignment horizontal="left"/>
    </xf>
    <xf numFmtId="165" fontId="0" fillId="0" borderId="7" xfId="0" applyNumberFormat="1" applyBorder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top" wrapText="1" readingOrder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164" fontId="8" fillId="0" borderId="1" xfId="0" applyNumberFormat="1" applyFont="1" applyBorder="1" applyAlignment="1">
      <alignment horizontal="right" vertical="top" wrapText="1" readingOrder="1"/>
    </xf>
    <xf numFmtId="0" fontId="8" fillId="0" borderId="1" xfId="0" applyFont="1" applyBorder="1" applyAlignment="1">
      <alignment horizontal="right" vertical="top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0" fontId="6" fillId="0" borderId="0" xfId="0" applyFont="1"/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left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25BD-49EB-4831-8929-9B3EA355AD91}">
  <dimension ref="B1:D46"/>
  <sheetViews>
    <sheetView tabSelected="1" view="pageBreakPreview" zoomScaleNormal="100" zoomScaleSheetLayoutView="100" workbookViewId="0">
      <selection activeCell="B1" sqref="B1:D1"/>
    </sheetView>
  </sheetViews>
  <sheetFormatPr defaultRowHeight="14.4" x14ac:dyDescent="0.3"/>
  <cols>
    <col min="1" max="1" width="12.5546875" style="1" customWidth="1"/>
    <col min="2" max="2" width="30.6640625" style="1" customWidth="1"/>
    <col min="3" max="3" width="28.5546875" style="1" customWidth="1"/>
    <col min="4" max="4" width="39.44140625" style="7" customWidth="1"/>
    <col min="5" max="5" width="16.109375" style="1" customWidth="1"/>
    <col min="6" max="6" width="11.88671875" style="1" customWidth="1"/>
    <col min="7" max="16384" width="8.88671875" style="1"/>
  </cols>
  <sheetData>
    <row r="1" spans="2:4" ht="41.4" customHeight="1" x14ac:dyDescent="0.3">
      <c r="B1" s="20" t="s">
        <v>71</v>
      </c>
      <c r="C1" s="21"/>
      <c r="D1" s="22"/>
    </row>
    <row r="2" spans="2:4" ht="15.6" x14ac:dyDescent="0.3">
      <c r="B2" s="16" t="s">
        <v>0</v>
      </c>
      <c r="C2" s="14" t="s">
        <v>70</v>
      </c>
      <c r="D2" s="17"/>
    </row>
    <row r="3" spans="2:4" ht="15.6" x14ac:dyDescent="0.3">
      <c r="B3" s="16" t="s">
        <v>1</v>
      </c>
      <c r="C3" s="15">
        <v>65</v>
      </c>
      <c r="D3" s="18"/>
    </row>
    <row r="4" spans="2:4" ht="15.6" x14ac:dyDescent="0.3">
      <c r="B4" s="16" t="s">
        <v>2</v>
      </c>
      <c r="C4" s="15" t="s">
        <v>68</v>
      </c>
      <c r="D4" s="18"/>
    </row>
    <row r="5" spans="2:4" ht="15.6" x14ac:dyDescent="0.3">
      <c r="B5" s="16" t="s">
        <v>3</v>
      </c>
      <c r="C5" s="15" t="s">
        <v>72</v>
      </c>
      <c r="D5" s="18"/>
    </row>
    <row r="6" spans="2:4" ht="15.6" x14ac:dyDescent="0.3">
      <c r="B6" s="16" t="s">
        <v>4</v>
      </c>
      <c r="C6" s="15">
        <v>2025</v>
      </c>
      <c r="D6" s="18"/>
    </row>
    <row r="7" spans="2:4" ht="9.6" customHeight="1" x14ac:dyDescent="0.3">
      <c r="B7" s="19"/>
      <c r="D7" s="18"/>
    </row>
    <row r="8" spans="2:4" ht="15.6" x14ac:dyDescent="0.3">
      <c r="B8" s="23" t="s">
        <v>5</v>
      </c>
      <c r="C8" s="24"/>
      <c r="D8" s="8" t="s">
        <v>6</v>
      </c>
    </row>
    <row r="9" spans="2:4" x14ac:dyDescent="0.3">
      <c r="B9" s="25">
        <v>45870</v>
      </c>
      <c r="C9" s="26"/>
      <c r="D9" s="9">
        <v>99972.491379310348</v>
      </c>
    </row>
    <row r="10" spans="2:4" x14ac:dyDescent="0.3">
      <c r="B10" s="25">
        <v>45871</v>
      </c>
      <c r="C10" s="26"/>
      <c r="D10" s="9">
        <v>48767.232758620688</v>
      </c>
    </row>
    <row r="11" spans="2:4" x14ac:dyDescent="0.3">
      <c r="B11" s="25">
        <v>45872</v>
      </c>
      <c r="C11" s="26"/>
      <c r="D11" s="9">
        <v>29569.793103448275</v>
      </c>
    </row>
    <row r="12" spans="2:4" x14ac:dyDescent="0.3">
      <c r="B12" s="25">
        <v>45873</v>
      </c>
      <c r="C12" s="26"/>
      <c r="D12" s="9">
        <v>46621.663793103449</v>
      </c>
    </row>
    <row r="13" spans="2:4" x14ac:dyDescent="0.3">
      <c r="B13" s="25">
        <v>45874</v>
      </c>
      <c r="C13" s="26"/>
      <c r="D13" s="9">
        <v>30561.327586206899</v>
      </c>
    </row>
    <row r="14" spans="2:4" x14ac:dyDescent="0.3">
      <c r="B14" s="25">
        <v>45875</v>
      </c>
      <c r="C14" s="26"/>
      <c r="D14" s="9">
        <v>81966.508620689652</v>
      </c>
    </row>
    <row r="15" spans="2:4" x14ac:dyDescent="0.3">
      <c r="B15" s="25">
        <v>45876</v>
      </c>
      <c r="C15" s="26"/>
      <c r="D15" s="9">
        <v>62712.043103448283</v>
      </c>
    </row>
    <row r="16" spans="2:4" x14ac:dyDescent="0.3">
      <c r="B16" s="25">
        <v>45877</v>
      </c>
      <c r="C16" s="26"/>
      <c r="D16" s="9">
        <v>48103.396551724138</v>
      </c>
    </row>
    <row r="17" spans="2:4" x14ac:dyDescent="0.3">
      <c r="B17" s="25">
        <v>45878</v>
      </c>
      <c r="C17" s="26"/>
      <c r="D17" s="9">
        <v>54871.65517241379</v>
      </c>
    </row>
    <row r="18" spans="2:4" x14ac:dyDescent="0.3">
      <c r="B18" s="25">
        <v>45879</v>
      </c>
      <c r="C18" s="26"/>
      <c r="D18" s="9">
        <v>77854.43965517242</v>
      </c>
    </row>
    <row r="19" spans="2:4" x14ac:dyDescent="0.3">
      <c r="B19" s="25">
        <v>45880</v>
      </c>
      <c r="C19" s="26"/>
      <c r="D19" s="9">
        <v>85319.939655172435</v>
      </c>
    </row>
    <row r="20" spans="2:4" x14ac:dyDescent="0.3">
      <c r="B20" s="25">
        <v>45881</v>
      </c>
      <c r="C20" s="26"/>
      <c r="D20" s="9">
        <v>25906.146551724141</v>
      </c>
    </row>
    <row r="21" spans="2:4" x14ac:dyDescent="0.3">
      <c r="B21" s="25">
        <v>45882</v>
      </c>
      <c r="C21" s="26"/>
      <c r="D21" s="9">
        <v>25216.5</v>
      </c>
    </row>
    <row r="22" spans="2:4" x14ac:dyDescent="0.3">
      <c r="B22" s="25">
        <v>45883</v>
      </c>
      <c r="C22" s="26"/>
      <c r="D22" s="9">
        <v>51552.698275862072</v>
      </c>
    </row>
    <row r="23" spans="2:4" x14ac:dyDescent="0.3">
      <c r="B23" s="25">
        <v>45884</v>
      </c>
      <c r="C23" s="26"/>
      <c r="D23" s="9">
        <v>27198.258620689659</v>
      </c>
    </row>
    <row r="24" spans="2:4" x14ac:dyDescent="0.3">
      <c r="B24" s="25">
        <v>45885</v>
      </c>
      <c r="C24" s="26"/>
      <c r="D24" s="9">
        <v>95262.870689655188</v>
      </c>
    </row>
    <row r="25" spans="2:4" x14ac:dyDescent="0.3">
      <c r="B25" s="25">
        <v>45886</v>
      </c>
      <c r="C25" s="26"/>
      <c r="D25" s="9">
        <v>11206.879310344828</v>
      </c>
    </row>
    <row r="26" spans="2:4" x14ac:dyDescent="0.3">
      <c r="B26" s="25">
        <v>45887</v>
      </c>
      <c r="C26" s="26"/>
      <c r="D26" s="9">
        <v>56336.206896551725</v>
      </c>
    </row>
    <row r="27" spans="2:4" x14ac:dyDescent="0.3">
      <c r="B27" s="25">
        <v>45888</v>
      </c>
      <c r="C27" s="26"/>
      <c r="D27" s="9">
        <v>38363.051724137935</v>
      </c>
    </row>
    <row r="28" spans="2:4" x14ac:dyDescent="0.3">
      <c r="B28" s="25">
        <v>45889</v>
      </c>
      <c r="C28" s="26"/>
      <c r="D28" s="9">
        <v>18663.758620689656</v>
      </c>
    </row>
    <row r="29" spans="2:4" x14ac:dyDescent="0.3">
      <c r="B29" s="25">
        <v>45890</v>
      </c>
      <c r="C29" s="26"/>
      <c r="D29" s="9">
        <v>12672.370689655172</v>
      </c>
    </row>
    <row r="30" spans="2:4" x14ac:dyDescent="0.3">
      <c r="B30" s="25">
        <v>45891</v>
      </c>
      <c r="C30" s="26"/>
      <c r="D30" s="9">
        <v>79269.206896551725</v>
      </c>
    </row>
    <row r="31" spans="2:4" x14ac:dyDescent="0.3">
      <c r="B31" s="25">
        <v>45892</v>
      </c>
      <c r="C31" s="26"/>
      <c r="D31" s="9">
        <v>27887.905172413797</v>
      </c>
    </row>
    <row r="32" spans="2:4" x14ac:dyDescent="0.3">
      <c r="B32" s="25">
        <v>45893</v>
      </c>
      <c r="C32" s="26"/>
      <c r="D32" s="9">
        <v>17642.21551724138</v>
      </c>
    </row>
    <row r="33" spans="2:4" x14ac:dyDescent="0.3">
      <c r="B33" s="25">
        <v>45894</v>
      </c>
      <c r="C33" s="26"/>
      <c r="D33" s="9">
        <v>44999.991379310348</v>
      </c>
    </row>
    <row r="34" spans="2:4" x14ac:dyDescent="0.3">
      <c r="B34" s="25">
        <v>45895</v>
      </c>
      <c r="C34" s="26"/>
      <c r="D34" s="9">
        <v>44051.706896551725</v>
      </c>
    </row>
    <row r="35" spans="2:4" x14ac:dyDescent="0.3">
      <c r="B35" s="25">
        <v>45896</v>
      </c>
      <c r="C35" s="26"/>
      <c r="D35" s="9">
        <v>79587.198275862072</v>
      </c>
    </row>
    <row r="36" spans="2:4" x14ac:dyDescent="0.3">
      <c r="B36" s="25">
        <v>45897</v>
      </c>
      <c r="C36" s="26"/>
      <c r="D36" s="9">
        <v>156063.06034482759</v>
      </c>
    </row>
    <row r="37" spans="2:4" x14ac:dyDescent="0.3">
      <c r="B37" s="25">
        <v>45898</v>
      </c>
      <c r="C37" s="26"/>
      <c r="D37" s="9">
        <v>60561.301724137949</v>
      </c>
    </row>
    <row r="38" spans="2:4" x14ac:dyDescent="0.3">
      <c r="B38" s="25">
        <v>45899</v>
      </c>
      <c r="C38" s="26"/>
      <c r="D38" s="9">
        <v>8887.9224137931033</v>
      </c>
    </row>
    <row r="39" spans="2:4" x14ac:dyDescent="0.3">
      <c r="B39" s="25">
        <v>45900</v>
      </c>
      <c r="C39" s="26"/>
      <c r="D39" s="9">
        <v>38104.448275862072</v>
      </c>
    </row>
    <row r="40" spans="2:4" ht="20.399999999999999" customHeight="1" x14ac:dyDescent="0.3">
      <c r="B40" s="23" t="s">
        <v>61</v>
      </c>
      <c r="C40" s="24"/>
      <c r="D40" s="10">
        <f>SUM(D9:D39)</f>
        <v>1585754.1896551724</v>
      </c>
    </row>
    <row r="41" spans="2:4" ht="20.399999999999999" customHeight="1" x14ac:dyDescent="0.3">
      <c r="B41" s="23" t="s">
        <v>7</v>
      </c>
      <c r="C41" s="24"/>
      <c r="D41" s="11">
        <v>1</v>
      </c>
    </row>
    <row r="42" spans="2:4" ht="35.4" customHeight="1" x14ac:dyDescent="0.3">
      <c r="B42" s="27" t="s">
        <v>62</v>
      </c>
      <c r="C42" s="28"/>
      <c r="D42" s="12">
        <v>2000000</v>
      </c>
    </row>
    <row r="43" spans="2:4" ht="35.4" customHeight="1" x14ac:dyDescent="0.3">
      <c r="B43" s="27" t="s">
        <v>69</v>
      </c>
      <c r="C43" s="28"/>
      <c r="D43" s="12">
        <v>0</v>
      </c>
    </row>
    <row r="44" spans="2:4" ht="35.4" customHeight="1" x14ac:dyDescent="0.3">
      <c r="B44" s="27" t="s">
        <v>67</v>
      </c>
      <c r="C44" s="28"/>
      <c r="D44" s="12">
        <f>D43*0.1</f>
        <v>0</v>
      </c>
    </row>
    <row r="45" spans="2:4" ht="25.2" customHeight="1" x14ac:dyDescent="0.3">
      <c r="B45" s="23" t="s">
        <v>65</v>
      </c>
      <c r="C45" s="24"/>
      <c r="D45" s="12">
        <v>200000</v>
      </c>
    </row>
    <row r="46" spans="2:4" ht="25.2" customHeight="1" thickBot="1" x14ac:dyDescent="0.35">
      <c r="B46" s="29" t="s">
        <v>66</v>
      </c>
      <c r="C46" s="30"/>
      <c r="D46" s="13">
        <f>D45+D44</f>
        <v>200000</v>
      </c>
    </row>
  </sheetData>
  <mergeCells count="40">
    <mergeCell ref="B45:C45"/>
    <mergeCell ref="B46:C46"/>
    <mergeCell ref="B44:C44"/>
    <mergeCell ref="B8:C8"/>
    <mergeCell ref="B34:C34"/>
    <mergeCell ref="B33:C33"/>
    <mergeCell ref="B32:C32"/>
    <mergeCell ref="B31:C31"/>
    <mergeCell ref="B30:C30"/>
    <mergeCell ref="B14:C14"/>
    <mergeCell ref="B13:C13"/>
    <mergeCell ref="B25:C25"/>
    <mergeCell ref="B24:C24"/>
    <mergeCell ref="B23:C23"/>
    <mergeCell ref="B22:C22"/>
    <mergeCell ref="B20:C20"/>
    <mergeCell ref="B42:C42"/>
    <mergeCell ref="B43:C43"/>
    <mergeCell ref="B29:C29"/>
    <mergeCell ref="B28:C28"/>
    <mergeCell ref="B27:C27"/>
    <mergeCell ref="B39:C39"/>
    <mergeCell ref="B38:C38"/>
    <mergeCell ref="B35:C35"/>
    <mergeCell ref="B1:D1"/>
    <mergeCell ref="B40:C40"/>
    <mergeCell ref="B41:C41"/>
    <mergeCell ref="B26:C26"/>
    <mergeCell ref="B11:C11"/>
    <mergeCell ref="B12:C12"/>
    <mergeCell ref="B21:C21"/>
    <mergeCell ref="B19:C19"/>
    <mergeCell ref="B18:C18"/>
    <mergeCell ref="B17:C17"/>
    <mergeCell ref="B16:C16"/>
    <mergeCell ref="B15:C15"/>
    <mergeCell ref="B10:C10"/>
    <mergeCell ref="B9:C9"/>
    <mergeCell ref="B37:C37"/>
    <mergeCell ref="B36:C36"/>
  </mergeCells>
  <phoneticPr fontId="3" type="noConversion"/>
  <pageMargins left="0.25" right="0.25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FC9E-0839-4AC9-ABBE-872A09796E99}">
  <dimension ref="A1:B7"/>
  <sheetViews>
    <sheetView zoomScale="140" zoomScaleNormal="140" workbookViewId="0">
      <selection activeCell="A3" sqref="A3"/>
    </sheetView>
  </sheetViews>
  <sheetFormatPr defaultRowHeight="14.4" x14ac:dyDescent="0.3"/>
  <cols>
    <col min="1" max="1" width="58.109375" bestFit="1" customWidth="1"/>
    <col min="2" max="2" width="28.6640625" bestFit="1" customWidth="1"/>
  </cols>
  <sheetData>
    <row r="1" spans="1:2" x14ac:dyDescent="0.3">
      <c r="B1" t="s">
        <v>24</v>
      </c>
    </row>
    <row r="2" spans="1:2" x14ac:dyDescent="0.3">
      <c r="A2" s="1" t="s">
        <v>12</v>
      </c>
      <c r="B2" t="s">
        <v>18</v>
      </c>
    </row>
    <row r="3" spans="1:2" x14ac:dyDescent="0.3">
      <c r="A3" s="1" t="s">
        <v>13</v>
      </c>
      <c r="B3" t="s">
        <v>19</v>
      </c>
    </row>
    <row r="4" spans="1:2" x14ac:dyDescent="0.3">
      <c r="A4" s="1" t="s">
        <v>14</v>
      </c>
      <c r="B4" t="s">
        <v>20</v>
      </c>
    </row>
    <row r="5" spans="1:2" x14ac:dyDescent="0.3">
      <c r="A5" s="1" t="s">
        <v>15</v>
      </c>
      <c r="B5" t="s">
        <v>21</v>
      </c>
    </row>
    <row r="6" spans="1:2" x14ac:dyDescent="0.3">
      <c r="A6" s="1" t="s">
        <v>16</v>
      </c>
      <c r="B6" t="s">
        <v>22</v>
      </c>
    </row>
    <row r="7" spans="1:2" x14ac:dyDescent="0.3">
      <c r="A7" s="1" t="s">
        <v>17</v>
      </c>
      <c r="B7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F688-C55F-4BF3-80F8-0318AD77D4C0}">
  <dimension ref="A1:A4"/>
  <sheetViews>
    <sheetView workbookViewId="0">
      <selection activeCell="A3" sqref="A3"/>
    </sheetView>
  </sheetViews>
  <sheetFormatPr defaultRowHeight="14.4" x14ac:dyDescent="0.3"/>
  <cols>
    <col min="1" max="1" width="65" bestFit="1" customWidth="1"/>
  </cols>
  <sheetData>
    <row r="1" spans="1:1" ht="16.2" x14ac:dyDescent="0.3">
      <c r="A1" s="2" t="s">
        <v>8</v>
      </c>
    </row>
    <row r="2" spans="1:1" ht="16.2" x14ac:dyDescent="0.3">
      <c r="A2" s="3" t="s">
        <v>9</v>
      </c>
    </row>
    <row r="3" spans="1:1" ht="16.2" x14ac:dyDescent="0.3">
      <c r="A3" s="3" t="s">
        <v>10</v>
      </c>
    </row>
    <row r="4" spans="1:1" ht="16.2" x14ac:dyDescent="0.3">
      <c r="A4" s="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593B-0DBE-4B94-B89A-95EE75FE1828}">
  <dimension ref="A1:L49"/>
  <sheetViews>
    <sheetView topLeftCell="A23" workbookViewId="0">
      <selection activeCell="K52" sqref="K52"/>
    </sheetView>
  </sheetViews>
  <sheetFormatPr defaultRowHeight="14.4" x14ac:dyDescent="0.3"/>
  <sheetData>
    <row r="1" spans="1:12" ht="15.6" x14ac:dyDescent="0.3">
      <c r="A1" s="36"/>
      <c r="B1" s="32"/>
      <c r="C1" s="32"/>
      <c r="D1" s="32"/>
      <c r="E1" s="32"/>
      <c r="F1" s="32"/>
      <c r="G1" s="32"/>
      <c r="H1" s="33"/>
    </row>
    <row r="2" spans="1:12" ht="15.6" x14ac:dyDescent="0.3">
      <c r="A2" s="4"/>
      <c r="B2" s="38" t="s">
        <v>26</v>
      </c>
      <c r="C2" s="39"/>
      <c r="D2" s="39"/>
      <c r="E2" s="39"/>
      <c r="F2" s="39"/>
      <c r="G2" s="39"/>
      <c r="H2" s="39"/>
      <c r="I2" s="39"/>
      <c r="J2" s="39"/>
      <c r="K2" s="5"/>
      <c r="L2" s="5"/>
    </row>
    <row r="3" spans="1:12" ht="15.6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.6" x14ac:dyDescent="0.3">
      <c r="A4" s="4"/>
      <c r="B4" s="40" t="s">
        <v>27</v>
      </c>
      <c r="C4" s="5"/>
      <c r="D4" s="5"/>
      <c r="E4" s="5"/>
      <c r="F4" s="5"/>
      <c r="G4" s="5"/>
      <c r="H4" s="5"/>
      <c r="I4" s="41" t="s">
        <v>28</v>
      </c>
      <c r="J4" s="41"/>
      <c r="K4" s="5"/>
      <c r="L4" s="5"/>
    </row>
    <row r="5" spans="1:12" ht="15.6" x14ac:dyDescent="0.3">
      <c r="A5" s="4"/>
      <c r="B5" s="39"/>
      <c r="C5" s="5"/>
      <c r="D5" s="5"/>
      <c r="E5" s="5"/>
      <c r="F5" s="5"/>
      <c r="G5" s="5"/>
      <c r="H5" s="5"/>
      <c r="I5" s="41"/>
      <c r="J5" s="41"/>
      <c r="K5" s="5"/>
      <c r="L5" s="5"/>
    </row>
    <row r="6" spans="1:12" ht="15.6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6" x14ac:dyDescent="0.3">
      <c r="A7" s="4"/>
      <c r="B7" s="40" t="s">
        <v>29</v>
      </c>
      <c r="C7" s="39"/>
      <c r="D7" s="5"/>
      <c r="E7" s="5"/>
      <c r="F7" s="5"/>
      <c r="G7" s="40" t="s">
        <v>30</v>
      </c>
      <c r="H7" s="39"/>
      <c r="I7" s="39"/>
      <c r="J7" s="39"/>
      <c r="K7" s="5"/>
      <c r="L7" s="5"/>
    </row>
    <row r="8" spans="1:12" ht="15.6" x14ac:dyDescent="0.3">
      <c r="A8" s="4"/>
      <c r="B8" s="5"/>
      <c r="C8" s="5"/>
      <c r="D8" s="5"/>
      <c r="E8" s="5"/>
      <c r="F8" s="5"/>
      <c r="G8" s="39"/>
      <c r="H8" s="39"/>
      <c r="I8" s="39"/>
      <c r="J8" s="39"/>
      <c r="K8" s="5"/>
      <c r="L8" s="5"/>
    </row>
    <row r="9" spans="1:12" ht="15.6" x14ac:dyDescent="0.3">
      <c r="A9" s="4"/>
      <c r="B9" s="40" t="s">
        <v>31</v>
      </c>
      <c r="C9" s="39"/>
      <c r="D9" s="39"/>
      <c r="E9" s="39"/>
      <c r="F9" s="5"/>
      <c r="G9" s="5"/>
      <c r="H9" s="41" t="s">
        <v>28</v>
      </c>
      <c r="I9" s="41"/>
      <c r="J9" s="41"/>
      <c r="K9" s="5"/>
      <c r="L9" s="5"/>
    </row>
    <row r="10" spans="1:12" ht="15.6" x14ac:dyDescent="0.3">
      <c r="A10" s="4"/>
      <c r="B10" s="39"/>
      <c r="C10" s="39"/>
      <c r="D10" s="39"/>
      <c r="E10" s="39"/>
      <c r="F10" s="5"/>
      <c r="G10" s="5"/>
      <c r="H10" s="41"/>
      <c r="I10" s="41"/>
      <c r="J10" s="41"/>
      <c r="K10" s="5"/>
      <c r="L10" s="5"/>
    </row>
    <row r="11" spans="1:12" ht="15.6" x14ac:dyDescent="0.3">
      <c r="A11" s="4"/>
      <c r="B11" s="5"/>
      <c r="C11" s="5"/>
      <c r="D11" s="5"/>
      <c r="E11" s="5"/>
      <c r="F11" s="5"/>
      <c r="G11" s="5"/>
      <c r="H11" s="41"/>
      <c r="I11" s="41"/>
      <c r="J11" s="41"/>
      <c r="K11" s="5"/>
      <c r="L11" s="5"/>
    </row>
    <row r="12" spans="1:12" ht="15.6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5.6" x14ac:dyDescent="0.3">
      <c r="A13" s="4"/>
      <c r="B13" s="40" t="s">
        <v>32</v>
      </c>
      <c r="C13" s="39"/>
      <c r="D13" s="5"/>
      <c r="E13" s="5"/>
      <c r="F13" s="5"/>
      <c r="G13" s="41" t="s">
        <v>33</v>
      </c>
      <c r="H13" s="39"/>
      <c r="I13" s="39"/>
      <c r="J13" s="39"/>
      <c r="K13" s="5"/>
      <c r="L13" s="5"/>
    </row>
    <row r="14" spans="1:12" ht="15.6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5.6" x14ac:dyDescent="0.3">
      <c r="A15" s="4"/>
      <c r="B15" s="6" t="s">
        <v>34</v>
      </c>
      <c r="C15" s="5"/>
      <c r="D15" s="5"/>
      <c r="E15" s="41">
        <v>2025</v>
      </c>
      <c r="F15" s="39"/>
      <c r="G15" s="39"/>
      <c r="H15" s="39"/>
      <c r="I15" s="39"/>
      <c r="J15" s="39"/>
      <c r="K15" s="5"/>
      <c r="L15" s="5"/>
    </row>
    <row r="16" spans="1:12" ht="15.6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6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.6" x14ac:dyDescent="0.3">
      <c r="A18" s="4"/>
      <c r="B18" s="31" t="s">
        <v>35</v>
      </c>
      <c r="C18" s="32"/>
      <c r="D18" s="32"/>
      <c r="E18" s="32"/>
      <c r="F18" s="32"/>
      <c r="G18" s="32"/>
      <c r="H18" s="32"/>
      <c r="I18" s="33"/>
      <c r="J18" s="35" t="s">
        <v>6</v>
      </c>
      <c r="K18" s="32"/>
      <c r="L18" s="33"/>
    </row>
    <row r="19" spans="1:12" ht="15.6" x14ac:dyDescent="0.3">
      <c r="A19" s="4"/>
      <c r="B19" s="36" t="s">
        <v>36</v>
      </c>
      <c r="C19" s="32"/>
      <c r="D19" s="32"/>
      <c r="E19" s="32"/>
      <c r="F19" s="32"/>
      <c r="G19" s="32"/>
      <c r="H19" s="32"/>
      <c r="I19" s="33"/>
      <c r="J19" s="37">
        <v>79054.55</v>
      </c>
      <c r="K19" s="32"/>
      <c r="L19" s="33"/>
    </row>
    <row r="20" spans="1:12" ht="15.6" x14ac:dyDescent="0.3">
      <c r="A20" s="4"/>
      <c r="B20" s="36" t="s">
        <v>37</v>
      </c>
      <c r="C20" s="32"/>
      <c r="D20" s="32"/>
      <c r="E20" s="32"/>
      <c r="F20" s="32"/>
      <c r="G20" s="32"/>
      <c r="H20" s="32"/>
      <c r="I20" s="33"/>
      <c r="J20" s="37">
        <v>42975.97</v>
      </c>
      <c r="K20" s="32"/>
      <c r="L20" s="33"/>
    </row>
    <row r="21" spans="1:12" ht="15.6" x14ac:dyDescent="0.3">
      <c r="A21" s="4"/>
      <c r="B21" s="36" t="s">
        <v>38</v>
      </c>
      <c r="C21" s="32"/>
      <c r="D21" s="32"/>
      <c r="E21" s="32"/>
      <c r="F21" s="32"/>
      <c r="G21" s="32"/>
      <c r="H21" s="32"/>
      <c r="I21" s="33"/>
      <c r="J21" s="37">
        <v>20733.73</v>
      </c>
      <c r="K21" s="32"/>
      <c r="L21" s="33"/>
    </row>
    <row r="22" spans="1:12" ht="15.6" x14ac:dyDescent="0.3">
      <c r="A22" s="4"/>
      <c r="B22" s="36" t="s">
        <v>39</v>
      </c>
      <c r="C22" s="32"/>
      <c r="D22" s="32"/>
      <c r="E22" s="32"/>
      <c r="F22" s="32"/>
      <c r="G22" s="32"/>
      <c r="H22" s="32"/>
      <c r="I22" s="33"/>
      <c r="J22" s="37">
        <v>20777.689999999999</v>
      </c>
      <c r="K22" s="32"/>
      <c r="L22" s="33"/>
    </row>
    <row r="23" spans="1:12" ht="15.6" x14ac:dyDescent="0.3">
      <c r="A23" s="4"/>
      <c r="B23" s="36" t="s">
        <v>40</v>
      </c>
      <c r="C23" s="32"/>
      <c r="D23" s="32"/>
      <c r="E23" s="32"/>
      <c r="F23" s="32"/>
      <c r="G23" s="32"/>
      <c r="H23" s="32"/>
      <c r="I23" s="33"/>
      <c r="J23" s="37">
        <v>32587.18</v>
      </c>
      <c r="K23" s="32"/>
      <c r="L23" s="33"/>
    </row>
    <row r="24" spans="1:12" ht="15.6" x14ac:dyDescent="0.3">
      <c r="A24" s="4"/>
      <c r="B24" s="36" t="s">
        <v>41</v>
      </c>
      <c r="C24" s="32"/>
      <c r="D24" s="32"/>
      <c r="E24" s="32"/>
      <c r="F24" s="32"/>
      <c r="G24" s="32"/>
      <c r="H24" s="32"/>
      <c r="I24" s="33"/>
      <c r="J24" s="37">
        <v>7413.77</v>
      </c>
      <c r="K24" s="32"/>
      <c r="L24" s="33"/>
    </row>
    <row r="25" spans="1:12" ht="15.6" x14ac:dyDescent="0.3">
      <c r="A25" s="4"/>
      <c r="B25" s="36" t="s">
        <v>42</v>
      </c>
      <c r="C25" s="32"/>
      <c r="D25" s="32"/>
      <c r="E25" s="32"/>
      <c r="F25" s="32"/>
      <c r="G25" s="32"/>
      <c r="H25" s="32"/>
      <c r="I25" s="33"/>
      <c r="J25" s="37">
        <v>13275.85</v>
      </c>
      <c r="K25" s="32"/>
      <c r="L25" s="33"/>
    </row>
    <row r="26" spans="1:12" ht="15.6" x14ac:dyDescent="0.3">
      <c r="A26" s="4"/>
      <c r="B26" s="36" t="s">
        <v>43</v>
      </c>
      <c r="C26" s="32"/>
      <c r="D26" s="32"/>
      <c r="E26" s="32"/>
      <c r="F26" s="32"/>
      <c r="G26" s="32"/>
      <c r="H26" s="32"/>
      <c r="I26" s="33"/>
      <c r="J26" s="37">
        <v>4903</v>
      </c>
      <c r="K26" s="32"/>
      <c r="L26" s="33"/>
    </row>
    <row r="27" spans="1:12" ht="15.6" x14ac:dyDescent="0.3">
      <c r="A27" s="4"/>
      <c r="B27" s="36" t="s">
        <v>44</v>
      </c>
      <c r="C27" s="32"/>
      <c r="D27" s="32"/>
      <c r="E27" s="32"/>
      <c r="F27" s="32"/>
      <c r="G27" s="32"/>
      <c r="H27" s="32"/>
      <c r="I27" s="33"/>
      <c r="J27" s="37">
        <v>25689.62</v>
      </c>
      <c r="K27" s="32"/>
      <c r="L27" s="33"/>
    </row>
    <row r="28" spans="1:12" ht="15.6" x14ac:dyDescent="0.3">
      <c r="A28" s="4"/>
      <c r="B28" s="36" t="s">
        <v>45</v>
      </c>
      <c r="C28" s="32"/>
      <c r="D28" s="32"/>
      <c r="E28" s="32"/>
      <c r="F28" s="32"/>
      <c r="G28" s="32"/>
      <c r="H28" s="32"/>
      <c r="I28" s="33"/>
      <c r="J28" s="37">
        <v>2241.37</v>
      </c>
      <c r="K28" s="32"/>
      <c r="L28" s="33"/>
    </row>
    <row r="29" spans="1:12" ht="15.6" x14ac:dyDescent="0.3">
      <c r="A29" s="4"/>
      <c r="B29" s="36" t="s">
        <v>46</v>
      </c>
      <c r="C29" s="32"/>
      <c r="D29" s="32"/>
      <c r="E29" s="32"/>
      <c r="F29" s="32"/>
      <c r="G29" s="32"/>
      <c r="H29" s="32"/>
      <c r="I29" s="33"/>
      <c r="J29" s="37">
        <v>4999.97</v>
      </c>
      <c r="K29" s="32"/>
      <c r="L29" s="33"/>
    </row>
    <row r="30" spans="1:12" ht="15.6" x14ac:dyDescent="0.3">
      <c r="A30" s="4"/>
      <c r="B30" s="36" t="s">
        <v>47</v>
      </c>
      <c r="C30" s="32"/>
      <c r="D30" s="32"/>
      <c r="E30" s="32"/>
      <c r="F30" s="32"/>
      <c r="G30" s="32"/>
      <c r="H30" s="32"/>
      <c r="I30" s="33"/>
      <c r="J30" s="37">
        <v>8232.76</v>
      </c>
      <c r="K30" s="32"/>
      <c r="L30" s="33"/>
    </row>
    <row r="31" spans="1:12" ht="15.6" x14ac:dyDescent="0.3">
      <c r="A31" s="4"/>
      <c r="B31" s="36" t="s">
        <v>48</v>
      </c>
      <c r="C31" s="32"/>
      <c r="D31" s="32"/>
      <c r="E31" s="32"/>
      <c r="F31" s="32"/>
      <c r="G31" s="32"/>
      <c r="H31" s="32"/>
      <c r="I31" s="33"/>
      <c r="J31" s="37">
        <v>26035.47</v>
      </c>
      <c r="K31" s="32"/>
      <c r="L31" s="33"/>
    </row>
    <row r="32" spans="1:12" ht="15.6" x14ac:dyDescent="0.3">
      <c r="A32" s="4"/>
      <c r="B32" s="36" t="s">
        <v>49</v>
      </c>
      <c r="C32" s="32"/>
      <c r="D32" s="32"/>
      <c r="E32" s="32"/>
      <c r="F32" s="32"/>
      <c r="G32" s="32"/>
      <c r="H32" s="32"/>
      <c r="I32" s="33"/>
      <c r="J32" s="37">
        <v>30129.29</v>
      </c>
      <c r="K32" s="32"/>
      <c r="L32" s="33"/>
    </row>
    <row r="33" spans="1:12" ht="15.6" x14ac:dyDescent="0.3">
      <c r="A33" s="4"/>
      <c r="B33" s="36" t="s">
        <v>50</v>
      </c>
      <c r="C33" s="32"/>
      <c r="D33" s="32"/>
      <c r="E33" s="32"/>
      <c r="F33" s="32"/>
      <c r="G33" s="32"/>
      <c r="H33" s="32"/>
      <c r="I33" s="33"/>
      <c r="J33" s="37">
        <v>93254.57</v>
      </c>
      <c r="K33" s="32"/>
      <c r="L33" s="33"/>
    </row>
    <row r="34" spans="1:12" ht="15.6" x14ac:dyDescent="0.3">
      <c r="A34" s="4"/>
      <c r="B34" s="36" t="s">
        <v>51</v>
      </c>
      <c r="C34" s="32"/>
      <c r="D34" s="32"/>
      <c r="E34" s="32"/>
      <c r="F34" s="32"/>
      <c r="G34" s="32"/>
      <c r="H34" s="32"/>
      <c r="I34" s="33"/>
      <c r="J34" s="37">
        <v>-23485.360000000001</v>
      </c>
      <c r="K34" s="32"/>
      <c r="L34" s="33"/>
    </row>
    <row r="35" spans="1:12" ht="15.6" x14ac:dyDescent="0.3">
      <c r="A35" s="4"/>
      <c r="B35" s="36" t="s">
        <v>52</v>
      </c>
      <c r="C35" s="32"/>
      <c r="D35" s="32"/>
      <c r="E35" s="32"/>
      <c r="F35" s="32"/>
      <c r="G35" s="32"/>
      <c r="H35" s="32"/>
      <c r="I35" s="33"/>
      <c r="J35" s="37">
        <v>9137.93</v>
      </c>
      <c r="K35" s="32"/>
      <c r="L35" s="33"/>
    </row>
    <row r="36" spans="1:12" ht="15.6" x14ac:dyDescent="0.3">
      <c r="A36" s="4"/>
      <c r="B36" s="36" t="s">
        <v>25</v>
      </c>
      <c r="C36" s="32"/>
      <c r="D36" s="32"/>
      <c r="E36" s="32"/>
      <c r="F36" s="32"/>
      <c r="G36" s="32"/>
      <c r="H36" s="32"/>
      <c r="I36" s="33"/>
      <c r="J36" s="37">
        <v>59784.480000000003</v>
      </c>
      <c r="K36" s="32"/>
      <c r="L36" s="33"/>
    </row>
    <row r="37" spans="1:12" ht="15.6" x14ac:dyDescent="0.3">
      <c r="A37" s="4"/>
      <c r="B37" s="36" t="s">
        <v>53</v>
      </c>
      <c r="C37" s="32"/>
      <c r="D37" s="32"/>
      <c r="E37" s="32"/>
      <c r="F37" s="32"/>
      <c r="G37" s="32"/>
      <c r="H37" s="32"/>
      <c r="I37" s="33"/>
      <c r="J37" s="37">
        <v>1206.8900000000001</v>
      </c>
      <c r="K37" s="32"/>
      <c r="L37" s="33"/>
    </row>
    <row r="38" spans="1:12" ht="15.6" x14ac:dyDescent="0.3">
      <c r="A38" s="4"/>
      <c r="B38" s="36" t="s">
        <v>54</v>
      </c>
      <c r="C38" s="32"/>
      <c r="D38" s="32"/>
      <c r="E38" s="32"/>
      <c r="F38" s="32"/>
      <c r="G38" s="32"/>
      <c r="H38" s="32"/>
      <c r="I38" s="33"/>
      <c r="J38" s="37">
        <v>87157.13</v>
      </c>
      <c r="K38" s="32"/>
      <c r="L38" s="33"/>
    </row>
    <row r="39" spans="1:12" ht="15.6" x14ac:dyDescent="0.3">
      <c r="A39" s="4"/>
      <c r="B39" s="36" t="s">
        <v>55</v>
      </c>
      <c r="C39" s="32"/>
      <c r="D39" s="32"/>
      <c r="E39" s="32"/>
      <c r="F39" s="32"/>
      <c r="G39" s="32"/>
      <c r="H39" s="32"/>
      <c r="I39" s="33"/>
      <c r="J39" s="37">
        <v>28355.43</v>
      </c>
      <c r="K39" s="32"/>
      <c r="L39" s="33"/>
    </row>
    <row r="40" spans="1:12" ht="15.6" x14ac:dyDescent="0.3">
      <c r="A40" s="4"/>
      <c r="B40" s="36" t="s">
        <v>56</v>
      </c>
      <c r="C40" s="32"/>
      <c r="D40" s="32"/>
      <c r="E40" s="32"/>
      <c r="F40" s="32"/>
      <c r="G40" s="32"/>
      <c r="H40" s="32"/>
      <c r="I40" s="33"/>
      <c r="J40" s="37">
        <v>76208.89</v>
      </c>
      <c r="K40" s="32"/>
      <c r="L40" s="33"/>
    </row>
    <row r="41" spans="1:12" ht="15.6" x14ac:dyDescent="0.3">
      <c r="A41" s="4"/>
      <c r="B41" s="36" t="s">
        <v>57</v>
      </c>
      <c r="C41" s="32"/>
      <c r="D41" s="32"/>
      <c r="E41" s="32"/>
      <c r="F41" s="32"/>
      <c r="G41" s="32"/>
      <c r="H41" s="32"/>
      <c r="I41" s="33"/>
      <c r="J41" s="37">
        <v>36691.65</v>
      </c>
      <c r="K41" s="32"/>
      <c r="L41" s="33"/>
    </row>
    <row r="42" spans="1:12" ht="15.6" x14ac:dyDescent="0.3">
      <c r="A42" s="4"/>
      <c r="B42" s="36" t="s">
        <v>58</v>
      </c>
      <c r="C42" s="32"/>
      <c r="D42" s="32"/>
      <c r="E42" s="32"/>
      <c r="F42" s="32"/>
      <c r="G42" s="32"/>
      <c r="H42" s="32"/>
      <c r="I42" s="33"/>
      <c r="J42" s="37">
        <v>35002.83</v>
      </c>
      <c r="K42" s="32"/>
      <c r="L42" s="33"/>
    </row>
    <row r="43" spans="1:12" ht="15.6" x14ac:dyDescent="0.3">
      <c r="A43" s="4"/>
      <c r="B43" s="36" t="s">
        <v>59</v>
      </c>
      <c r="C43" s="32"/>
      <c r="D43" s="32"/>
      <c r="E43" s="32"/>
      <c r="F43" s="32"/>
      <c r="G43" s="32"/>
      <c r="H43" s="32"/>
      <c r="I43" s="33"/>
      <c r="J43" s="37">
        <v>25560.32</v>
      </c>
      <c r="K43" s="32"/>
      <c r="L43" s="33"/>
    </row>
    <row r="44" spans="1:12" ht="15.6" x14ac:dyDescent="0.3">
      <c r="A44" s="4"/>
      <c r="B44" s="36" t="s">
        <v>60</v>
      </c>
      <c r="C44" s="32"/>
      <c r="D44" s="32"/>
      <c r="E44" s="32"/>
      <c r="F44" s="32"/>
      <c r="G44" s="32"/>
      <c r="H44" s="32"/>
      <c r="I44" s="33"/>
      <c r="J44" s="37">
        <v>141338.04</v>
      </c>
      <c r="K44" s="32"/>
      <c r="L44" s="33"/>
    </row>
    <row r="45" spans="1:12" ht="30.6" customHeight="1" x14ac:dyDescent="0.3">
      <c r="A45" s="4"/>
      <c r="B45" s="31" t="s">
        <v>61</v>
      </c>
      <c r="C45" s="32"/>
      <c r="D45" s="32"/>
      <c r="E45" s="32"/>
      <c r="F45" s="32"/>
      <c r="G45" s="32"/>
      <c r="H45" s="32"/>
      <c r="I45" s="33"/>
      <c r="J45" s="34">
        <v>889263.02</v>
      </c>
      <c r="K45" s="32"/>
      <c r="L45" s="33"/>
    </row>
    <row r="46" spans="1:12" ht="30.6" customHeight="1" x14ac:dyDescent="0.3">
      <c r="A46" s="4"/>
      <c r="B46" s="31" t="s">
        <v>7</v>
      </c>
      <c r="C46" s="32"/>
      <c r="D46" s="32"/>
      <c r="E46" s="32"/>
      <c r="F46" s="32"/>
      <c r="G46" s="32"/>
      <c r="H46" s="32"/>
      <c r="I46" s="33"/>
      <c r="J46" s="35">
        <v>3</v>
      </c>
      <c r="K46" s="32"/>
      <c r="L46" s="33"/>
    </row>
    <row r="47" spans="1:12" ht="30.6" customHeight="1" x14ac:dyDescent="0.3">
      <c r="A47" s="4"/>
      <c r="B47" s="31" t="s">
        <v>62</v>
      </c>
      <c r="C47" s="32"/>
      <c r="D47" s="32"/>
      <c r="E47" s="32"/>
      <c r="F47" s="32"/>
      <c r="G47" s="32"/>
      <c r="H47" s="32"/>
      <c r="I47" s="33"/>
      <c r="J47" s="34">
        <v>1685400</v>
      </c>
      <c r="K47" s="32"/>
      <c r="L47" s="33"/>
    </row>
    <row r="48" spans="1:12" ht="34.200000000000003" customHeight="1" x14ac:dyDescent="0.3">
      <c r="A48" s="4"/>
      <c r="B48" s="31" t="s">
        <v>63</v>
      </c>
      <c r="C48" s="32"/>
      <c r="D48" s="32"/>
      <c r="E48" s="32"/>
      <c r="F48" s="32"/>
      <c r="G48" s="32"/>
      <c r="H48" s="32"/>
      <c r="I48" s="33"/>
      <c r="J48" s="34">
        <v>0</v>
      </c>
      <c r="K48" s="32"/>
      <c r="L48" s="33"/>
    </row>
    <row r="49" spans="1:12" ht="34.799999999999997" customHeight="1" x14ac:dyDescent="0.3">
      <c r="A49" s="4"/>
      <c r="B49" s="31" t="s">
        <v>64</v>
      </c>
      <c r="C49" s="32"/>
      <c r="D49" s="32"/>
      <c r="E49" s="32"/>
      <c r="F49" s="32"/>
      <c r="G49" s="32"/>
      <c r="H49" s="32"/>
      <c r="I49" s="33"/>
      <c r="J49" s="34">
        <v>0</v>
      </c>
      <c r="K49" s="32"/>
      <c r="L49" s="33"/>
    </row>
  </sheetData>
  <mergeCells count="75">
    <mergeCell ref="B18:I18"/>
    <mergeCell ref="J18:L18"/>
    <mergeCell ref="A1:H1"/>
    <mergeCell ref="B2:J2"/>
    <mergeCell ref="B4:B5"/>
    <mergeCell ref="I4:J5"/>
    <mergeCell ref="B7:C7"/>
    <mergeCell ref="G7:J8"/>
    <mergeCell ref="B9:E10"/>
    <mergeCell ref="H9:J11"/>
    <mergeCell ref="B13:C13"/>
    <mergeCell ref="G13:J13"/>
    <mergeCell ref="E15:J15"/>
    <mergeCell ref="B19:I19"/>
    <mergeCell ref="J19:L19"/>
    <mergeCell ref="B20:I20"/>
    <mergeCell ref="J20:L20"/>
    <mergeCell ref="B21:I21"/>
    <mergeCell ref="J21:L21"/>
    <mergeCell ref="B22:I22"/>
    <mergeCell ref="J22:L22"/>
    <mergeCell ref="B23:I23"/>
    <mergeCell ref="J23:L23"/>
    <mergeCell ref="B24:I24"/>
    <mergeCell ref="J24:L24"/>
    <mergeCell ref="B25:I25"/>
    <mergeCell ref="J25:L25"/>
    <mergeCell ref="B26:I26"/>
    <mergeCell ref="J26:L26"/>
    <mergeCell ref="B27:I27"/>
    <mergeCell ref="J27:L27"/>
    <mergeCell ref="B28:I28"/>
    <mergeCell ref="J28:L28"/>
    <mergeCell ref="B29:I29"/>
    <mergeCell ref="J29:L29"/>
    <mergeCell ref="B30:I30"/>
    <mergeCell ref="J30:L30"/>
    <mergeCell ref="B31:I31"/>
    <mergeCell ref="J31:L31"/>
    <mergeCell ref="B32:I32"/>
    <mergeCell ref="J32:L32"/>
    <mergeCell ref="B33:I33"/>
    <mergeCell ref="J33:L33"/>
    <mergeCell ref="B34:I34"/>
    <mergeCell ref="J34:L34"/>
    <mergeCell ref="B35:I35"/>
    <mergeCell ref="J35:L35"/>
    <mergeCell ref="B36:I36"/>
    <mergeCell ref="J36:L36"/>
    <mergeCell ref="B37:I37"/>
    <mergeCell ref="J37:L37"/>
    <mergeCell ref="B38:I38"/>
    <mergeCell ref="J38:L38"/>
    <mergeCell ref="B39:I39"/>
    <mergeCell ref="J39:L39"/>
    <mergeCell ref="B40:I40"/>
    <mergeCell ref="J40:L40"/>
    <mergeCell ref="B41:I41"/>
    <mergeCell ref="J41:L41"/>
    <mergeCell ref="B42:I42"/>
    <mergeCell ref="J42:L42"/>
    <mergeCell ref="B43:I43"/>
    <mergeCell ref="J43:L43"/>
    <mergeCell ref="B44:I44"/>
    <mergeCell ref="J44:L44"/>
    <mergeCell ref="B45:I45"/>
    <mergeCell ref="J45:L45"/>
    <mergeCell ref="B49:I49"/>
    <mergeCell ref="J49:L49"/>
    <mergeCell ref="B46:I46"/>
    <mergeCell ref="J46:L46"/>
    <mergeCell ref="B47:I47"/>
    <mergeCell ref="J47:L47"/>
    <mergeCell ref="B48:I48"/>
    <mergeCell ref="J48:L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Template</vt:lpstr>
      <vt:lpstr>Minimum Revenue per year</vt:lpstr>
      <vt:lpstr>Base Rent Escalation</vt:lpstr>
      <vt:lpstr>Sample Report-Revenue Share 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Joseph Kyengo</cp:lastModifiedBy>
  <cp:lastPrinted>2025-09-08T12:01:23Z</cp:lastPrinted>
  <dcterms:created xsi:type="dcterms:W3CDTF">2022-07-13T07:56:34Z</dcterms:created>
  <dcterms:modified xsi:type="dcterms:W3CDTF">2025-09-29T13:15:03Z</dcterms:modified>
</cp:coreProperties>
</file>