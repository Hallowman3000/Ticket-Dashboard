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ardaworldcorp-my.sharepoint.com/personal/benson_ilori_garda_com/Documents/Desktop/New folder/"/>
    </mc:Choice>
  </mc:AlternateContent>
  <xr:revisionPtr revIDLastSave="0" documentId="8_{9B4105B1-9489-4C11-ABD9-C3C87AFFD940}" xr6:coauthVersionLast="47" xr6:coauthVersionMax="47" xr10:uidLastSave="{00000000-0000-0000-0000-000000000000}"/>
  <bookViews>
    <workbookView xWindow="28680" yWindow="-120" windowWidth="29040" windowHeight="15720" xr2:uid="{D9BEC810-2193-43EE-A192-66FAB55297C8}"/>
  </bookViews>
  <sheets>
    <sheet name="Kemi" sheetId="1" r:id="rId1"/>
  </sheets>
  <definedNames>
    <definedName name="ALC_DRILL_1">"New Drill Def||1||1||Report"</definedName>
    <definedName name="ALCHEMEX_DRILL_SET">"ALC_DRILL_1"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W12" i="1"/>
  <c r="V12" i="1"/>
  <c r="T12" i="1"/>
  <c r="S12" i="1"/>
  <c r="M12" i="1"/>
  <c r="L12" i="1"/>
  <c r="K12" i="1"/>
  <c r="X11" i="1"/>
  <c r="W11" i="1"/>
  <c r="V11" i="1"/>
  <c r="T11" i="1"/>
  <c r="S11" i="1"/>
  <c r="M11" i="1"/>
  <c r="L11" i="1"/>
  <c r="K11" i="1"/>
  <c r="Y11" i="1" s="1"/>
  <c r="Z11" i="1" s="1"/>
  <c r="Y10" i="1"/>
  <c r="Z10" i="1" s="1"/>
  <c r="X10" i="1"/>
  <c r="W10" i="1"/>
  <c r="V10" i="1"/>
  <c r="T10" i="1"/>
  <c r="S10" i="1"/>
  <c r="M10" i="1"/>
  <c r="L10" i="1"/>
  <c r="K10" i="1"/>
  <c r="X5" i="1"/>
  <c r="Y5" i="1" s="1"/>
  <c r="W5" i="1"/>
  <c r="V5" i="1"/>
  <c r="T5" i="1"/>
  <c r="S5" i="1"/>
  <c r="M5" i="1"/>
  <c r="L5" i="1"/>
  <c r="K5" i="1"/>
  <c r="X4" i="1"/>
  <c r="W4" i="1"/>
  <c r="V4" i="1"/>
  <c r="T4" i="1"/>
  <c r="S4" i="1"/>
  <c r="M4" i="1"/>
  <c r="L4" i="1"/>
  <c r="K4" i="1"/>
  <c r="X3" i="1"/>
  <c r="W3" i="1"/>
  <c r="V3" i="1"/>
  <c r="Y3" i="1" s="1"/>
  <c r="T3" i="1"/>
  <c r="S3" i="1"/>
  <c r="M3" i="1"/>
  <c r="L3" i="1"/>
  <c r="K3" i="1"/>
  <c r="Z4" i="1" l="1"/>
  <c r="Y4" i="1"/>
  <c r="Z5" i="1"/>
  <c r="Z3" i="1"/>
  <c r="R12" i="1"/>
  <c r="O10" i="1"/>
  <c r="P10" i="1" s="1"/>
  <c r="R10" i="1" s="1"/>
  <c r="O5" i="1"/>
  <c r="P5" i="1" s="1"/>
  <c r="R5" i="1" s="1"/>
  <c r="O4" i="1"/>
  <c r="P4" i="1" s="1"/>
  <c r="R4" i="1" s="1"/>
  <c r="O3" i="1"/>
  <c r="P3" i="1" s="1"/>
  <c r="R3" i="1" s="1"/>
  <c r="O12" i="1"/>
  <c r="P12" i="1" s="1"/>
  <c r="O11" i="1"/>
  <c r="P11" i="1" s="1"/>
  <c r="R11" i="1" s="1"/>
  <c r="Y12" i="1"/>
  <c r="Z12" i="1" s="1"/>
</calcChain>
</file>

<file path=xl/sharedStrings.xml><?xml version="1.0" encoding="utf-8"?>
<sst xmlns="http://schemas.openxmlformats.org/spreadsheetml/2006/main" count="60" uniqueCount="31">
  <si>
    <t>OLD TAX CALCULATIONS</t>
  </si>
  <si>
    <t>Job Title</t>
  </si>
  <si>
    <t>Basic Salary</t>
  </si>
  <si>
    <t>Housing Allow</t>
  </si>
  <si>
    <t>Transport Allow</t>
  </si>
  <si>
    <t>Performance Bonus</t>
  </si>
  <si>
    <t>Other All.</t>
  </si>
  <si>
    <t>Arrear Earning</t>
  </si>
  <si>
    <t>Leave Paid</t>
  </si>
  <si>
    <t>Overtime</t>
  </si>
  <si>
    <t>Reimbursable All</t>
  </si>
  <si>
    <t>Gross</t>
  </si>
  <si>
    <t>Pension Fund</t>
  </si>
  <si>
    <t>NHF</t>
  </si>
  <si>
    <t>Rent</t>
  </si>
  <si>
    <t>Taxable Income</t>
  </si>
  <si>
    <t>Tax</t>
  </si>
  <si>
    <t>Other Deduction</t>
  </si>
  <si>
    <t>NET</t>
  </si>
  <si>
    <t>ECF</t>
  </si>
  <si>
    <t>LEAVE ALLOW</t>
  </si>
  <si>
    <t>MED</t>
  </si>
  <si>
    <t>GroupLife</t>
  </si>
  <si>
    <t>BONUS PROVISION</t>
  </si>
  <si>
    <t>EMPLOYER'S CONTR</t>
  </si>
  <si>
    <t>ITF</t>
  </si>
  <si>
    <t>COST TO COY</t>
  </si>
  <si>
    <t>GW/SG/21101308</t>
  </si>
  <si>
    <t>GW/SG/25023490</t>
  </si>
  <si>
    <t>GW/SG/25083679</t>
  </si>
  <si>
    <t>NEW TAX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</si>
</sst>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164" fontId="0" fillId="0" borderId="0" xfId="1" applyFont="1" applyFill="1"/>
    <xf numFmtId="0" fontId="4" fillId="0" borderId="1" xfId="2" applyFont="1" applyBorder="1"/>
    <xf numFmtId="164" fontId="4" fillId="0" borderId="1" xfId="3" applyFont="1" applyFill="1" applyBorder="1"/>
    <xf numFmtId="164" fontId="4" fillId="0" borderId="1" xfId="1" applyFont="1" applyFill="1" applyBorder="1"/>
    <xf numFmtId="0" fontId="5" fillId="0" borderId="1" xfId="2" applyFont="1" applyBorder="1"/>
    <xf numFmtId="164" fontId="5" fillId="0" borderId="1" xfId="1" applyFont="1" applyFill="1" applyBorder="1"/>
    <xf numFmtId="164" fontId="5" fillId="0" borderId="1" xfId="3" applyFont="1" applyFill="1" applyBorder="1"/>
    <xf numFmtId="164" fontId="5" fillId="0" borderId="1" xfId="2" applyNumberFormat="1" applyFont="1" applyBorder="1"/>
    <xf numFmtId="43" fontId="5" fillId="0" borderId="1" xfId="2" applyNumberFormat="1" applyFont="1" applyBorder="1"/>
    <xf numFmtId="43" fontId="0" fillId="0" borderId="0" xfId="0" applyNumberFormat="1"/>
    <xf numFmtId="0" fontId="2" fillId="3" borderId="0" xfId="0" applyFont="1" applyFill="1"/>
    <xf numFmtId="0" fontId="0" fillId="3" borderId="0" xfId="0" applyFill="1"/>
  </cellXfs>
  <cellStyles count="4">
    <cellStyle name="Comma" xfId="1" builtinId="3"/>
    <cellStyle name="Comma 11" xfId="3" xr:uid="{34E6EA83-27EC-4354-8179-EA22D8AE2164}"/>
    <cellStyle name="Normal" xfId="0" builtinId="0"/>
    <cellStyle name="Normal 2 2" xfId="2" xr:uid="{0CD1DE85-365A-4B18-8CAC-AD78858C4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49AD-F6AD-4F2A-8BBE-701D576ECCB8}">
  <dimension ref="A1:Z22"/>
  <sheetViews>
    <sheetView tabSelected="1" zoomScale="93" zoomScaleNormal="93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17" sqref="I17"/>
    </sheetView>
  </sheetViews>
  <sheetFormatPr defaultRowHeight="14.5" x14ac:dyDescent="0.35"/>
  <cols>
    <col min="1" max="1" width="14" bestFit="1" customWidth="1"/>
    <col min="2" max="2" width="12.7265625" bestFit="1" customWidth="1"/>
    <col min="3" max="3" width="12.453125" bestFit="1" customWidth="1"/>
    <col min="4" max="4" width="13.453125" bestFit="1" customWidth="1"/>
    <col min="5" max="5" width="17.1796875" bestFit="1" customWidth="1"/>
    <col min="6" max="6" width="11.1796875" bestFit="1" customWidth="1"/>
    <col min="7" max="7" width="12.453125" bestFit="1" customWidth="1"/>
    <col min="8" max="8" width="9.7265625" bestFit="1" customWidth="1"/>
    <col min="9" max="9" width="10" bestFit="1" customWidth="1"/>
    <col min="10" max="10" width="16" bestFit="1" customWidth="1"/>
    <col min="11" max="11" width="15.453125" bestFit="1" customWidth="1"/>
    <col min="12" max="12" width="13.1796875" bestFit="1" customWidth="1"/>
    <col min="13" max="13" width="11.6328125" bestFit="1" customWidth="1"/>
    <col min="14" max="14" width="11.6328125" customWidth="1"/>
    <col min="15" max="15" width="15.1796875" bestFit="1" customWidth="1"/>
    <col min="16" max="16" width="13.54296875" bestFit="1" customWidth="1"/>
    <col min="17" max="17" width="14.26953125" bestFit="1" customWidth="1"/>
    <col min="18" max="18" width="15.1796875" bestFit="1" customWidth="1"/>
    <col min="19" max="19" width="9.26953125" bestFit="1" customWidth="1"/>
    <col min="20" max="20" width="12.7265625" bestFit="1" customWidth="1"/>
    <col min="21" max="21" width="9.26953125" style="2" bestFit="1" customWidth="1"/>
    <col min="22" max="22" width="10.453125" style="2" bestFit="1" customWidth="1"/>
    <col min="23" max="23" width="18" style="2" bestFit="1" customWidth="1"/>
    <col min="24" max="24" width="19" style="2" bestFit="1" customWidth="1"/>
    <col min="25" max="25" width="9.26953125" style="2" bestFit="1" customWidth="1"/>
    <col min="26" max="26" width="13.1796875" style="2" bestFit="1" customWidth="1"/>
  </cols>
  <sheetData>
    <row r="1" spans="1:26" ht="23.5" x14ac:dyDescent="0.55000000000000004">
      <c r="G1" s="1" t="s">
        <v>0</v>
      </c>
      <c r="H1" s="1"/>
      <c r="I1" s="1"/>
      <c r="J1" s="1"/>
    </row>
    <row r="2" spans="1:26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</row>
    <row r="3" spans="1:26" x14ac:dyDescent="0.35">
      <c r="A3" s="6" t="s">
        <v>27</v>
      </c>
      <c r="B3" s="7">
        <v>120000</v>
      </c>
      <c r="C3" s="7">
        <v>12500</v>
      </c>
      <c r="D3" s="7">
        <v>1666.67</v>
      </c>
      <c r="E3" s="7">
        <v>187829</v>
      </c>
      <c r="F3" s="8">
        <v>0</v>
      </c>
      <c r="G3" s="8">
        <v>0</v>
      </c>
      <c r="H3" s="8">
        <v>0</v>
      </c>
      <c r="I3" s="8">
        <v>0</v>
      </c>
      <c r="J3" s="8">
        <v>38000</v>
      </c>
      <c r="K3" s="9">
        <f>SUM(B3:J3)</f>
        <v>359995.67000000004</v>
      </c>
      <c r="L3" s="10">
        <f>SUM(B3:D3)*8%</f>
        <v>10733.333600000002</v>
      </c>
      <c r="M3" s="9">
        <f>B3*2.5%</f>
        <v>3000</v>
      </c>
      <c r="N3" s="9"/>
      <c r="O3" s="9">
        <f>((K3-J3)-((20%*(K3-J3))+(IF((1%*(K3-J3)&lt;200000/12),200000/12,1%*(K3-J3)))))</f>
        <v>240929.86933333336</v>
      </c>
      <c r="P3" s="10">
        <f>IF(O3&lt;=300000/12,O3*0.07,IF(O3&lt;=600000/12,(O3-300000/12)*0.11+21000/12,IF(O3&lt;=1100000/12,(O3-600000/12)*0.15+54000/12,IF(O3&lt;=1600000/12,(O3-1100000/12)*0.19+129000/12,IF(O3&lt;=3200000/12,(O3-1600000/12)*0.21+224000/12,IF(O3&gt;3200000/12,(O3-3200000/12)*0.24+560000/12))))))</f>
        <v>41261.939226666669</v>
      </c>
      <c r="Q3" s="8"/>
      <c r="R3" s="9">
        <f t="shared" ref="R3" si="0">SUM(K3:K3)-SUM(L3:M3,P3:Q3)</f>
        <v>305000.39717333339</v>
      </c>
      <c r="S3" s="9">
        <f t="shared" ref="S3" si="1">0.01*SUM(B3:D3)</f>
        <v>1341.6667000000002</v>
      </c>
      <c r="T3" s="9">
        <f t="shared" ref="T3" si="2">B3*12*10%/12</f>
        <v>12000</v>
      </c>
      <c r="U3" s="9">
        <v>1000</v>
      </c>
      <c r="V3" s="9">
        <f t="shared" ref="V3" si="3">SUM(B3:D3)*0.03</f>
        <v>4025.0001000000002</v>
      </c>
      <c r="W3" s="9">
        <f t="shared" ref="W3" si="4">(B3)/12</f>
        <v>10000</v>
      </c>
      <c r="X3" s="9">
        <f t="shared" ref="X3" si="5">SUM(B3:D3)*10%</f>
        <v>13416.667000000001</v>
      </c>
      <c r="Y3" s="9">
        <f t="shared" ref="Y3" si="6">(SUM(K3)+SUM(S3:X3))*0.01</f>
        <v>4017.7900380000005</v>
      </c>
      <c r="Z3" s="9">
        <f t="shared" ref="Z3" si="7">K3+SUM(S3:Y3)</f>
        <v>405796.79383800004</v>
      </c>
    </row>
    <row r="4" spans="1:26" x14ac:dyDescent="0.35">
      <c r="A4" s="6" t="s">
        <v>28</v>
      </c>
      <c r="B4" s="9">
        <v>60000</v>
      </c>
      <c r="C4" s="9">
        <v>7500</v>
      </c>
      <c r="D4" s="9">
        <v>1666.67</v>
      </c>
      <c r="E4" s="9">
        <v>93229.85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9">
        <f t="shared" ref="K4:K5" si="8">SUM(B4:J4)</f>
        <v>162396.52000000002</v>
      </c>
      <c r="L4" s="10">
        <f t="shared" ref="L4:L5" si="9">SUM(B4:D4)*8%</f>
        <v>5533.3335999999999</v>
      </c>
      <c r="M4" s="9">
        <f t="shared" ref="M4:M5" si="10">B4*2.5%</f>
        <v>1500</v>
      </c>
      <c r="N4" s="9"/>
      <c r="O4" s="9">
        <f>((K4-J4)-((20%*(K4-J4))+(IF((1%*(K4-J4)&lt;200000/12),200000/12,1%*(K4-J4)))))</f>
        <v>113250.54933333334</v>
      </c>
      <c r="P4" s="10">
        <f t="shared" ref="P4:P5" si="11">IF(O4&lt;=300000/12,O4*0.07,IF(O4&lt;=600000/12,(O4-300000/12)*0.11+21000/12,IF(O4&lt;=1100000/12,(O4-600000/12)*0.15+54000/12,IF(O4&lt;=1600000/12,(O4-1100000/12)*0.19+129000/12,IF(O4&lt;=3200000/12,(O4-1600000/12)*0.21+224000/12,IF(O4&gt;3200000/12,(O4-3200000/12)*0.24+560000/12))))))</f>
        <v>14850.937706666668</v>
      </c>
      <c r="Q4" s="8"/>
      <c r="R4" s="9">
        <f>SUM(K4:K4)-SUM(L4:M4,P4:Q4)</f>
        <v>140512.24869333336</v>
      </c>
      <c r="S4" s="9">
        <f>0.01*SUM(B4:D4)</f>
        <v>691.66669999999999</v>
      </c>
      <c r="T4" s="9">
        <f>B4*12*10%/12</f>
        <v>6000</v>
      </c>
      <c r="U4" s="9">
        <v>1000</v>
      </c>
      <c r="V4" s="9">
        <f>SUM(B4:D4)*0.03</f>
        <v>2075.0000999999997</v>
      </c>
      <c r="W4" s="9">
        <f>(B4)/12</f>
        <v>5000</v>
      </c>
      <c r="X4" s="9">
        <f>SUM(B4:D4)*10%</f>
        <v>6916.6670000000004</v>
      </c>
      <c r="Y4" s="9">
        <f>(SUM(K4)+SUM(S4:X4))*0.01</f>
        <v>1840.7985380000002</v>
      </c>
      <c r="Z4" s="9">
        <f>K4+SUM(S4:Y4)</f>
        <v>185920.65233800001</v>
      </c>
    </row>
    <row r="5" spans="1:26" x14ac:dyDescent="0.35">
      <c r="A5" s="6" t="s">
        <v>29</v>
      </c>
      <c r="B5" s="9">
        <v>14820.97</v>
      </c>
      <c r="C5" s="9">
        <v>3500</v>
      </c>
      <c r="D5" s="9">
        <v>1666.67</v>
      </c>
      <c r="E5" s="9">
        <v>20446.32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f t="shared" si="8"/>
        <v>40433.96</v>
      </c>
      <c r="L5" s="10">
        <f t="shared" si="9"/>
        <v>1599.0111999999999</v>
      </c>
      <c r="M5" s="9">
        <f t="shared" si="10"/>
        <v>370.52424999999999</v>
      </c>
      <c r="N5" s="9"/>
      <c r="O5" s="9">
        <f>((K5-J5)-((20%*(K5-J5))+(IF((1%*(K5-J5)&lt;200000/12),200000/12,1%*(K5-J5)))))</f>
        <v>15680.50133333333</v>
      </c>
      <c r="P5" s="10">
        <f t="shared" si="11"/>
        <v>1097.6350933333331</v>
      </c>
      <c r="Q5" s="8"/>
      <c r="R5" s="9">
        <f>SUM(K5:K5)-SUM(L5:M5,P5:Q5)</f>
        <v>37366.789456666666</v>
      </c>
      <c r="S5" s="9">
        <f>0.01*SUM(B5:D5)</f>
        <v>199.87639999999999</v>
      </c>
      <c r="T5" s="9">
        <f>B5*12*10%/12</f>
        <v>1482.097</v>
      </c>
      <c r="U5" s="9">
        <v>1000</v>
      </c>
      <c r="V5" s="9">
        <f>SUM(B5:D5)*0.03</f>
        <v>599.62919999999997</v>
      </c>
      <c r="W5" s="9">
        <f>(B5)/12</f>
        <v>1235.0808333333332</v>
      </c>
      <c r="X5" s="9">
        <f>SUM(B5:D5)*10%</f>
        <v>1998.7640000000001</v>
      </c>
      <c r="Y5" s="9">
        <f>(SUM(K5)+SUM(S5:X5))*0.01</f>
        <v>469.49407433333334</v>
      </c>
      <c r="Z5" s="9">
        <f>K5+SUM(S5:Y5)</f>
        <v>47418.901507666669</v>
      </c>
    </row>
    <row r="7" spans="1:26" x14ac:dyDescent="0.35">
      <c r="K7" s="11"/>
      <c r="O7" s="11"/>
    </row>
    <row r="8" spans="1:26" ht="23.5" x14ac:dyDescent="0.55000000000000004">
      <c r="G8" s="12" t="s">
        <v>30</v>
      </c>
      <c r="H8" s="13"/>
      <c r="I8" s="13"/>
      <c r="J8" s="13"/>
    </row>
    <row r="9" spans="1:26" x14ac:dyDescent="0.35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4" t="s">
        <v>12</v>
      </c>
      <c r="M9" s="3" t="s">
        <v>13</v>
      </c>
      <c r="N9" s="3" t="s">
        <v>14</v>
      </c>
      <c r="O9" s="3" t="s">
        <v>15</v>
      </c>
      <c r="P9" s="3" t="s">
        <v>16</v>
      </c>
      <c r="Q9" s="3" t="s">
        <v>17</v>
      </c>
      <c r="R9" s="3" t="s">
        <v>18</v>
      </c>
      <c r="S9" s="3" t="s">
        <v>19</v>
      </c>
      <c r="T9" s="3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5" t="s">
        <v>26</v>
      </c>
    </row>
    <row r="10" spans="1:26" x14ac:dyDescent="0.35">
      <c r="A10" s="6" t="s">
        <v>27</v>
      </c>
      <c r="B10" s="7">
        <v>120000</v>
      </c>
      <c r="C10" s="7">
        <v>12500</v>
      </c>
      <c r="D10" s="7">
        <v>1666.67</v>
      </c>
      <c r="E10" s="7">
        <v>187829</v>
      </c>
      <c r="F10" s="8">
        <v>0</v>
      </c>
      <c r="G10" s="8">
        <v>0</v>
      </c>
      <c r="H10" s="8">
        <v>0</v>
      </c>
      <c r="I10" s="8">
        <v>0</v>
      </c>
      <c r="J10" s="8">
        <v>38000</v>
      </c>
      <c r="K10" s="9">
        <f>SUM(B10:J10)</f>
        <v>359995.67000000004</v>
      </c>
      <c r="L10" s="10">
        <f>SUM(B10:D10)*8%</f>
        <v>10733.333600000002</v>
      </c>
      <c r="M10" s="9">
        <f>B10*2.5%</f>
        <v>3000</v>
      </c>
      <c r="N10" s="9"/>
      <c r="O10" s="9">
        <f>(((K10-N10-L10-M10)*12))/12</f>
        <v>346262.33640000003</v>
      </c>
      <c r="P10" s="10">
        <f t="shared" ref="P10:P12" si="12">IF(O10&lt;=800000/12,O10*0%,IF(O10&lt;=3000000/12,(O10-800000/12)*15%+0,IF(O10&lt;=12000000/12,(O10-3000000/12)*18%+330000/12,IF(O10&lt;=25000000/12,(O10-12000000/12)*21%+1950000/12,IF(O10&lt;=50000000/12,(O10-25000000/12)*23%+4680000/12,IF(O10&gt;50000000/12,(O10-50000000/12)*25%+10430000/12))))))</f>
        <v>44827.220552000006</v>
      </c>
      <c r="Q10" s="8"/>
      <c r="R10" s="9">
        <f>SUM(K10:K10)-SUM(L10:M10,P10:Q10)</f>
        <v>301435.11584800004</v>
      </c>
      <c r="S10" s="9">
        <f>0.01*SUM(B10:D10)</f>
        <v>1341.6667000000002</v>
      </c>
      <c r="T10" s="9">
        <f>B10*12*10%/12</f>
        <v>12000</v>
      </c>
      <c r="U10" s="9">
        <v>1000</v>
      </c>
      <c r="V10" s="9">
        <f>SUM(B10:D10)*0.03</f>
        <v>4025.0001000000002</v>
      </c>
      <c r="W10" s="9">
        <f>(B10)/12</f>
        <v>10000</v>
      </c>
      <c r="X10" s="9">
        <f>SUM(B10:D10)*10%</f>
        <v>13416.667000000001</v>
      </c>
      <c r="Y10" s="9">
        <f>(SUM(K10)+SUM(S10:X10))*0.01</f>
        <v>4017.7900380000005</v>
      </c>
      <c r="Z10" s="9">
        <f>K10+SUM(S10:Y10)</f>
        <v>405796.79383800004</v>
      </c>
    </row>
    <row r="11" spans="1:26" x14ac:dyDescent="0.35">
      <c r="A11" s="6" t="s">
        <v>28</v>
      </c>
      <c r="B11" s="9">
        <v>60000</v>
      </c>
      <c r="C11" s="9">
        <v>7500</v>
      </c>
      <c r="D11" s="9">
        <v>1666.67</v>
      </c>
      <c r="E11" s="9">
        <v>93229.85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f t="shared" ref="K11:K12" si="13">SUM(B11:J11)</f>
        <v>162396.52000000002</v>
      </c>
      <c r="L11" s="10">
        <f t="shared" ref="L11:L12" si="14">SUM(B11:D11)*8%</f>
        <v>5533.3335999999999</v>
      </c>
      <c r="M11" s="9">
        <f t="shared" ref="M11:M12" si="15">B11*2.5%</f>
        <v>1500</v>
      </c>
      <c r="N11" s="9"/>
      <c r="O11" s="9">
        <f t="shared" ref="O11:O12" si="16">(((K11-N11-L11-M11)*12))/12</f>
        <v>155363.18640000001</v>
      </c>
      <c r="P11" s="10">
        <f t="shared" si="12"/>
        <v>13304.47796</v>
      </c>
      <c r="Q11" s="8"/>
      <c r="R11" s="9">
        <f>SUM(K11:K11)-SUM(L11:M11,P11:Q11)</f>
        <v>142058.70844000002</v>
      </c>
      <c r="S11" s="9">
        <f>0.01*SUM(B11:D11)</f>
        <v>691.66669999999999</v>
      </c>
      <c r="T11" s="9">
        <f>B11*12*10%/12</f>
        <v>6000</v>
      </c>
      <c r="U11" s="9">
        <v>1000</v>
      </c>
      <c r="V11" s="9">
        <f>SUM(B11:D11)*0.03</f>
        <v>2075.0000999999997</v>
      </c>
      <c r="W11" s="9">
        <f>(B11)/12</f>
        <v>5000</v>
      </c>
      <c r="X11" s="9">
        <f>SUM(B11:D11)*10%</f>
        <v>6916.6670000000004</v>
      </c>
      <c r="Y11" s="9">
        <f>(SUM(K11)+SUM(S11:X11))*0.01</f>
        <v>1840.7985380000002</v>
      </c>
      <c r="Z11" s="9">
        <f>K11+SUM(S11:Y11)</f>
        <v>185920.65233800001</v>
      </c>
    </row>
    <row r="12" spans="1:26" x14ac:dyDescent="0.35">
      <c r="A12" s="6" t="s">
        <v>29</v>
      </c>
      <c r="B12" s="9">
        <v>14820.97</v>
      </c>
      <c r="C12" s="9">
        <v>3500</v>
      </c>
      <c r="D12" s="9">
        <v>1666.67</v>
      </c>
      <c r="E12" s="9">
        <v>20446.32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9">
        <f t="shared" si="13"/>
        <v>40433.96</v>
      </c>
      <c r="L12" s="10">
        <f t="shared" si="14"/>
        <v>1599.0111999999999</v>
      </c>
      <c r="M12" s="9">
        <f t="shared" si="15"/>
        <v>370.52424999999999</v>
      </c>
      <c r="N12" s="9"/>
      <c r="O12" s="9">
        <f t="shared" si="16"/>
        <v>38464.424549999996</v>
      </c>
      <c r="P12" s="10">
        <f t="shared" si="12"/>
        <v>0</v>
      </c>
      <c r="Q12" s="8"/>
      <c r="R12" s="9">
        <f>SUM(K12:K12)-SUM(L12:M12,P12:Q12)</f>
        <v>38464.424549999996</v>
      </c>
      <c r="S12" s="9">
        <f>0.01*SUM(B12:D12)</f>
        <v>199.87639999999999</v>
      </c>
      <c r="T12" s="9">
        <f>B12*12*10%/12</f>
        <v>1482.097</v>
      </c>
      <c r="U12" s="9">
        <v>1000</v>
      </c>
      <c r="V12" s="9">
        <f>SUM(B12:D12)*0.03</f>
        <v>599.62919999999997</v>
      </c>
      <c r="W12" s="9">
        <f>(B12)/12</f>
        <v>1235.0808333333332</v>
      </c>
      <c r="X12" s="9">
        <f>SUM(B12:D12)*10%</f>
        <v>1998.7640000000001</v>
      </c>
      <c r="Y12" s="9">
        <f>(SUM(K12)+SUM(S12:X12))*0.01</f>
        <v>469.49407433333334</v>
      </c>
      <c r="Z12" s="9">
        <f>K12+SUM(S12:Y12)</f>
        <v>47418.901507666669</v>
      </c>
    </row>
    <row r="14" spans="1:26" x14ac:dyDescent="0.35">
      <c r="K14" s="11"/>
    </row>
    <row r="15" spans="1:26" x14ac:dyDescent="0.35">
      <c r="K15" s="11"/>
    </row>
    <row r="16" spans="1:26" x14ac:dyDescent="0.35">
      <c r="K16" s="11"/>
    </row>
    <row r="20" spans="11:11" x14ac:dyDescent="0.35">
      <c r="K20" s="11"/>
    </row>
    <row r="21" spans="11:11" x14ac:dyDescent="0.35">
      <c r="K21" s="11"/>
    </row>
    <row r="22" spans="11:11" x14ac:dyDescent="0.35">
      <c r="K22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Ilori, Benson</dc:creator>
  <cp:lastModifiedBy>Ilori, Benson</cp:lastModifiedBy>
  <dcterms:created xsi:type="dcterms:W3CDTF">2026-01-19T14:56:10Z</dcterms:created>
  <dcterms:modified xsi:type="dcterms:W3CDTF">2026-01-19T15:14:07Z</dcterms:modified>
</cp:coreProperties>
</file>