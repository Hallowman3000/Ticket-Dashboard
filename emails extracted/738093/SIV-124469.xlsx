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PLOYEE LIST CLOCKING\"/>
    </mc:Choice>
  </mc:AlternateContent>
  <xr:revisionPtr revIDLastSave="0" documentId="13_ncr:1_{E4646A47-C9BF-4864-A931-A28904800E6B}" xr6:coauthVersionLast="47" xr6:coauthVersionMax="47" xr10:uidLastSave="{00000000-0000-0000-0000-000000000000}"/>
  <bookViews>
    <workbookView xWindow="-108" yWindow="-108" windowWidth="19416" windowHeight="10296" activeTab="1" xr2:uid="{00000000-000D-0000-FFFF-FFFF00000000}"/>
  </bookViews>
  <sheets>
    <sheet name="General Ledger Entries" sheetId="1" r:id="rId1"/>
    <sheet name="Item ledger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2" l="1"/>
  <c r="V3" i="2"/>
  <c r="AB2" i="2"/>
  <c r="V2" i="2"/>
  <c r="AD5" i="1"/>
  <c r="Q5" i="1"/>
  <c r="AD4" i="1"/>
  <c r="Q4" i="1"/>
  <c r="AD3" i="1"/>
  <c r="Q3" i="1"/>
  <c r="AD2" i="1"/>
  <c r="Q2" i="1"/>
</calcChain>
</file>

<file path=xl/sharedStrings.xml><?xml version="1.0" encoding="utf-8"?>
<sst xmlns="http://schemas.openxmlformats.org/spreadsheetml/2006/main" count="231" uniqueCount="81">
  <si>
    <t>Posting Date</t>
  </si>
  <si>
    <t>Amount</t>
  </si>
  <si>
    <t>VAT Amount</t>
  </si>
  <si>
    <t>Document No.</t>
  </si>
  <si>
    <t>Document Type</t>
  </si>
  <si>
    <t>G/L Account Name</t>
  </si>
  <si>
    <t>G/L Account No.</t>
  </si>
  <si>
    <t>Description</t>
  </si>
  <si>
    <t>Dept Code</t>
  </si>
  <si>
    <t>Crop Code</t>
  </si>
  <si>
    <t>Source No.</t>
  </si>
  <si>
    <t>Source Name</t>
  </si>
  <si>
    <t>Source Code</t>
  </si>
  <si>
    <t>Quantity</t>
  </si>
  <si>
    <t>Invoice Number</t>
  </si>
  <si>
    <t>IC Partner Code</t>
  </si>
  <si>
    <t>Purchase Receipt</t>
  </si>
  <si>
    <t>Reason Code</t>
  </si>
  <si>
    <t>Department Name</t>
  </si>
  <si>
    <t>Gen. Posting Type</t>
  </si>
  <si>
    <t>Gen. Bus. Posting Group</t>
  </si>
  <si>
    <t>Gen. Prod. Posting Group</t>
  </si>
  <si>
    <t>Bal. Account Type</t>
  </si>
  <si>
    <t>Bal. Account No.</t>
  </si>
  <si>
    <t>Bal. Acc. Name</t>
  </si>
  <si>
    <t>Entry No.</t>
  </si>
  <si>
    <t>External Document No.</t>
  </si>
  <si>
    <t>Field Code</t>
  </si>
  <si>
    <t>Fa Code</t>
  </si>
  <si>
    <t>Reversed</t>
  </si>
  <si>
    <t>User ID</t>
  </si>
  <si>
    <t>Business units Code</t>
  </si>
  <si>
    <t>Crop Division</t>
  </si>
  <si>
    <t>Variety Code</t>
  </si>
  <si>
    <t>Filter Station code</t>
  </si>
  <si>
    <t>SIV-124469</t>
  </si>
  <si>
    <t xml:space="preserve"> </t>
  </si>
  <si>
    <t>SG&amp;A IT exp</t>
  </si>
  <si>
    <t>70000275</t>
  </si>
  <si>
    <t>Direct Cost  on 23/01/26</t>
  </si>
  <si>
    <t>12</t>
  </si>
  <si>
    <t/>
  </si>
  <si>
    <t>INVTPCOST</t>
  </si>
  <si>
    <t>221</t>
  </si>
  <si>
    <t>Information Technology</t>
  </si>
  <si>
    <t>G/L Account</t>
  </si>
  <si>
    <t>WGATHONI</t>
  </si>
  <si>
    <t xml:space="preserve"> Production electrical materials</t>
  </si>
  <si>
    <t>70000151</t>
  </si>
  <si>
    <t>Electrical stocks</t>
  </si>
  <si>
    <t>13001040</t>
  </si>
  <si>
    <t>Entry Type</t>
  </si>
  <si>
    <t>Order No.</t>
  </si>
  <si>
    <t>Unit of Measure Code</t>
  </si>
  <si>
    <t>Item No.</t>
  </si>
  <si>
    <t>Purchase Invoice No.</t>
  </si>
  <si>
    <t>Item Description</t>
  </si>
  <si>
    <t>Purchase Order No.</t>
  </si>
  <si>
    <t>Inventory Posting Group</t>
  </si>
  <si>
    <t>Inventory Account</t>
  </si>
  <si>
    <t>Inventory Account Name</t>
  </si>
  <si>
    <t>Location Code</t>
  </si>
  <si>
    <t>Actual Value</t>
  </si>
  <si>
    <t>Invoiced Quantity</t>
  </si>
  <si>
    <t>Exists_With_Equal_Amount</t>
  </si>
  <si>
    <t>Expected Cost</t>
  </si>
  <si>
    <t>Remaining Quantity</t>
  </si>
  <si>
    <t>Sales Amount (Actual)</t>
  </si>
  <si>
    <t>Cost Amount (Actual)</t>
  </si>
  <si>
    <t>Cost Amount (Non-Invtbl.)</t>
  </si>
  <si>
    <t>Open</t>
  </si>
  <si>
    <t>Order Type</t>
  </si>
  <si>
    <t>Negative Adjmt.</t>
  </si>
  <si>
    <t>PCS</t>
  </si>
  <si>
    <t>ST0000047070</t>
  </si>
  <si>
    <t>USB-C TO USB 3.0 HUB+GIGABIT ETHERNET</t>
  </si>
  <si>
    <t>ELE-BS</t>
  </si>
  <si>
    <t>FARM</t>
  </si>
  <si>
    <t>ST0000046567</t>
  </si>
  <si>
    <t>LOGITECH WIRELESS KEYBOARD MOUSE COMBO</t>
  </si>
  <si>
    <t>COM-BS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</si>
</sst>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" fontId="0" fillId="0" borderId="0" xfId="0" applyNumberFormat="1"/>
    <xf numFmtId="49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5" totalsRowShown="0">
  <autoFilter ref="A1:AI5" xr:uid="{00000000-0009-0000-0100-000001000000}"/>
  <tableColumns count="35">
    <tableColumn id="1" xr3:uid="{00000000-0010-0000-0000-000001000000}" name="Posting Date"/>
    <tableColumn id="2" xr3:uid="{00000000-0010-0000-0000-000002000000}" name="Amount"/>
    <tableColumn id="3" xr3:uid="{00000000-0010-0000-0000-000003000000}" name="VAT Amount"/>
    <tableColumn id="4" xr3:uid="{00000000-0010-0000-0000-000004000000}" name="Document No."/>
    <tableColumn id="5" xr3:uid="{00000000-0010-0000-0000-000005000000}" name="Document Type"/>
    <tableColumn id="6" xr3:uid="{00000000-0010-0000-0000-000006000000}" name="G/L Account Name"/>
    <tableColumn id="7" xr3:uid="{00000000-0010-0000-0000-000007000000}" name="G/L Account No."/>
    <tableColumn id="8" xr3:uid="{00000000-0010-0000-0000-000008000000}" name="Description"/>
    <tableColumn id="9" xr3:uid="{00000000-0010-0000-0000-000009000000}" name="Dept Code"/>
    <tableColumn id="10" xr3:uid="{00000000-0010-0000-0000-00000A000000}" name="Crop Code"/>
    <tableColumn id="11" xr3:uid="{00000000-0010-0000-0000-00000B000000}" name="Source No."/>
    <tableColumn id="12" xr3:uid="{00000000-0010-0000-0000-00000C000000}" name="Source Name"/>
    <tableColumn id="13" xr3:uid="{00000000-0010-0000-0000-00000D000000}" name="Source Code"/>
    <tableColumn id="14" xr3:uid="{00000000-0010-0000-0000-00000E000000}" name="Quantity"/>
    <tableColumn id="15" xr3:uid="{00000000-0010-0000-0000-00000F000000}" name="Invoice Number"/>
    <tableColumn id="16" xr3:uid="{00000000-0010-0000-0000-000010000000}" name="IC Partner Code"/>
    <tableColumn id="17" xr3:uid="{00000000-0010-0000-0000-000011000000}" name="Purchase Receipt"/>
    <tableColumn id="18" xr3:uid="{00000000-0010-0000-0000-000012000000}" name="Reason Code"/>
    <tableColumn id="19" xr3:uid="{00000000-0010-0000-0000-000013000000}" name="Department Name"/>
    <tableColumn id="20" xr3:uid="{00000000-0010-0000-0000-000014000000}" name="Gen. Posting Type"/>
    <tableColumn id="21" xr3:uid="{00000000-0010-0000-0000-000015000000}" name="Gen. Bus. Posting Group"/>
    <tableColumn id="22" xr3:uid="{00000000-0010-0000-0000-000016000000}" name="Gen. Prod. Posting Group"/>
    <tableColumn id="23" xr3:uid="{00000000-0010-0000-0000-000017000000}" name="Bal. Account Type"/>
    <tableColumn id="24" xr3:uid="{00000000-0010-0000-0000-000018000000}" name="Bal. Account No."/>
    <tableColumn id="25" xr3:uid="{00000000-0010-0000-0000-000019000000}" name="Bal. Acc. Name"/>
    <tableColumn id="26" xr3:uid="{00000000-0010-0000-0000-00001A000000}" name="Entry No."/>
    <tableColumn id="27" xr3:uid="{00000000-0010-0000-0000-00001B000000}" name="External Document No."/>
    <tableColumn id="28" xr3:uid="{00000000-0010-0000-0000-00001C000000}" name="Field Code"/>
    <tableColumn id="29" xr3:uid="{00000000-0010-0000-0000-00001D000000}" name="Fa Code"/>
    <tableColumn id="30" xr3:uid="{00000000-0010-0000-0000-00001E000000}" name="Reversed"/>
    <tableColumn id="31" xr3:uid="{00000000-0010-0000-0000-00001F000000}" name="User ID"/>
    <tableColumn id="32" xr3:uid="{00000000-0010-0000-0000-000020000000}" name="Business units Code"/>
    <tableColumn id="33" xr3:uid="{00000000-0010-0000-0000-000021000000}" name="Crop Division"/>
    <tableColumn id="34" xr3:uid="{00000000-0010-0000-0000-000022000000}" name="Variety Code"/>
    <tableColumn id="35" xr3:uid="{00000000-0010-0000-0000-000023000000}" name="Filter Station 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582D2D-FEF9-4C29-ADE8-8156CFCB98EA}" name="Table13" displayName="Table13" ref="A1:AJ3" totalsRowShown="0">
  <autoFilter ref="A1:AJ3" xr:uid="{83582D2D-FEF9-4C29-ADE8-8156CFCB98EA}"/>
  <tableColumns count="36">
    <tableColumn id="1" xr3:uid="{3A905A00-7ADE-4B6F-8AA7-6EBE7CBA38C2}" name="Posting Date"/>
    <tableColumn id="2" xr3:uid="{7549D4EB-5D68-4760-BEA7-568BB0FFD2E5}" name="Entry Type"/>
    <tableColumn id="3" xr3:uid="{B23CC638-1DE9-4AB8-B045-1A9ABBCEBF7C}" name="Document Type"/>
    <tableColumn id="4" xr3:uid="{C6A88B07-B4E6-473B-9F80-1E992D82A196}" name="Order No."/>
    <tableColumn id="5" xr3:uid="{D0EC0306-86BE-4AAA-8AFC-7F92C6FBE7B0}" name="Unit of Measure Code"/>
    <tableColumn id="6" xr3:uid="{7BCA0856-D9BE-423A-A380-32241C5D15BA}" name="Document No."/>
    <tableColumn id="7" xr3:uid="{43B4685F-2DA5-4D04-A11A-A66D9FCBC085}" name="Item No."/>
    <tableColumn id="8" xr3:uid="{A9D18FA0-A7A7-446B-A87F-81E9AEB6EC52}" name="Purchase Invoice No."/>
    <tableColumn id="9" xr3:uid="{912BB2EB-7BA4-4E46-B997-529B21F9F350}" name="Description"/>
    <tableColumn id="10" xr3:uid="{764A9140-957C-4A13-9BA4-4560BD9B6215}" name="Item Description"/>
    <tableColumn id="11" xr3:uid="{3A6CDC23-CA51-4AAB-8A66-B055622DEBC6}" name="Purchase Order No."/>
    <tableColumn id="12" xr3:uid="{6E76F21F-7157-4969-A9E5-256B2FE92BEA}" name="Inventory Posting Group"/>
    <tableColumn id="13" xr3:uid="{F584C599-82FA-47F4-BD0C-62A8439EC747}" name="Inventory Account"/>
    <tableColumn id="14" xr3:uid="{1619D945-BFF1-4923-8785-AD0BFEAA78A8}" name="Inventory Account Name"/>
    <tableColumn id="15" xr3:uid="{23021D41-0B06-4CAE-9BEA-FD0D2C4EC293}" name="Dept Code"/>
    <tableColumn id="16" xr3:uid="{307F103D-CB8D-4328-A1BA-6E1FCE092ADF}" name="Department Name"/>
    <tableColumn id="17" xr3:uid="{E0AC28A3-796E-4364-9786-652078B313D6}" name="Crop Code"/>
    <tableColumn id="18" xr3:uid="{24731587-6515-459F-BB79-628129003951}" name="Location Code"/>
    <tableColumn id="19" xr3:uid="{EFB9921E-4745-4BA4-B708-AD564A88AD7A}" name="Quantity"/>
    <tableColumn id="20" xr3:uid="{B76EAD3A-34C7-4715-A7B2-774CEA5AA872}" name="Actual Value"/>
    <tableColumn id="21" xr3:uid="{5F65E799-998E-4DB4-AADC-EA4CB24E0B5A}" name="Invoiced Quantity"/>
    <tableColumn id="22" xr3:uid="{2FC40121-51FA-403E-AD7D-9A089DA615C4}" name="Exists_With_Equal_Amount">
      <calculatedColumnFormula>TRUE()</calculatedColumnFormula>
    </tableColumn>
    <tableColumn id="23" xr3:uid="{6A4A24C6-86FE-4730-B67D-B21AD52D9096}" name="Expected Cost"/>
    <tableColumn id="24" xr3:uid="{75657BC3-2AAA-4781-A451-648820E98D66}" name="Remaining Quantity"/>
    <tableColumn id="25" xr3:uid="{68EFA652-F41E-42B1-9AE9-70FF6755C102}" name="Sales Amount (Actual)"/>
    <tableColumn id="26" xr3:uid="{94558510-7F61-450E-892D-5D91751B9E45}" name="Cost Amount (Actual)"/>
    <tableColumn id="27" xr3:uid="{AE13BDB8-675D-4316-AE2D-2C23A9AA7758}" name="Cost Amount (Non-Invtbl.)"/>
    <tableColumn id="28" xr3:uid="{B4368B3F-5C44-467E-8B55-7A4F97280C92}" name="Open">
      <calculatedColumnFormula>FALSE()</calculatedColumnFormula>
    </tableColumn>
    <tableColumn id="29" xr3:uid="{23C4EEFF-44C4-46FA-9D48-F41985F435AD}" name="Order Type"/>
    <tableColumn id="30" xr3:uid="{CD9F6F86-4B3C-4C3A-9732-DC8CC5B8EDBF}" name="Entry No."/>
    <tableColumn id="31" xr3:uid="{A1537625-F843-4D9B-AD48-2F93C0869A99}" name="Field Code"/>
    <tableColumn id="32" xr3:uid="{09E8E87C-F250-45A1-B178-EDD20BC09560}" name="Fa Code"/>
    <tableColumn id="33" xr3:uid="{81DB9013-E849-43AB-8DB7-BF919947EEF7}" name="Business units Code"/>
    <tableColumn id="34" xr3:uid="{4256725E-1113-4416-9E9D-02E5D75C54F7}" name="Crop Division"/>
    <tableColumn id="35" xr3:uid="{7D0BB87A-6397-47AF-B7F3-4DA03C101D82}" name="Variety Code"/>
    <tableColumn id="36" xr3:uid="{03877DE9-615D-4C08-A241-4A57E73D1898}" name="Filter Station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34.21875" bestFit="1" customWidth="1"/>
    <col min="2" max="2" width="35.21875" bestFit="1" customWidth="1"/>
    <col min="3" max="3" width="14.109375" bestFit="1" customWidth="1"/>
    <col min="4" max="4" width="32.21875" bestFit="1" customWidth="1"/>
    <col min="5" max="5" width="17.21875" bestFit="1" customWidth="1"/>
    <col min="6" max="6" width="55.21875" bestFit="1" customWidth="1"/>
    <col min="7" max="7" width="25.21875" bestFit="1" customWidth="1"/>
    <col min="8" max="8" width="66.21875" bestFit="1" customWidth="1"/>
    <col min="9" max="9" width="12.5546875" bestFit="1" customWidth="1"/>
    <col min="10" max="10" width="12.44140625" bestFit="1" customWidth="1"/>
    <col min="11" max="11" width="12.6640625" bestFit="1" customWidth="1"/>
    <col min="12" max="12" width="15" bestFit="1" customWidth="1"/>
    <col min="13" max="13" width="14.21875" bestFit="1" customWidth="1"/>
    <col min="14" max="14" width="11" bestFit="1" customWidth="1"/>
    <col min="15" max="15" width="17.44140625" bestFit="1" customWidth="1"/>
    <col min="16" max="16" width="17" bestFit="1" customWidth="1"/>
    <col min="17" max="17" width="18.44140625" bestFit="1" customWidth="1"/>
    <col min="18" max="18" width="14.6640625" bestFit="1" customWidth="1"/>
    <col min="19" max="19" width="19.6640625" bestFit="1" customWidth="1"/>
    <col min="20" max="20" width="19.21875" bestFit="1" customWidth="1"/>
    <col min="21" max="21" width="24.6640625" bestFit="1" customWidth="1"/>
    <col min="22" max="22" width="25.6640625" bestFit="1" customWidth="1"/>
    <col min="23" max="23" width="18.88671875" bestFit="1" customWidth="1"/>
    <col min="24" max="24" width="17.5546875" bestFit="1" customWidth="1"/>
    <col min="25" max="25" width="16.21875" bestFit="1" customWidth="1"/>
    <col min="26" max="26" width="11.21875" bestFit="1" customWidth="1"/>
    <col min="27" max="27" width="23.5546875" bestFit="1" customWidth="1"/>
    <col min="28" max="28" width="12.6640625" bestFit="1" customWidth="1"/>
    <col min="29" max="29" width="10.21875" bestFit="1" customWidth="1"/>
    <col min="30" max="30" width="11.5546875" bestFit="1" customWidth="1"/>
    <col min="31" max="31" width="9.6640625" bestFit="1" customWidth="1"/>
    <col min="32" max="32" width="20.88671875" bestFit="1" customWidth="1"/>
    <col min="33" max="33" width="15" bestFit="1" customWidth="1"/>
    <col min="34" max="34" width="14.5546875" bestFit="1" customWidth="1"/>
    <col min="35" max="35" width="19.441406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2">
        <v>46045</v>
      </c>
      <c r="B2" s="3">
        <v>9450</v>
      </c>
      <c r="C2" s="3">
        <v>0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41</v>
      </c>
      <c r="L2" s="4" t="s">
        <v>41</v>
      </c>
      <c r="M2" s="4" t="s">
        <v>42</v>
      </c>
      <c r="N2" s="5">
        <v>0</v>
      </c>
      <c r="O2" s="4" t="s">
        <v>41</v>
      </c>
      <c r="P2" s="4" t="s">
        <v>41</v>
      </c>
      <c r="Q2" s="6" t="b">
        <f>FALSE()</f>
        <v>0</v>
      </c>
      <c r="R2" s="4" t="s">
        <v>43</v>
      </c>
      <c r="S2" s="4" t="s">
        <v>44</v>
      </c>
      <c r="T2" s="4" t="s">
        <v>36</v>
      </c>
      <c r="U2" s="4" t="s">
        <v>41</v>
      </c>
      <c r="V2" s="4" t="s">
        <v>41</v>
      </c>
      <c r="W2" s="4" t="s">
        <v>45</v>
      </c>
      <c r="X2" s="4" t="s">
        <v>41</v>
      </c>
      <c r="Y2" s="4" t="s">
        <v>41</v>
      </c>
      <c r="Z2" s="6">
        <v>2981978</v>
      </c>
      <c r="AA2" s="4" t="s">
        <v>41</v>
      </c>
      <c r="AB2" s="4" t="s">
        <v>40</v>
      </c>
      <c r="AC2" s="4" t="s">
        <v>41</v>
      </c>
      <c r="AD2" s="6" t="b">
        <f>FALSE()</f>
        <v>0</v>
      </c>
      <c r="AE2" s="4" t="s">
        <v>46</v>
      </c>
      <c r="AF2" s="4" t="s">
        <v>41</v>
      </c>
      <c r="AG2" s="4" t="s">
        <v>41</v>
      </c>
      <c r="AH2" s="4" t="s">
        <v>41</v>
      </c>
      <c r="AI2" s="4" t="s">
        <v>41</v>
      </c>
    </row>
    <row r="3" spans="1:35" x14ac:dyDescent="0.3">
      <c r="A3" s="2">
        <v>46045</v>
      </c>
      <c r="B3" s="3">
        <v>13600</v>
      </c>
      <c r="C3" s="3">
        <v>0</v>
      </c>
      <c r="D3" s="4" t="s">
        <v>35</v>
      </c>
      <c r="E3" s="4" t="s">
        <v>36</v>
      </c>
      <c r="F3" s="4" t="s">
        <v>47</v>
      </c>
      <c r="G3" s="4" t="s">
        <v>48</v>
      </c>
      <c r="H3" s="4" t="s">
        <v>39</v>
      </c>
      <c r="I3" s="4" t="s">
        <v>40</v>
      </c>
      <c r="J3" s="4" t="s">
        <v>41</v>
      </c>
      <c r="K3" s="4" t="s">
        <v>41</v>
      </c>
      <c r="L3" s="4" t="s">
        <v>41</v>
      </c>
      <c r="M3" s="4" t="s">
        <v>42</v>
      </c>
      <c r="N3" s="5">
        <v>0</v>
      </c>
      <c r="O3" s="4" t="s">
        <v>41</v>
      </c>
      <c r="P3" s="4" t="s">
        <v>41</v>
      </c>
      <c r="Q3" s="6" t="b">
        <f>FALSE()</f>
        <v>0</v>
      </c>
      <c r="R3" s="4" t="s">
        <v>43</v>
      </c>
      <c r="S3" s="4" t="s">
        <v>44</v>
      </c>
      <c r="T3" s="4" t="s">
        <v>36</v>
      </c>
      <c r="U3" s="4" t="s">
        <v>41</v>
      </c>
      <c r="V3" s="4" t="s">
        <v>41</v>
      </c>
      <c r="W3" s="4" t="s">
        <v>45</v>
      </c>
      <c r="X3" s="4" t="s">
        <v>41</v>
      </c>
      <c r="Y3" s="4" t="s">
        <v>41</v>
      </c>
      <c r="Z3" s="6">
        <v>2981980</v>
      </c>
      <c r="AA3" s="4" t="s">
        <v>41</v>
      </c>
      <c r="AB3" s="4" t="s">
        <v>40</v>
      </c>
      <c r="AC3" s="4" t="s">
        <v>41</v>
      </c>
      <c r="AD3" s="6" t="b">
        <f>FALSE()</f>
        <v>0</v>
      </c>
      <c r="AE3" s="4" t="s">
        <v>46</v>
      </c>
      <c r="AF3" s="4" t="s">
        <v>41</v>
      </c>
      <c r="AG3" s="4" t="s">
        <v>41</v>
      </c>
      <c r="AH3" s="4" t="s">
        <v>41</v>
      </c>
      <c r="AI3" s="4" t="s">
        <v>41</v>
      </c>
    </row>
    <row r="4" spans="1:35" x14ac:dyDescent="0.3">
      <c r="A4" s="2">
        <v>46045</v>
      </c>
      <c r="B4" s="3">
        <v>-13600</v>
      </c>
      <c r="C4" s="3">
        <v>0</v>
      </c>
      <c r="D4" s="4" t="s">
        <v>35</v>
      </c>
      <c r="E4" s="4" t="s">
        <v>36</v>
      </c>
      <c r="F4" s="4" t="s">
        <v>49</v>
      </c>
      <c r="G4" s="4" t="s">
        <v>50</v>
      </c>
      <c r="H4" s="4" t="s">
        <v>39</v>
      </c>
      <c r="I4" s="4" t="s">
        <v>40</v>
      </c>
      <c r="J4" s="4" t="s">
        <v>41</v>
      </c>
      <c r="K4" s="4" t="s">
        <v>41</v>
      </c>
      <c r="L4" s="4" t="s">
        <v>41</v>
      </c>
      <c r="M4" s="4" t="s">
        <v>42</v>
      </c>
      <c r="N4" s="5">
        <v>0</v>
      </c>
      <c r="O4" s="4" t="s">
        <v>41</v>
      </c>
      <c r="P4" s="4" t="s">
        <v>41</v>
      </c>
      <c r="Q4" s="6" t="b">
        <f>FALSE()</f>
        <v>0</v>
      </c>
      <c r="R4" s="4" t="s">
        <v>43</v>
      </c>
      <c r="S4" s="4" t="s">
        <v>44</v>
      </c>
      <c r="T4" s="4" t="s">
        <v>36</v>
      </c>
      <c r="U4" s="4" t="s">
        <v>41</v>
      </c>
      <c r="V4" s="4" t="s">
        <v>41</v>
      </c>
      <c r="W4" s="4" t="s">
        <v>45</v>
      </c>
      <c r="X4" s="4" t="s">
        <v>41</v>
      </c>
      <c r="Y4" s="4" t="s">
        <v>41</v>
      </c>
      <c r="Z4" s="6">
        <v>2981979</v>
      </c>
      <c r="AA4" s="4" t="s">
        <v>41</v>
      </c>
      <c r="AB4" s="4" t="s">
        <v>40</v>
      </c>
      <c r="AC4" s="4" t="s">
        <v>41</v>
      </c>
      <c r="AD4" s="6" t="b">
        <f>FALSE()</f>
        <v>0</v>
      </c>
      <c r="AE4" s="4" t="s">
        <v>46</v>
      </c>
      <c r="AF4" s="4" t="s">
        <v>41</v>
      </c>
      <c r="AG4" s="4" t="s">
        <v>41</v>
      </c>
      <c r="AH4" s="4" t="s">
        <v>41</v>
      </c>
      <c r="AI4" s="4" t="s">
        <v>41</v>
      </c>
    </row>
    <row r="5" spans="1:35" x14ac:dyDescent="0.3">
      <c r="A5" s="2">
        <v>46045</v>
      </c>
      <c r="B5" s="3">
        <v>-9450</v>
      </c>
      <c r="C5" s="3">
        <v>0</v>
      </c>
      <c r="D5" s="4" t="s">
        <v>35</v>
      </c>
      <c r="E5" s="4" t="s">
        <v>36</v>
      </c>
      <c r="F5" s="4" t="s">
        <v>49</v>
      </c>
      <c r="G5" s="4" t="s">
        <v>50</v>
      </c>
      <c r="H5" s="4" t="s">
        <v>39</v>
      </c>
      <c r="I5" s="4" t="s">
        <v>40</v>
      </c>
      <c r="J5" s="4" t="s">
        <v>41</v>
      </c>
      <c r="K5" s="4" t="s">
        <v>41</v>
      </c>
      <c r="L5" s="4" t="s">
        <v>41</v>
      </c>
      <c r="M5" s="4" t="s">
        <v>42</v>
      </c>
      <c r="N5" s="5">
        <v>0</v>
      </c>
      <c r="O5" s="4" t="s">
        <v>41</v>
      </c>
      <c r="P5" s="4" t="s">
        <v>41</v>
      </c>
      <c r="Q5" s="6" t="b">
        <f>FALSE()</f>
        <v>0</v>
      </c>
      <c r="R5" s="4" t="s">
        <v>43</v>
      </c>
      <c r="S5" s="4" t="s">
        <v>44</v>
      </c>
      <c r="T5" s="4" t="s">
        <v>36</v>
      </c>
      <c r="U5" s="4" t="s">
        <v>41</v>
      </c>
      <c r="V5" s="4" t="s">
        <v>41</v>
      </c>
      <c r="W5" s="4" t="s">
        <v>45</v>
      </c>
      <c r="X5" s="4" t="s">
        <v>41</v>
      </c>
      <c r="Y5" s="4" t="s">
        <v>41</v>
      </c>
      <c r="Z5" s="6">
        <v>2981977</v>
      </c>
      <c r="AA5" s="4" t="s">
        <v>41</v>
      </c>
      <c r="AB5" s="4" t="s">
        <v>40</v>
      </c>
      <c r="AC5" s="4" t="s">
        <v>41</v>
      </c>
      <c r="AD5" s="6" t="b">
        <f>FALSE()</f>
        <v>0</v>
      </c>
      <c r="AE5" s="4" t="s">
        <v>46</v>
      </c>
      <c r="AF5" s="4" t="s">
        <v>41</v>
      </c>
      <c r="AG5" s="4" t="s">
        <v>41</v>
      </c>
      <c r="AH5" s="4" t="s">
        <v>41</v>
      </c>
      <c r="AI5" s="4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E8AF-C568-494B-8425-44F3CA2716F5}">
  <dimension ref="A1:AJ3"/>
  <sheetViews>
    <sheetView tabSelected="1" workbookViewId="0">
      <selection sqref="A1:XFD1048576"/>
    </sheetView>
  </sheetViews>
  <sheetFormatPr defaultRowHeight="14.4" x14ac:dyDescent="0.3"/>
  <cols>
    <col min="1" max="1" width="14.44140625" bestFit="1" customWidth="1"/>
    <col min="2" max="2" width="21.21875" bestFit="1" customWidth="1"/>
    <col min="3" max="3" width="36.21875" bestFit="1" customWidth="1"/>
    <col min="4" max="4" width="11.88671875" bestFit="1" customWidth="1"/>
    <col min="5" max="5" width="22.6640625" bestFit="1" customWidth="1"/>
    <col min="6" max="6" width="52.21875" bestFit="1" customWidth="1"/>
    <col min="7" max="7" width="10.88671875" bestFit="1" customWidth="1"/>
    <col min="8" max="8" width="21.5546875" bestFit="1" customWidth="1"/>
    <col min="9" max="9" width="13.44140625" bestFit="1" customWidth="1"/>
    <col min="10" max="10" width="18" bestFit="1" customWidth="1"/>
    <col min="11" max="11" width="20.21875" bestFit="1" customWidth="1"/>
    <col min="12" max="12" width="24.88671875" bestFit="1" customWidth="1"/>
    <col min="13" max="13" width="19.44140625" bestFit="1" customWidth="1"/>
    <col min="14" max="14" width="25.109375" bestFit="1" customWidth="1"/>
    <col min="15" max="15" width="12.5546875" bestFit="1" customWidth="1"/>
    <col min="16" max="16" width="19.6640625" bestFit="1" customWidth="1"/>
    <col min="17" max="17" width="12.44140625" bestFit="1" customWidth="1"/>
    <col min="18" max="18" width="15.6640625" bestFit="1" customWidth="1"/>
    <col min="19" max="19" width="11" bestFit="1" customWidth="1"/>
    <col min="20" max="20" width="14.21875" bestFit="1" customWidth="1"/>
    <col min="21" max="21" width="19" bestFit="1" customWidth="1"/>
    <col min="22" max="22" width="27.6640625" bestFit="1" customWidth="1"/>
    <col min="23" max="23" width="15.6640625" bestFit="1" customWidth="1"/>
    <col min="24" max="24" width="20.88671875" bestFit="1" customWidth="1"/>
    <col min="25" max="25" width="22.88671875" bestFit="1" customWidth="1"/>
    <col min="26" max="26" width="22.109375" bestFit="1" customWidth="1"/>
    <col min="27" max="27" width="26.6640625" bestFit="1" customWidth="1"/>
    <col min="28" max="28" width="8.109375" bestFit="1" customWidth="1"/>
    <col min="29" max="29" width="13.109375" bestFit="1" customWidth="1"/>
    <col min="30" max="30" width="11.21875" bestFit="1" customWidth="1"/>
    <col min="31" max="31" width="12.6640625" bestFit="1" customWidth="1"/>
    <col min="32" max="32" width="10.21875" bestFit="1" customWidth="1"/>
    <col min="33" max="33" width="20.88671875" bestFit="1" customWidth="1"/>
    <col min="34" max="34" width="15" bestFit="1" customWidth="1"/>
    <col min="35" max="35" width="14.5546875" bestFit="1" customWidth="1"/>
    <col min="36" max="36" width="19.44140625" bestFit="1" customWidth="1"/>
  </cols>
  <sheetData>
    <row r="1" spans="1:36" x14ac:dyDescent="0.3">
      <c r="A1" s="1" t="s">
        <v>0</v>
      </c>
      <c r="B1" s="1" t="s">
        <v>51</v>
      </c>
      <c r="C1" s="1" t="s">
        <v>4</v>
      </c>
      <c r="D1" s="1" t="s">
        <v>52</v>
      </c>
      <c r="E1" s="1" t="s">
        <v>53</v>
      </c>
      <c r="F1" s="1" t="s">
        <v>3</v>
      </c>
      <c r="G1" s="1" t="s">
        <v>54</v>
      </c>
      <c r="H1" s="1" t="s">
        <v>55</v>
      </c>
      <c r="I1" s="1" t="s">
        <v>7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8</v>
      </c>
      <c r="P1" s="1" t="s">
        <v>18</v>
      </c>
      <c r="Q1" s="1" t="s">
        <v>9</v>
      </c>
      <c r="R1" s="1" t="s">
        <v>61</v>
      </c>
      <c r="S1" s="1" t="s">
        <v>13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25</v>
      </c>
      <c r="AE1" s="1" t="s">
        <v>27</v>
      </c>
      <c r="AF1" s="1" t="s">
        <v>28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3">
      <c r="A2" s="2">
        <v>46045</v>
      </c>
      <c r="B2" s="4" t="s">
        <v>72</v>
      </c>
      <c r="C2" s="4" t="s">
        <v>36</v>
      </c>
      <c r="D2" s="4" t="s">
        <v>41</v>
      </c>
      <c r="E2" s="4" t="s">
        <v>73</v>
      </c>
      <c r="F2" s="4" t="s">
        <v>35</v>
      </c>
      <c r="G2" s="4" t="s">
        <v>74</v>
      </c>
      <c r="H2" s="4" t="s">
        <v>41</v>
      </c>
      <c r="I2" s="4" t="s">
        <v>75</v>
      </c>
      <c r="J2" s="4" t="s">
        <v>75</v>
      </c>
      <c r="K2" s="4" t="s">
        <v>41</v>
      </c>
      <c r="L2" s="4" t="s">
        <v>76</v>
      </c>
      <c r="M2" s="4" t="s">
        <v>50</v>
      </c>
      <c r="N2" s="4" t="s">
        <v>49</v>
      </c>
      <c r="O2" s="4" t="s">
        <v>40</v>
      </c>
      <c r="P2" s="4" t="s">
        <v>44</v>
      </c>
      <c r="Q2" s="4" t="s">
        <v>41</v>
      </c>
      <c r="R2" s="4" t="s">
        <v>77</v>
      </c>
      <c r="S2" s="5">
        <v>-2</v>
      </c>
      <c r="T2" s="3">
        <v>0</v>
      </c>
      <c r="U2" s="5">
        <v>-2</v>
      </c>
      <c r="V2" s="6" t="b">
        <f>TRUE()</f>
        <v>1</v>
      </c>
      <c r="W2" s="3">
        <v>0</v>
      </c>
      <c r="X2" s="5">
        <v>0</v>
      </c>
      <c r="Y2" s="3">
        <v>0</v>
      </c>
      <c r="Z2" s="3">
        <v>-13600</v>
      </c>
      <c r="AA2" s="3">
        <v>0</v>
      </c>
      <c r="AB2" s="6" t="b">
        <f>FALSE()</f>
        <v>0</v>
      </c>
      <c r="AC2" s="4" t="s">
        <v>36</v>
      </c>
      <c r="AD2" s="6">
        <v>1291582</v>
      </c>
      <c r="AE2" s="4" t="s">
        <v>40</v>
      </c>
      <c r="AF2" s="4" t="s">
        <v>41</v>
      </c>
      <c r="AG2" s="4" t="s">
        <v>41</v>
      </c>
      <c r="AH2" s="4" t="s">
        <v>41</v>
      </c>
      <c r="AI2" s="4" t="s">
        <v>41</v>
      </c>
      <c r="AJ2" s="4" t="s">
        <v>41</v>
      </c>
    </row>
    <row r="3" spans="1:36" x14ac:dyDescent="0.3">
      <c r="A3" s="2">
        <v>46045</v>
      </c>
      <c r="B3" s="4" t="s">
        <v>72</v>
      </c>
      <c r="C3" s="4" t="s">
        <v>36</v>
      </c>
      <c r="D3" s="4" t="s">
        <v>41</v>
      </c>
      <c r="E3" s="4" t="s">
        <v>73</v>
      </c>
      <c r="F3" s="4" t="s">
        <v>35</v>
      </c>
      <c r="G3" s="4" t="s">
        <v>78</v>
      </c>
      <c r="H3" s="4" t="s">
        <v>41</v>
      </c>
      <c r="I3" s="4" t="s">
        <v>79</v>
      </c>
      <c r="J3" s="4" t="s">
        <v>79</v>
      </c>
      <c r="K3" s="4" t="s">
        <v>41</v>
      </c>
      <c r="L3" s="4" t="s">
        <v>80</v>
      </c>
      <c r="M3" s="4" t="s">
        <v>41</v>
      </c>
      <c r="N3" s="4" t="s">
        <v>41</v>
      </c>
      <c r="O3" s="4" t="s">
        <v>40</v>
      </c>
      <c r="P3" s="4" t="s">
        <v>44</v>
      </c>
      <c r="Q3" s="4" t="s">
        <v>41</v>
      </c>
      <c r="R3" s="4" t="s">
        <v>77</v>
      </c>
      <c r="S3" s="5">
        <v>-5</v>
      </c>
      <c r="T3" s="3">
        <v>0</v>
      </c>
      <c r="U3" s="5">
        <v>-5</v>
      </c>
      <c r="V3" s="6" t="b">
        <f>TRUE()</f>
        <v>1</v>
      </c>
      <c r="W3" s="3">
        <v>0</v>
      </c>
      <c r="X3" s="5">
        <v>0</v>
      </c>
      <c r="Y3" s="3">
        <v>0</v>
      </c>
      <c r="Z3" s="3">
        <v>-9450</v>
      </c>
      <c r="AA3" s="3">
        <v>0</v>
      </c>
      <c r="AB3" s="6" t="b">
        <f>FALSE()</f>
        <v>0</v>
      </c>
      <c r="AC3" s="4" t="s">
        <v>36</v>
      </c>
      <c r="AD3" s="6">
        <v>1291581</v>
      </c>
      <c r="AE3" s="4" t="s">
        <v>40</v>
      </c>
      <c r="AF3" s="4" t="s">
        <v>41</v>
      </c>
      <c r="AG3" s="4" t="s">
        <v>41</v>
      </c>
      <c r="AH3" s="4" t="s">
        <v>41</v>
      </c>
      <c r="AI3" s="4" t="s">
        <v>41</v>
      </c>
      <c r="AJ3" s="4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Ledger Entries</vt:lpstr>
      <vt:lpstr>Item ledger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Frankline Bundi</cp:lastModifiedBy>
  <dcterms:created xsi:type="dcterms:W3CDTF">2026-01-23T09:51:20Z</dcterms:created>
  <dcterms:modified xsi:type="dcterms:W3CDTF">2026-01-23T09:51:22Z</dcterms:modified>
</cp:coreProperties>
</file>